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\Documents\api_tmhub\static\assets\sheets\"/>
    </mc:Choice>
  </mc:AlternateContent>
  <xr:revisionPtr revIDLastSave="0" documentId="13_ncr:1_{643A21ED-51C4-4BAC-8D21-1D45CAFFB414}" xr6:coauthVersionLast="47" xr6:coauthVersionMax="47" xr10:uidLastSave="{00000000-0000-0000-0000-000000000000}"/>
  <bookViews>
    <workbookView xWindow="-108" yWindow="-108" windowWidth="23256" windowHeight="12456" firstSheet="1" activeTab="1" xr2:uid="{16E030F0-3529-408F-B13D-53D436B408CD}"/>
  </bookViews>
  <sheets>
    <sheet name="CENTRO DE CUSTO" sheetId="2" state="hidden" r:id="rId1"/>
    <sheet name="TED" sheetId="7" r:id="rId2"/>
  </sheets>
  <definedNames>
    <definedName name="_xlnm.Print_Area" localSheetId="1">TED!$A$1:$I$1904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48" i="7" l="1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294" i="7"/>
  <c r="C295" i="7"/>
  <c r="C395" i="7"/>
  <c r="C396" i="7"/>
  <c r="C397" i="7"/>
  <c r="C398" i="7"/>
  <c r="C399" i="7"/>
  <c r="C547" i="7"/>
  <c r="C548" i="7"/>
  <c r="C549" i="7"/>
  <c r="C550" i="7"/>
  <c r="C551" i="7"/>
  <c r="C552" i="7"/>
  <c r="C296" i="7"/>
  <c r="C297" i="7"/>
  <c r="C298" i="7"/>
  <c r="C299" i="7"/>
  <c r="C300" i="7"/>
  <c r="C73" i="7"/>
  <c r="C74" i="7"/>
  <c r="C75" i="7"/>
  <c r="C76" i="7"/>
  <c r="C77" i="7"/>
  <c r="C78" i="7"/>
  <c r="C79" i="7"/>
  <c r="C80" i="7"/>
  <c r="C553" i="7"/>
  <c r="C554" i="7"/>
  <c r="C555" i="7"/>
  <c r="C556" i="7"/>
  <c r="C557" i="7"/>
  <c r="C558" i="7"/>
  <c r="C559" i="7"/>
  <c r="C169" i="7"/>
  <c r="C170" i="7"/>
  <c r="C171" i="7"/>
  <c r="C560" i="7"/>
  <c r="C561" i="7"/>
  <c r="C562" i="7"/>
  <c r="C301" i="7"/>
  <c r="C302" i="7"/>
  <c r="C303" i="7"/>
  <c r="C81" i="7"/>
  <c r="C82" i="7"/>
  <c r="C83" i="7"/>
  <c r="C84" i="7"/>
  <c r="C85" i="7"/>
  <c r="C400" i="7"/>
  <c r="C401" i="7"/>
  <c r="C402" i="7"/>
  <c r="C403" i="7"/>
  <c r="C172" i="7"/>
  <c r="C173" i="7"/>
  <c r="C86" i="7"/>
  <c r="C87" i="7"/>
  <c r="C174" i="7"/>
  <c r="C175" i="7"/>
  <c r="C176" i="7"/>
  <c r="C177" i="7"/>
  <c r="C178" i="7"/>
  <c r="C88" i="7"/>
  <c r="C89" i="7"/>
  <c r="C404" i="7"/>
  <c r="C405" i="7"/>
  <c r="C406" i="7"/>
  <c r="C407" i="7"/>
  <c r="C408" i="7"/>
  <c r="C409" i="7"/>
  <c r="C410" i="7"/>
  <c r="C411" i="7"/>
  <c r="C563" i="7"/>
  <c r="C564" i="7"/>
  <c r="C565" i="7"/>
  <c r="C179" i="7"/>
  <c r="C180" i="7"/>
  <c r="C181" i="7"/>
  <c r="C182" i="7"/>
  <c r="C566" i="7"/>
  <c r="C567" i="7"/>
  <c r="C568" i="7"/>
  <c r="C569" i="7"/>
  <c r="C304" i="7"/>
  <c r="C305" i="7"/>
  <c r="C412" i="7"/>
  <c r="C413" i="7"/>
  <c r="C414" i="7"/>
  <c r="C415" i="7"/>
  <c r="C416" i="7"/>
  <c r="C417" i="7"/>
  <c r="C418" i="7"/>
  <c r="C419" i="7"/>
  <c r="C420" i="7"/>
  <c r="C421" i="7"/>
  <c r="C422" i="7"/>
  <c r="C90" i="7"/>
  <c r="C91" i="7"/>
  <c r="C92" i="7"/>
  <c r="C93" i="7"/>
  <c r="C183" i="7"/>
  <c r="C184" i="7"/>
  <c r="C423" i="7"/>
  <c r="C424" i="7"/>
  <c r="C425" i="7"/>
  <c r="C426" i="7"/>
  <c r="C427" i="7"/>
  <c r="C428" i="7"/>
  <c r="C306" i="7"/>
  <c r="C307" i="7"/>
  <c r="C308" i="7"/>
  <c r="C185" i="7"/>
  <c r="C186" i="7"/>
  <c r="C187" i="7"/>
  <c r="C188" i="7"/>
  <c r="C189" i="7"/>
  <c r="C190" i="7"/>
  <c r="C191" i="7"/>
  <c r="C192" i="7"/>
  <c r="C193" i="7"/>
  <c r="C194" i="7"/>
  <c r="C195" i="7"/>
  <c r="C309" i="7"/>
  <c r="C310" i="7"/>
  <c r="C429" i="7"/>
  <c r="C430" i="7"/>
  <c r="C431" i="7"/>
  <c r="C432" i="7"/>
  <c r="C433" i="7"/>
  <c r="C434" i="7"/>
  <c r="C94" i="7"/>
  <c r="C95" i="7"/>
  <c r="C96" i="7"/>
  <c r="C97" i="7"/>
  <c r="C435" i="7"/>
  <c r="C436" i="7"/>
  <c r="C437" i="7"/>
  <c r="C438" i="7"/>
  <c r="C196" i="7"/>
  <c r="C197" i="7"/>
  <c r="C198" i="7"/>
  <c r="C199" i="7"/>
  <c r="C200" i="7"/>
  <c r="C201" i="7"/>
  <c r="C202" i="7"/>
  <c r="C203" i="7"/>
  <c r="C204" i="7"/>
  <c r="C205" i="7"/>
  <c r="C206" i="7"/>
  <c r="C311" i="7"/>
  <c r="C312" i="7"/>
  <c r="C570" i="7"/>
  <c r="C571" i="7"/>
  <c r="C572" i="7"/>
  <c r="C313" i="7"/>
  <c r="C314" i="7"/>
  <c r="C315" i="7"/>
  <c r="C316" i="7"/>
  <c r="C317" i="7"/>
  <c r="C318" i="7"/>
  <c r="C319" i="7"/>
  <c r="C573" i="7"/>
  <c r="C574" i="7"/>
  <c r="C575" i="7"/>
  <c r="C576" i="7"/>
  <c r="C207" i="7"/>
  <c r="C208" i="7"/>
  <c r="C209" i="7"/>
  <c r="C210" i="7"/>
  <c r="C577" i="7"/>
  <c r="C578" i="7"/>
  <c r="C320" i="7"/>
  <c r="C211" i="7"/>
  <c r="C212" i="7"/>
  <c r="C213" i="7"/>
  <c r="C214" i="7"/>
  <c r="C215" i="7"/>
  <c r="C216" i="7"/>
  <c r="C217" i="7"/>
  <c r="C218" i="7"/>
  <c r="C219" i="7"/>
  <c r="C98" i="7"/>
  <c r="C99" i="7"/>
  <c r="C100" i="7"/>
  <c r="C101" i="7"/>
  <c r="C102" i="7"/>
  <c r="C220" i="7"/>
  <c r="C221" i="7"/>
  <c r="C222" i="7"/>
  <c r="C223" i="7"/>
  <c r="C224" i="7"/>
  <c r="C225" i="7"/>
  <c r="C226" i="7"/>
  <c r="C439" i="7"/>
  <c r="C440" i="7"/>
  <c r="C441" i="7"/>
  <c r="C442" i="7"/>
  <c r="C443" i="7"/>
  <c r="C444" i="7"/>
  <c r="C445" i="7"/>
  <c r="C446" i="7"/>
  <c r="C103" i="7"/>
  <c r="C104" i="7"/>
  <c r="C105" i="7"/>
  <c r="C106" i="7"/>
  <c r="C107" i="7"/>
  <c r="C108" i="7"/>
  <c r="C109" i="7"/>
  <c r="C579" i="7"/>
  <c r="C580" i="7"/>
  <c r="C581" i="7"/>
  <c r="C582" i="7"/>
  <c r="C110" i="7"/>
  <c r="C111" i="7"/>
  <c r="C112" i="7"/>
  <c r="C321" i="7"/>
  <c r="C322" i="7"/>
  <c r="C323" i="7"/>
  <c r="C324" i="7"/>
  <c r="C325" i="7"/>
  <c r="C326" i="7"/>
  <c r="C327" i="7"/>
  <c r="C328" i="7"/>
  <c r="C329" i="7"/>
  <c r="C583" i="7"/>
  <c r="C584" i="7"/>
  <c r="C585" i="7"/>
  <c r="C586" i="7"/>
  <c r="C447" i="7"/>
  <c r="C448" i="7"/>
  <c r="C449" i="7"/>
  <c r="C450" i="7"/>
  <c r="C330" i="7"/>
  <c r="C331" i="7"/>
  <c r="C332" i="7"/>
  <c r="C333" i="7"/>
  <c r="C334" i="7"/>
  <c r="C335" i="7"/>
  <c r="C227" i="7"/>
  <c r="C228" i="7"/>
  <c r="C229" i="7"/>
  <c r="C230" i="7"/>
  <c r="C231" i="7"/>
  <c r="C232" i="7"/>
  <c r="C233" i="7"/>
  <c r="C234" i="7"/>
  <c r="C113" i="7"/>
  <c r="C114" i="7"/>
  <c r="C115" i="7"/>
  <c r="C116" i="7"/>
  <c r="C117" i="7"/>
  <c r="C118" i="7"/>
  <c r="C119" i="7"/>
  <c r="C587" i="7"/>
  <c r="C588" i="7"/>
  <c r="C589" i="7"/>
  <c r="C235" i="7"/>
  <c r="C236" i="7"/>
  <c r="C237" i="7"/>
  <c r="C238" i="7"/>
  <c r="C239" i="7"/>
  <c r="C240" i="7"/>
  <c r="C120" i="7"/>
  <c r="C121" i="7"/>
  <c r="C122" i="7"/>
  <c r="C123" i="7"/>
  <c r="C336" i="7"/>
  <c r="C337" i="7"/>
  <c r="C338" i="7"/>
  <c r="C339" i="7"/>
  <c r="C340" i="7"/>
  <c r="C341" i="7"/>
  <c r="C342" i="7"/>
  <c r="C590" i="7"/>
  <c r="C591" i="7"/>
  <c r="C592" i="7"/>
  <c r="C593" i="7"/>
  <c r="C594" i="7"/>
  <c r="C595" i="7"/>
  <c r="C596" i="7"/>
  <c r="C124" i="7"/>
  <c r="C125" i="7"/>
  <c r="C126" i="7"/>
  <c r="C127" i="7"/>
  <c r="C128" i="7"/>
  <c r="C129" i="7"/>
  <c r="C241" i="7"/>
  <c r="C242" i="7"/>
  <c r="C243" i="7"/>
  <c r="C244" i="7"/>
  <c r="C245" i="7"/>
  <c r="C246" i="7"/>
  <c r="C247" i="7"/>
  <c r="C248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249" i="7"/>
  <c r="C250" i="7"/>
  <c r="C251" i="7"/>
  <c r="C252" i="7"/>
  <c r="C253" i="7"/>
  <c r="C355" i="7"/>
  <c r="C356" i="7"/>
  <c r="C357" i="7"/>
  <c r="C597" i="7"/>
  <c r="C598" i="7"/>
  <c r="C599" i="7"/>
  <c r="C600" i="7"/>
  <c r="C358" i="7"/>
  <c r="C359" i="7"/>
  <c r="C360" i="7"/>
  <c r="C361" i="7"/>
  <c r="C362" i="7"/>
  <c r="C254" i="7"/>
  <c r="C255" i="7"/>
  <c r="C256" i="7"/>
  <c r="C257" i="7"/>
  <c r="C258" i="7"/>
  <c r="C451" i="7"/>
  <c r="C452" i="7"/>
  <c r="C453" i="7"/>
  <c r="C454" i="7"/>
  <c r="C455" i="7"/>
  <c r="C456" i="7"/>
  <c r="C457" i="7"/>
  <c r="C458" i="7"/>
  <c r="C459" i="7"/>
  <c r="C259" i="7"/>
  <c r="C260" i="7"/>
  <c r="C261" i="7"/>
  <c r="C601" i="7"/>
  <c r="C602" i="7"/>
  <c r="C603" i="7"/>
  <c r="C604" i="7"/>
  <c r="C605" i="7"/>
  <c r="C606" i="7"/>
  <c r="C607" i="7"/>
  <c r="C608" i="7"/>
  <c r="C609" i="7"/>
  <c r="C610" i="7"/>
  <c r="C460" i="7"/>
  <c r="C461" i="7"/>
  <c r="C462" i="7"/>
  <c r="C463" i="7"/>
  <c r="C464" i="7"/>
  <c r="C465" i="7"/>
  <c r="C130" i="7"/>
  <c r="C131" i="7"/>
  <c r="C132" i="7"/>
  <c r="C133" i="7"/>
  <c r="C134" i="7"/>
  <c r="C466" i="7"/>
  <c r="C467" i="7"/>
  <c r="C468" i="7"/>
  <c r="C469" i="7"/>
  <c r="C363" i="7"/>
  <c r="C364" i="7"/>
  <c r="C365" i="7"/>
  <c r="C366" i="7"/>
  <c r="C367" i="7"/>
  <c r="C135" i="7"/>
  <c r="C136" i="7"/>
  <c r="C137" i="7"/>
  <c r="C368" i="7"/>
  <c r="C369" i="7"/>
  <c r="C370" i="7"/>
  <c r="C371" i="7"/>
  <c r="C138" i="7"/>
  <c r="C139" i="7"/>
  <c r="C140" i="7"/>
  <c r="C141" i="7"/>
  <c r="C142" i="7"/>
  <c r="C143" i="7"/>
  <c r="C144" i="7"/>
  <c r="C372" i="7"/>
  <c r="C373" i="7"/>
  <c r="C374" i="7"/>
  <c r="C375" i="7"/>
  <c r="C145" i="7"/>
  <c r="C146" i="7"/>
  <c r="C262" i="7"/>
  <c r="C263" i="7"/>
  <c r="C264" i="7"/>
  <c r="C265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376" i="7"/>
  <c r="C377" i="7"/>
  <c r="C378" i="7"/>
  <c r="C379" i="7"/>
  <c r="C380" i="7"/>
  <c r="C611" i="7"/>
  <c r="C612" i="7"/>
  <c r="C613" i="7"/>
  <c r="C614" i="7"/>
  <c r="C615" i="7"/>
  <c r="C283" i="7"/>
  <c r="C284" i="7"/>
  <c r="C285" i="7"/>
  <c r="C487" i="7"/>
  <c r="C488" i="7"/>
  <c r="C489" i="7"/>
  <c r="C490" i="7"/>
  <c r="C491" i="7"/>
  <c r="C492" i="7"/>
  <c r="C493" i="7"/>
  <c r="C494" i="7"/>
  <c r="C147" i="7"/>
  <c r="C148" i="7"/>
  <c r="C149" i="7"/>
  <c r="C150" i="7"/>
  <c r="C616" i="7"/>
  <c r="C617" i="7"/>
  <c r="C618" i="7"/>
  <c r="C619" i="7"/>
  <c r="C620" i="7"/>
  <c r="C621" i="7"/>
  <c r="C622" i="7"/>
  <c r="C623" i="7"/>
  <c r="C624" i="7"/>
  <c r="C495" i="7"/>
  <c r="C496" i="7"/>
  <c r="C497" i="7"/>
  <c r="C498" i="7"/>
  <c r="C499" i="7"/>
  <c r="C381" i="7"/>
  <c r="C382" i="7"/>
  <c r="C383" i="7"/>
  <c r="C384" i="7"/>
  <c r="C385" i="7"/>
  <c r="C386" i="7"/>
  <c r="C625" i="7"/>
  <c r="C626" i="7"/>
  <c r="C627" i="7"/>
  <c r="C500" i="7"/>
  <c r="C501" i="7"/>
  <c r="C502" i="7"/>
  <c r="C503" i="7"/>
  <c r="C504" i="7"/>
  <c r="C505" i="7"/>
  <c r="C628" i="7"/>
  <c r="C629" i="7"/>
  <c r="C630" i="7"/>
  <c r="C387" i="7"/>
  <c r="C388" i="7"/>
  <c r="C506" i="7"/>
  <c r="C507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508" i="7"/>
  <c r="C509" i="7"/>
  <c r="C510" i="7"/>
  <c r="C511" i="7"/>
  <c r="C512" i="7"/>
  <c r="C513" i="7"/>
  <c r="C514" i="7"/>
  <c r="C515" i="7"/>
  <c r="C516" i="7"/>
  <c r="C286" i="7"/>
  <c r="C287" i="7"/>
  <c r="C288" i="7"/>
  <c r="C389" i="7"/>
  <c r="C390" i="7"/>
  <c r="C391" i="7"/>
  <c r="C392" i="7"/>
  <c r="C393" i="7"/>
  <c r="C394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289" i="7"/>
  <c r="C290" i="7"/>
  <c r="C517" i="7"/>
  <c r="C518" i="7"/>
  <c r="C519" i="7"/>
  <c r="C291" i="7"/>
  <c r="C292" i="7"/>
  <c r="C293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826" i="7"/>
  <c r="J1828" i="7"/>
  <c r="J1809" i="7"/>
  <c r="J1818" i="7"/>
  <c r="J1836" i="7"/>
  <c r="J1901" i="7"/>
  <c r="J1845" i="7"/>
  <c r="J1903" i="7"/>
  <c r="J1846" i="7"/>
  <c r="J1905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556" i="7"/>
  <c r="J560" i="7"/>
  <c r="J308" i="7"/>
  <c r="J399" i="7"/>
  <c r="J424" i="7"/>
  <c r="J169" i="7"/>
  <c r="J450" i="7"/>
  <c r="J586" i="7"/>
  <c r="J484" i="7"/>
  <c r="J398" i="7"/>
  <c r="J494" i="7"/>
  <c r="J489" i="7"/>
  <c r="J138" i="7"/>
  <c r="J499" i="7"/>
  <c r="J621" i="7"/>
  <c r="J551" i="7"/>
  <c r="J627" i="7"/>
  <c r="J296" i="7"/>
  <c r="J390" i="7"/>
  <c r="J233" i="7"/>
  <c r="J299" i="7"/>
  <c r="J587" i="7"/>
  <c r="J243" i="7"/>
  <c r="J349" i="7"/>
  <c r="J75" i="7"/>
  <c r="J553" i="7"/>
  <c r="J403" i="7"/>
  <c r="J562" i="7"/>
  <c r="J87" i="7"/>
  <c r="J297" i="7"/>
  <c r="J90" i="7"/>
  <c r="J426" i="7"/>
  <c r="J287" i="7"/>
  <c r="J385" i="7"/>
  <c r="J557" i="7"/>
  <c r="J558" i="7"/>
  <c r="J511" i="7"/>
  <c r="J636" i="7"/>
  <c r="J170" i="7"/>
  <c r="J443" i="7"/>
  <c r="J429" i="7"/>
  <c r="J561" i="7"/>
  <c r="J624" i="7"/>
  <c r="J389" i="7"/>
  <c r="J302" i="7"/>
  <c r="J303" i="7"/>
  <c r="J354" i="7"/>
  <c r="J337" i="7"/>
  <c r="J176" i="7"/>
  <c r="J84" i="7"/>
  <c r="J85" i="7"/>
  <c r="J400" i="7"/>
  <c r="J82" i="7"/>
  <c r="J604" i="7"/>
  <c r="J452" i="7"/>
  <c r="J172" i="7"/>
  <c r="J173" i="7"/>
  <c r="J86" i="7"/>
  <c r="J314" i="7"/>
  <c r="J397" i="7"/>
  <c r="J298" i="7"/>
  <c r="J578" i="7"/>
  <c r="J197" i="7"/>
  <c r="J178" i="7"/>
  <c r="J88" i="7"/>
  <c r="J554" i="7"/>
  <c r="J74" i="7"/>
  <c r="J405" i="7"/>
  <c r="J131" i="7"/>
  <c r="J407" i="7"/>
  <c r="J142" i="7"/>
  <c r="J453" i="7"/>
  <c r="J410" i="7"/>
  <c r="J411" i="7"/>
  <c r="J563" i="7"/>
  <c r="J625" i="7"/>
  <c r="J500" i="7"/>
  <c r="J179" i="7"/>
  <c r="J180" i="7"/>
  <c r="J101" i="7"/>
  <c r="J440" i="7"/>
  <c r="J566" i="7"/>
  <c r="J160" i="7"/>
  <c r="J506" i="7"/>
  <c r="J569" i="7"/>
  <c r="J304" i="7"/>
  <c r="J348" i="7"/>
  <c r="J120" i="7"/>
  <c r="J611" i="7"/>
  <c r="J135" i="7"/>
  <c r="J415" i="7"/>
  <c r="J416" i="7"/>
  <c r="J602" i="7"/>
  <c r="J418" i="7"/>
  <c r="J419" i="7"/>
  <c r="J420" i="7"/>
  <c r="J378" i="7"/>
  <c r="J422" i="7"/>
  <c r="J470" i="7"/>
  <c r="J91" i="7"/>
  <c r="J92" i="7"/>
  <c r="J93" i="7"/>
  <c r="J301" i="7"/>
  <c r="J414" i="7"/>
  <c r="J210" i="7"/>
  <c r="J109" i="7"/>
  <c r="J425" i="7"/>
  <c r="J275" i="7"/>
  <c r="J427" i="7"/>
  <c r="J274" i="7"/>
  <c r="J306" i="7"/>
  <c r="J307" i="7"/>
  <c r="J599" i="7"/>
  <c r="J227" i="7"/>
  <c r="J186" i="7"/>
  <c r="J226" i="7"/>
  <c r="J435" i="7"/>
  <c r="J189" i="7"/>
  <c r="J200" i="7"/>
  <c r="J317" i="7"/>
  <c r="J192" i="7"/>
  <c r="J211" i="7"/>
  <c r="J194" i="7"/>
  <c r="J208" i="7"/>
  <c r="J309" i="7"/>
  <c r="J310" i="7"/>
  <c r="J585" i="7"/>
  <c r="J358" i="7"/>
  <c r="J485" i="7"/>
  <c r="J464" i="7"/>
  <c r="J474" i="7"/>
  <c r="J434" i="7"/>
  <c r="J94" i="7"/>
  <c r="J95" i="7"/>
  <c r="J96" i="7"/>
  <c r="J97" i="7"/>
  <c r="J408" i="7"/>
  <c r="J564" i="7"/>
  <c r="J278" i="7"/>
  <c r="J438" i="7"/>
  <c r="J196" i="7"/>
  <c r="J263" i="7"/>
  <c r="J213" i="7"/>
  <c r="J199" i="7"/>
  <c r="J220" i="7"/>
  <c r="J323" i="7"/>
  <c r="J202" i="7"/>
  <c r="J203" i="7"/>
  <c r="J204" i="7"/>
  <c r="J188" i="7"/>
  <c r="J430" i="7"/>
  <c r="J219" i="7"/>
  <c r="J126" i="7"/>
  <c r="J128" i="7"/>
  <c r="J571" i="7"/>
  <c r="J520" i="7"/>
  <c r="J313" i="7"/>
  <c r="J629" i="7"/>
  <c r="J315" i="7"/>
  <c r="J316" i="7"/>
  <c r="J118" i="7"/>
  <c r="J318" i="7"/>
  <c r="J249" i="7"/>
  <c r="J573" i="7"/>
  <c r="J254" i="7"/>
  <c r="J575" i="7"/>
  <c r="J576" i="7"/>
  <c r="J496" i="7"/>
  <c r="J393" i="7"/>
  <c r="J209" i="7"/>
  <c r="J441" i="7"/>
  <c r="J577" i="7"/>
  <c r="J112" i="7"/>
  <c r="J630" i="7"/>
  <c r="J626" i="7"/>
  <c r="J258" i="7"/>
  <c r="J225" i="7"/>
  <c r="J207" i="7"/>
  <c r="J214" i="7"/>
  <c r="J216" i="7"/>
  <c r="J217" i="7"/>
  <c r="J198" i="7"/>
  <c r="J224" i="7"/>
  <c r="J580" i="7"/>
  <c r="J99" i="7"/>
  <c r="J78" i="7"/>
  <c r="J549" i="7"/>
  <c r="J102" i="7"/>
  <c r="J417" i="7"/>
  <c r="J221" i="7"/>
  <c r="J222" i="7"/>
  <c r="J223" i="7"/>
  <c r="J191" i="7"/>
  <c r="J433" i="7"/>
  <c r="J320" i="7"/>
  <c r="J321" i="7"/>
  <c r="J285" i="7"/>
  <c r="J370" i="7"/>
  <c r="J442" i="7"/>
  <c r="J368" i="7"/>
  <c r="J444" i="7"/>
  <c r="J603" i="7"/>
  <c r="J137" i="7"/>
  <c r="J605" i="7"/>
  <c r="J104" i="7"/>
  <c r="J105" i="7"/>
  <c r="J412" i="7"/>
  <c r="J107" i="7"/>
  <c r="J174" i="7"/>
  <c r="J184" i="7"/>
  <c r="J579" i="7"/>
  <c r="J166" i="7"/>
  <c r="J525" i="7"/>
  <c r="J502" i="7"/>
  <c r="J110" i="7"/>
  <c r="J111" i="7"/>
  <c r="J171" i="7"/>
  <c r="J565" i="7"/>
  <c r="J79" i="7"/>
  <c r="J81" i="7"/>
  <c r="J324" i="7"/>
  <c r="J325" i="7"/>
  <c r="J232" i="7"/>
  <c r="J352" i="7"/>
  <c r="J328" i="7"/>
  <c r="J329" i="7"/>
  <c r="J340" i="7"/>
  <c r="J584" i="7"/>
  <c r="J531" i="7"/>
  <c r="J617" i="7"/>
  <c r="J510" i="7"/>
  <c r="J448" i="7"/>
  <c r="J449" i="7"/>
  <c r="J380" i="7"/>
  <c r="J330" i="7"/>
  <c r="J132" i="7"/>
  <c r="J334" i="7"/>
  <c r="J333" i="7"/>
  <c r="J600" i="7"/>
  <c r="J346" i="7"/>
  <c r="J252" i="7"/>
  <c r="J228" i="7"/>
  <c r="J570" i="7"/>
  <c r="J230" i="7"/>
  <c r="J231" i="7"/>
  <c r="J195" i="7"/>
  <c r="J319" i="7"/>
  <c r="J234" i="7"/>
  <c r="J113" i="7"/>
  <c r="J437" i="7"/>
  <c r="J568" i="7"/>
  <c r="J550" i="7"/>
  <c r="J117" i="7"/>
  <c r="J89" i="7"/>
  <c r="J119" i="7"/>
  <c r="J175" i="7"/>
  <c r="J406" i="7"/>
  <c r="J522" i="7"/>
  <c r="J387" i="7"/>
  <c r="J155" i="7"/>
  <c r="J237" i="7"/>
  <c r="J238" i="7"/>
  <c r="J239" i="7"/>
  <c r="J240" i="7"/>
  <c r="J322" i="7"/>
  <c r="J582" i="7"/>
  <c r="J183" i="7"/>
  <c r="J123" i="7"/>
  <c r="J428" i="7"/>
  <c r="J295" i="7"/>
  <c r="J338" i="7"/>
  <c r="J122" i="7"/>
  <c r="J332" i="7"/>
  <c r="J341" i="7"/>
  <c r="J242" i="7"/>
  <c r="J590" i="7"/>
  <c r="J591" i="7"/>
  <c r="J394" i="7"/>
  <c r="J501" i="7"/>
  <c r="J594" i="7"/>
  <c r="J164" i="7"/>
  <c r="J513" i="7"/>
  <c r="J124" i="7"/>
  <c r="J552" i="7"/>
  <c r="J413" i="7"/>
  <c r="J127" i="7"/>
  <c r="J182" i="7"/>
  <c r="J129" i="7"/>
  <c r="J439" i="7"/>
  <c r="J193" i="7"/>
  <c r="J572" i="7"/>
  <c r="J244" i="7"/>
  <c r="J245" i="7"/>
  <c r="J246" i="7"/>
  <c r="J215" i="7"/>
  <c r="J432" i="7"/>
  <c r="J343" i="7"/>
  <c r="J344" i="7"/>
  <c r="J447" i="7"/>
  <c r="J362" i="7"/>
  <c r="J347" i="7"/>
  <c r="J115" i="7"/>
  <c r="J589" i="7"/>
  <c r="J350" i="7"/>
  <c r="J351" i="7"/>
  <c r="J236" i="7"/>
  <c r="J596" i="7"/>
  <c r="J359" i="7"/>
  <c r="J106" i="7"/>
  <c r="J250" i="7"/>
  <c r="J201" i="7"/>
  <c r="J212" i="7"/>
  <c r="J253" i="7"/>
  <c r="J355" i="7"/>
  <c r="J451" i="7"/>
  <c r="J595" i="7"/>
  <c r="J592" i="7"/>
  <c r="J598" i="7"/>
  <c r="J495" i="7"/>
  <c r="J154" i="7"/>
  <c r="J153" i="7"/>
  <c r="J168" i="7"/>
  <c r="J360" i="7"/>
  <c r="J361" i="7"/>
  <c r="J345" i="7"/>
  <c r="J248" i="7"/>
  <c r="J255" i="7"/>
  <c r="J256" i="7"/>
  <c r="J257" i="7"/>
  <c r="J431" i="7"/>
  <c r="J205" i="7"/>
  <c r="J486" i="7"/>
  <c r="J491" i="7"/>
  <c r="J454" i="7"/>
  <c r="J455" i="7"/>
  <c r="J456" i="7"/>
  <c r="J272" i="7"/>
  <c r="J458" i="7"/>
  <c r="J459" i="7"/>
  <c r="J264" i="7"/>
  <c r="J108" i="7"/>
  <c r="J581" i="7"/>
  <c r="J601" i="7"/>
  <c r="J526" i="7"/>
  <c r="J639" i="7"/>
  <c r="J505" i="7"/>
  <c r="J151" i="7"/>
  <c r="J606" i="7"/>
  <c r="J392" i="7"/>
  <c r="J608" i="7"/>
  <c r="J158" i="7"/>
  <c r="J610" i="7"/>
  <c r="J460" i="7"/>
  <c r="J461" i="7"/>
  <c r="J612" i="7"/>
  <c r="J616" i="7"/>
  <c r="J457" i="7"/>
  <c r="J480" i="7"/>
  <c r="J130" i="7"/>
  <c r="J548" i="7"/>
  <c r="J421" i="7"/>
  <c r="J300" i="7"/>
  <c r="J134" i="7"/>
  <c r="J466" i="7"/>
  <c r="J467" i="7"/>
  <c r="J614" i="7"/>
  <c r="J469" i="7"/>
  <c r="J260" i="7"/>
  <c r="J364" i="7"/>
  <c r="J365" i="7"/>
  <c r="J366" i="7"/>
  <c r="J342" i="7"/>
  <c r="J357" i="7"/>
  <c r="J583" i="7"/>
  <c r="J177" i="7"/>
  <c r="J402" i="7"/>
  <c r="J369" i="7"/>
  <c r="J247" i="7"/>
  <c r="J371" i="7"/>
  <c r="J593" i="7"/>
  <c r="J597" i="7"/>
  <c r="J140" i="7"/>
  <c r="J141" i="7"/>
  <c r="J555" i="7"/>
  <c r="J567" i="7"/>
  <c r="J144" i="7"/>
  <c r="J372" i="7"/>
  <c r="J373" i="7"/>
  <c r="J395" i="7"/>
  <c r="J356" i="7"/>
  <c r="J145" i="7"/>
  <c r="J146" i="7"/>
  <c r="J121" i="7"/>
  <c r="J181" i="7"/>
  <c r="J83" i="7"/>
  <c r="J265" i="7"/>
  <c r="J312" i="7"/>
  <c r="J446" i="7"/>
  <c r="J472" i="7"/>
  <c r="J473" i="7"/>
  <c r="J465" i="7"/>
  <c r="J475" i="7"/>
  <c r="J476" i="7"/>
  <c r="J477" i="7"/>
  <c r="J478" i="7"/>
  <c r="J133" i="7"/>
  <c r="J468" i="7"/>
  <c r="J613" i="7"/>
  <c r="J482" i="7"/>
  <c r="J483" i="7"/>
  <c r="J143" i="7"/>
  <c r="J261" i="7"/>
  <c r="J136" i="7"/>
  <c r="J266" i="7"/>
  <c r="J267" i="7"/>
  <c r="J268" i="7"/>
  <c r="J269" i="7"/>
  <c r="J270" i="7"/>
  <c r="J271" i="7"/>
  <c r="J218" i="7"/>
  <c r="J187" i="7"/>
  <c r="J190" i="7"/>
  <c r="J326" i="7"/>
  <c r="J276" i="7"/>
  <c r="J277" i="7"/>
  <c r="J98" i="7"/>
  <c r="J279" i="7"/>
  <c r="J280" i="7"/>
  <c r="J281" i="7"/>
  <c r="J206" i="7"/>
  <c r="J376" i="7"/>
  <c r="J377" i="7"/>
  <c r="J327" i="7"/>
  <c r="J379" i="7"/>
  <c r="J229" i="7"/>
  <c r="J114" i="7"/>
  <c r="J241" i="7"/>
  <c r="J125" i="7"/>
  <c r="J530" i="7"/>
  <c r="J615" i="7"/>
  <c r="J283" i="7"/>
  <c r="J284" i="7"/>
  <c r="J620" i="7"/>
  <c r="J487" i="7"/>
  <c r="J103" i="7"/>
  <c r="J100" i="7"/>
  <c r="J490" i="7"/>
  <c r="J488" i="7"/>
  <c r="J492" i="7"/>
  <c r="J471" i="7"/>
  <c r="J259" i="7"/>
  <c r="J147" i="7"/>
  <c r="J148" i="7"/>
  <c r="J149" i="7"/>
  <c r="J150" i="7"/>
  <c r="J409" i="7"/>
  <c r="J547" i="7"/>
  <c r="J185" i="7"/>
  <c r="J619" i="7"/>
  <c r="J382" i="7"/>
  <c r="J515" i="7"/>
  <c r="J622" i="7"/>
  <c r="J623" i="7"/>
  <c r="J157" i="7"/>
  <c r="J638" i="7"/>
  <c r="J508" i="7"/>
  <c r="J497" i="7"/>
  <c r="J498" i="7"/>
  <c r="J363" i="7"/>
  <c r="J139" i="7"/>
  <c r="J481" i="7"/>
  <c r="J383" i="7"/>
  <c r="J384" i="7"/>
  <c r="J588" i="7"/>
  <c r="J386" i="7"/>
  <c r="J251" i="7"/>
  <c r="J331" i="7"/>
  <c r="J116" i="7"/>
  <c r="J628" i="7"/>
  <c r="J381" i="7"/>
  <c r="J507" i="7"/>
  <c r="J503" i="7"/>
  <c r="J504" i="7"/>
  <c r="J462" i="7"/>
  <c r="J463" i="7"/>
  <c r="J493" i="7"/>
  <c r="J618" i="7"/>
  <c r="J536" i="7"/>
  <c r="J388" i="7"/>
  <c r="J235" i="7"/>
  <c r="J339" i="7"/>
  <c r="J273" i="7"/>
  <c r="J152" i="7"/>
  <c r="J404" i="7"/>
  <c r="J73" i="7"/>
  <c r="J80" i="7"/>
  <c r="J156" i="7"/>
  <c r="J559" i="7"/>
  <c r="J76" i="7"/>
  <c r="J159" i="7"/>
  <c r="J396" i="7"/>
  <c r="J161" i="7"/>
  <c r="J162" i="7"/>
  <c r="J163" i="7"/>
  <c r="J423" i="7"/>
  <c r="J165" i="7"/>
  <c r="J401" i="7"/>
  <c r="J167" i="7"/>
  <c r="J305" i="7"/>
  <c r="J77" i="7"/>
  <c r="J509" i="7"/>
  <c r="J607" i="7"/>
  <c r="J375" i="7"/>
  <c r="J512" i="7"/>
  <c r="J479" i="7"/>
  <c r="J514" i="7"/>
  <c r="J374" i="7"/>
  <c r="J516" i="7"/>
  <c r="J286" i="7"/>
  <c r="J262" i="7"/>
  <c r="J288" i="7"/>
  <c r="J609" i="7"/>
  <c r="J367" i="7"/>
  <c r="J391" i="7"/>
  <c r="J311" i="7"/>
  <c r="J436" i="7"/>
  <c r="J353" i="7"/>
  <c r="J336" i="7"/>
  <c r="J521" i="7"/>
  <c r="J335" i="7"/>
  <c r="J523" i="7"/>
  <c r="J524" i="7"/>
  <c r="J72" i="7"/>
  <c r="J294" i="7"/>
  <c r="J527" i="7"/>
  <c r="J528" i="7"/>
  <c r="J529" i="7"/>
  <c r="J70" i="7"/>
  <c r="J69" i="7"/>
  <c r="J532" i="7"/>
  <c r="J533" i="7"/>
  <c r="J534" i="7"/>
  <c r="J535" i="7"/>
  <c r="J71" i="7"/>
  <c r="J537" i="7"/>
  <c r="J538" i="7"/>
  <c r="J539" i="7"/>
  <c r="J540" i="7"/>
  <c r="J541" i="7"/>
  <c r="J542" i="7"/>
  <c r="J543" i="7"/>
  <c r="J544" i="7"/>
  <c r="J545" i="7"/>
  <c r="J546" i="7"/>
  <c r="J289" i="7"/>
  <c r="J290" i="7"/>
  <c r="J517" i="7"/>
  <c r="J518" i="7"/>
  <c r="J519" i="7"/>
  <c r="J291" i="7"/>
  <c r="J292" i="7"/>
  <c r="J293" i="7"/>
  <c r="J631" i="7"/>
  <c r="J632" i="7"/>
  <c r="J633" i="7"/>
  <c r="J634" i="7"/>
  <c r="J635" i="7"/>
  <c r="J282" i="7"/>
  <c r="J637" i="7"/>
  <c r="J574" i="7"/>
  <c r="J445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22" i="7"/>
  <c r="J713" i="7"/>
  <c r="J714" i="7"/>
  <c r="J716" i="7"/>
  <c r="J717" i="7"/>
  <c r="J718" i="7"/>
  <c r="J719" i="7"/>
  <c r="J720" i="7"/>
  <c r="J721" i="7"/>
  <c r="J755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1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1203" i="7"/>
  <c r="J823" i="7"/>
  <c r="J824" i="7"/>
  <c r="J825" i="7"/>
  <c r="J1119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1160" i="7"/>
  <c r="J847" i="7"/>
  <c r="J848" i="7"/>
  <c r="J849" i="7"/>
  <c r="J850" i="7"/>
  <c r="J851" i="7"/>
  <c r="J852" i="7"/>
  <c r="J853" i="7"/>
  <c r="J854" i="7"/>
  <c r="J855" i="7"/>
  <c r="J1112" i="7"/>
  <c r="J857" i="7"/>
  <c r="J1217" i="7"/>
  <c r="J859" i="7"/>
  <c r="J860" i="7"/>
  <c r="J861" i="7"/>
  <c r="J1124" i="7"/>
  <c r="J1110" i="7"/>
  <c r="J1109" i="7"/>
  <c r="J1151" i="7"/>
  <c r="J1114" i="7"/>
  <c r="J1122" i="7"/>
  <c r="J1221" i="7"/>
  <c r="J1104" i="7"/>
  <c r="J1118" i="7"/>
  <c r="J1097" i="7"/>
  <c r="J872" i="7"/>
  <c r="J873" i="7"/>
  <c r="J1123" i="7"/>
  <c r="J875" i="7"/>
  <c r="J1091" i="7"/>
  <c r="J877" i="7"/>
  <c r="J878" i="7"/>
  <c r="J879" i="7"/>
  <c r="J880" i="7"/>
  <c r="J1257" i="7"/>
  <c r="J1211" i="7"/>
  <c r="J1298" i="7"/>
  <c r="J884" i="7"/>
  <c r="J1216" i="7"/>
  <c r="J886" i="7"/>
  <c r="J887" i="7"/>
  <c r="J1113" i="7"/>
  <c r="J1196" i="7"/>
  <c r="J1214" i="7"/>
  <c r="J1111" i="7"/>
  <c r="J1187" i="7"/>
  <c r="J893" i="7"/>
  <c r="J1101" i="7"/>
  <c r="J895" i="7"/>
  <c r="J896" i="7"/>
  <c r="J868" i="7"/>
  <c r="J898" i="7"/>
  <c r="J899" i="7"/>
  <c r="J900" i="7"/>
  <c r="J901" i="7"/>
  <c r="J902" i="7"/>
  <c r="J903" i="7"/>
  <c r="J904" i="7"/>
  <c r="J958" i="7"/>
  <c r="J906" i="7"/>
  <c r="J907" i="7"/>
  <c r="J908" i="7"/>
  <c r="J909" i="7"/>
  <c r="J910" i="7"/>
  <c r="J911" i="7"/>
  <c r="J912" i="7"/>
  <c r="J913" i="7"/>
  <c r="J914" i="7"/>
  <c r="J1043" i="7"/>
  <c r="J974" i="7"/>
  <c r="J881" i="7"/>
  <c r="J916" i="7"/>
  <c r="J971" i="7"/>
  <c r="J932" i="7"/>
  <c r="J985" i="7"/>
  <c r="J897" i="7"/>
  <c r="J940" i="7"/>
  <c r="J1024" i="7"/>
  <c r="J1036" i="7"/>
  <c r="J926" i="7"/>
  <c r="J953" i="7"/>
  <c r="J928" i="7"/>
  <c r="J891" i="7"/>
  <c r="J930" i="7"/>
  <c r="J931" i="7"/>
  <c r="J1047" i="7"/>
  <c r="J933" i="7"/>
  <c r="J934" i="7"/>
  <c r="J935" i="7"/>
  <c r="J889" i="7"/>
  <c r="J937" i="7"/>
  <c r="J925" i="7"/>
  <c r="J950" i="7"/>
  <c r="J856" i="7"/>
  <c r="J941" i="7"/>
  <c r="J942" i="7"/>
  <c r="J943" i="7"/>
  <c r="J944" i="7"/>
  <c r="J945" i="7"/>
  <c r="J946" i="7"/>
  <c r="J947" i="7"/>
  <c r="J948" i="7"/>
  <c r="J949" i="7"/>
  <c r="J890" i="7"/>
  <c r="J951" i="7"/>
  <c r="J918" i="7"/>
  <c r="J927" i="7"/>
  <c r="J954" i="7"/>
  <c r="J955" i="7"/>
  <c r="J1037" i="7"/>
  <c r="J995" i="7"/>
  <c r="J846" i="7"/>
  <c r="J959" i="7"/>
  <c r="J960" i="7"/>
  <c r="J961" i="7"/>
  <c r="J957" i="7"/>
  <c r="J963" i="7"/>
  <c r="J964" i="7"/>
  <c r="J965" i="7"/>
  <c r="J917" i="7"/>
  <c r="J967" i="7"/>
  <c r="J968" i="7"/>
  <c r="J1046" i="7"/>
  <c r="J970" i="7"/>
  <c r="J866" i="7"/>
  <c r="J972" i="7"/>
  <c r="J973" i="7"/>
  <c r="J939" i="7"/>
  <c r="J975" i="7"/>
  <c r="J976" i="7"/>
  <c r="J977" i="7"/>
  <c r="J978" i="7"/>
  <c r="J979" i="7"/>
  <c r="J921" i="7"/>
  <c r="J981" i="7"/>
  <c r="J982" i="7"/>
  <c r="J983" i="7"/>
  <c r="J984" i="7"/>
  <c r="J871" i="7"/>
  <c r="J876" i="7"/>
  <c r="J987" i="7"/>
  <c r="J988" i="7"/>
  <c r="J865" i="7"/>
  <c r="J990" i="7"/>
  <c r="J991" i="7"/>
  <c r="J992" i="7"/>
  <c r="J993" i="7"/>
  <c r="J994" i="7"/>
  <c r="J826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822" i="7"/>
  <c r="J1025" i="7"/>
  <c r="J1026" i="7"/>
  <c r="J1027" i="7"/>
  <c r="J1028" i="7"/>
  <c r="J1029" i="7"/>
  <c r="J1030" i="7"/>
  <c r="J870" i="7"/>
  <c r="J936" i="7"/>
  <c r="J1033" i="7"/>
  <c r="J1034" i="7"/>
  <c r="J1035" i="7"/>
  <c r="J1032" i="7"/>
  <c r="J1049" i="7"/>
  <c r="J1038" i="7"/>
  <c r="J1039" i="7"/>
  <c r="J1040" i="7"/>
  <c r="J1041" i="7"/>
  <c r="J1042" i="7"/>
  <c r="J919" i="7"/>
  <c r="J1084" i="7"/>
  <c r="J1045" i="7"/>
  <c r="J980" i="7"/>
  <c r="J1051" i="7"/>
  <c r="J883" i="7"/>
  <c r="J966" i="7"/>
  <c r="J874" i="7"/>
  <c r="J1044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108" i="7"/>
  <c r="J1085" i="7"/>
  <c r="J1261" i="7"/>
  <c r="J1087" i="7"/>
  <c r="J1184" i="7"/>
  <c r="J1089" i="7"/>
  <c r="J1154" i="7"/>
  <c r="J1245" i="7"/>
  <c r="J1092" i="7"/>
  <c r="J1197" i="7"/>
  <c r="J1094" i="7"/>
  <c r="J1241" i="7"/>
  <c r="J1096" i="7"/>
  <c r="J1192" i="7"/>
  <c r="J1098" i="7"/>
  <c r="J1099" i="7"/>
  <c r="J1107" i="7"/>
  <c r="J1173" i="7"/>
  <c r="J1206" i="7"/>
  <c r="J1088" i="7"/>
  <c r="J1182" i="7"/>
  <c r="J1130" i="7"/>
  <c r="J1129" i="7"/>
  <c r="J1188" i="7"/>
  <c r="J1237" i="7"/>
  <c r="J1210" i="7"/>
  <c r="J1183" i="7"/>
  <c r="J1251" i="7"/>
  <c r="J1132" i="7"/>
  <c r="J1115" i="7"/>
  <c r="J1243" i="7"/>
  <c r="J1220" i="7"/>
  <c r="J1207" i="7"/>
  <c r="J1117" i="7"/>
  <c r="J1205" i="7"/>
  <c r="J1141" i="7"/>
  <c r="J1181" i="7"/>
  <c r="J1215" i="7"/>
  <c r="J1100" i="7"/>
  <c r="J1259" i="7"/>
  <c r="J1176" i="7"/>
  <c r="J1174" i="7"/>
  <c r="J1103" i="7"/>
  <c r="J1246" i="7"/>
  <c r="J1304" i="7"/>
  <c r="J1213" i="7"/>
  <c r="J1177" i="7"/>
  <c r="J1159" i="7"/>
  <c r="J1212" i="7"/>
  <c r="J1133" i="7"/>
  <c r="J1134" i="7"/>
  <c r="J1135" i="7"/>
  <c r="J1136" i="7"/>
  <c r="J1137" i="7"/>
  <c r="J1138" i="7"/>
  <c r="J1139" i="7"/>
  <c r="J1140" i="7"/>
  <c r="J952" i="7"/>
  <c r="J1142" i="7"/>
  <c r="J1143" i="7"/>
  <c r="J1144" i="7"/>
  <c r="J1145" i="7"/>
  <c r="J1146" i="7"/>
  <c r="J1147" i="7"/>
  <c r="J1148" i="7"/>
  <c r="J1149" i="7"/>
  <c r="J1150" i="7"/>
  <c r="J1031" i="7"/>
  <c r="J1152" i="7"/>
  <c r="J1153" i="7"/>
  <c r="J956" i="7"/>
  <c r="J1155" i="7"/>
  <c r="J1156" i="7"/>
  <c r="J1157" i="7"/>
  <c r="J1158" i="7"/>
  <c r="J1048" i="7"/>
  <c r="J986" i="7"/>
  <c r="J920" i="7"/>
  <c r="J938" i="7"/>
  <c r="J1163" i="7"/>
  <c r="J1164" i="7"/>
  <c r="J1165" i="7"/>
  <c r="J1166" i="7"/>
  <c r="J1167" i="7"/>
  <c r="J1168" i="7"/>
  <c r="J863" i="7"/>
  <c r="J922" i="7"/>
  <c r="J894" i="7"/>
  <c r="J1050" i="7"/>
  <c r="J962" i="7"/>
  <c r="J882" i="7"/>
  <c r="J867" i="7"/>
  <c r="J892" i="7"/>
  <c r="J905" i="7"/>
  <c r="J862" i="7"/>
  <c r="J1179" i="7"/>
  <c r="J1180" i="7"/>
  <c r="J923" i="7"/>
  <c r="J989" i="7"/>
  <c r="J969" i="7"/>
  <c r="J888" i="7"/>
  <c r="J924" i="7"/>
  <c r="J858" i="7"/>
  <c r="J885" i="7"/>
  <c r="J915" i="7"/>
  <c r="J929" i="7"/>
  <c r="J1190" i="7"/>
  <c r="J869" i="7"/>
  <c r="J864" i="7"/>
  <c r="J1193" i="7"/>
  <c r="J1194" i="7"/>
  <c r="J1195" i="7"/>
  <c r="J1219" i="7"/>
  <c r="J1247" i="7"/>
  <c r="J1198" i="7"/>
  <c r="J1199" i="7"/>
  <c r="J1200" i="7"/>
  <c r="J1086" i="7"/>
  <c r="J1161" i="7"/>
  <c r="J1170" i="7"/>
  <c r="J1131" i="7"/>
  <c r="J1120" i="7"/>
  <c r="J1095" i="7"/>
  <c r="J1162" i="7"/>
  <c r="J1189" i="7"/>
  <c r="J1191" i="7"/>
  <c r="J1252" i="7"/>
  <c r="J1186" i="7"/>
  <c r="J1093" i="7"/>
  <c r="J1208" i="7"/>
  <c r="J1169" i="7"/>
  <c r="J1121" i="7"/>
  <c r="J1300" i="7"/>
  <c r="J1116" i="7"/>
  <c r="J1239" i="7"/>
  <c r="J1172" i="7"/>
  <c r="J1209" i="7"/>
  <c r="J1204" i="7"/>
  <c r="J1171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106" i="7"/>
  <c r="J1238" i="7"/>
  <c r="J1125" i="7"/>
  <c r="J1240" i="7"/>
  <c r="J1218" i="7"/>
  <c r="J1242" i="7"/>
  <c r="J1090" i="7"/>
  <c r="J1244" i="7"/>
  <c r="J1105" i="7"/>
  <c r="J1127" i="7"/>
  <c r="J1222" i="7"/>
  <c r="J1248" i="7"/>
  <c r="J1249" i="7"/>
  <c r="J1250" i="7"/>
  <c r="J1126" i="7"/>
  <c r="J1178" i="7"/>
  <c r="J1253" i="7"/>
  <c r="J1254" i="7"/>
  <c r="J1102" i="7"/>
  <c r="J1256" i="7"/>
  <c r="J1255" i="7"/>
  <c r="J1258" i="7"/>
  <c r="J1201" i="7"/>
  <c r="J1260" i="7"/>
  <c r="J1185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02" i="7"/>
  <c r="J1299" i="7"/>
  <c r="J1175" i="7"/>
  <c r="J1301" i="7"/>
  <c r="J1302" i="7"/>
  <c r="J1303" i="7"/>
  <c r="J1128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814" i="7"/>
  <c r="J1787" i="7"/>
  <c r="J1788" i="7"/>
  <c r="J1789" i="7"/>
  <c r="J1864" i="7"/>
  <c r="J1853" i="7"/>
  <c r="J1891" i="7"/>
  <c r="J1867" i="7"/>
  <c r="J1849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10" i="7"/>
  <c r="J1838" i="7"/>
  <c r="J1792" i="7"/>
  <c r="J1807" i="7"/>
  <c r="J1841" i="7"/>
  <c r="J1812" i="7"/>
  <c r="J1831" i="7"/>
  <c r="J1830" i="7"/>
  <c r="J1790" i="7"/>
  <c r="J1815" i="7"/>
  <c r="J1893" i="7"/>
  <c r="J1850" i="7"/>
  <c r="J1900" i="7"/>
  <c r="J1879" i="7"/>
  <c r="J1859" i="7"/>
  <c r="J1848" i="7"/>
  <c r="J1899" i="7"/>
  <c r="J1868" i="7"/>
  <c r="J1863" i="7"/>
  <c r="J1847" i="7"/>
  <c r="J1880" i="7"/>
  <c r="J1854" i="7"/>
  <c r="J1851" i="7"/>
  <c r="J1884" i="7"/>
  <c r="J1902" i="7"/>
  <c r="J1898" i="7"/>
  <c r="J1860" i="7"/>
  <c r="J1892" i="7"/>
  <c r="J1904" i="7"/>
  <c r="J1897" i="7"/>
  <c r="J1896" i="7"/>
  <c r="J1874" i="7"/>
  <c r="J1861" i="7"/>
  <c r="J1881" i="7"/>
  <c r="J1865" i="7"/>
  <c r="J1842" i="7"/>
  <c r="J1843" i="7"/>
  <c r="J1844" i="7"/>
  <c r="J1820" i="7"/>
  <c r="J1819" i="7"/>
  <c r="J1793" i="7"/>
  <c r="J1808" i="7"/>
  <c r="J1829" i="7"/>
  <c r="J1823" i="7"/>
  <c r="J1839" i="7"/>
  <c r="J1811" i="7"/>
  <c r="J1786" i="7"/>
  <c r="J1791" i="7"/>
  <c r="J1834" i="7"/>
  <c r="J1856" i="7"/>
  <c r="J1857" i="7"/>
  <c r="J1858" i="7"/>
  <c r="J1833" i="7"/>
  <c r="J1822" i="7"/>
  <c r="J1840" i="7"/>
  <c r="J1827" i="7"/>
  <c r="J1794" i="7"/>
  <c r="J1837" i="7"/>
  <c r="J1825" i="7"/>
  <c r="J1821" i="7"/>
  <c r="J1832" i="7"/>
  <c r="J1816" i="7"/>
  <c r="J1869" i="7"/>
  <c r="J1870" i="7"/>
  <c r="J1871" i="7"/>
  <c r="J1872" i="7"/>
  <c r="J1873" i="7"/>
  <c r="J1866" i="7"/>
  <c r="J1875" i="7"/>
  <c r="J1876" i="7"/>
  <c r="J1877" i="7"/>
  <c r="J1878" i="7"/>
  <c r="J1890" i="7"/>
  <c r="J1852" i="7"/>
  <c r="J1882" i="7"/>
  <c r="J1855" i="7"/>
  <c r="J1862" i="7"/>
  <c r="J1883" i="7"/>
  <c r="J1885" i="7"/>
  <c r="J1886" i="7"/>
  <c r="J1887" i="7"/>
  <c r="J1888" i="7"/>
  <c r="J1889" i="7"/>
  <c r="J1824" i="7"/>
  <c r="J1813" i="7"/>
  <c r="J1817" i="7"/>
  <c r="J1835" i="7"/>
  <c r="J1894" i="7"/>
  <c r="J1895" i="7"/>
  <c r="J2" i="7"/>
</calcChain>
</file>

<file path=xl/sharedStrings.xml><?xml version="1.0" encoding="utf-8"?>
<sst xmlns="http://schemas.openxmlformats.org/spreadsheetml/2006/main" count="7629" uniqueCount="2814">
  <si>
    <t>ANDREA FATIMA DIAS SILVA</t>
  </si>
  <si>
    <t>SERVENTE - INSALUB. 40%</t>
  </si>
  <si>
    <t>ED.LONDRINA - EM DO CAMPO TRABALHO E SABER</t>
  </si>
  <si>
    <t>JESSICA CRISTINA STEPANIAK RICARDO</t>
  </si>
  <si>
    <t>VANESSA APARECIDA DA SILVA PERIN</t>
  </si>
  <si>
    <t>IVANETE GALVAO ADAMS SANTOS</t>
  </si>
  <si>
    <t>ED.LONDRINA - EM DO CAMPO EGIDIO DOMINGOS BRUNETTO</t>
  </si>
  <si>
    <t>ROSINEIDE MIRANDA</t>
  </si>
  <si>
    <t>ALINE CARDOSO DA SILVA</t>
  </si>
  <si>
    <t>ED.LONDRINA - CMEI ABDIAS DO NASCIMENTO</t>
  </si>
  <si>
    <t>EDIANE DOS SANTOS</t>
  </si>
  <si>
    <t>MARLENE OLIVEIRA DE CASTRO</t>
  </si>
  <si>
    <t>ED.LONDRINA - CMEI AMANDA ROSSI</t>
  </si>
  <si>
    <t>ZELIA MARIA SANTANA</t>
  </si>
  <si>
    <t>ED.LONDRINA - CMEI ANTONIETA TRINDADE</t>
  </si>
  <si>
    <t>TATIANE DA SILVA SAMPAIO</t>
  </si>
  <si>
    <t>LINDAURIA LEMES DE OLIVEIRA</t>
  </si>
  <si>
    <t>PAULA CAROLINA FERNANDES DE MOURA</t>
  </si>
  <si>
    <t>ED.LONDRINA - CMEI CAROLINA BENEDITA DOS SANTOS</t>
  </si>
  <si>
    <t>ELISE DE SOUZA SANTOS</t>
  </si>
  <si>
    <t>CINTIA BEATRIZ CORREIA DOS SANTOS</t>
  </si>
  <si>
    <t>SERVENTE</t>
  </si>
  <si>
    <t>ED.LONDRINA - CMEI CLEMILDE DE MARTINI LOPES DOS SANTOS</t>
  </si>
  <si>
    <t>ROSELENE GOMES DE LIMA</t>
  </si>
  <si>
    <t>ELAINE FERMINO DA COSTA</t>
  </si>
  <si>
    <t>ED.LONDRINA - CMEI DURVALINA PEREIRA OLIVEIRA DE ASSIS</t>
  </si>
  <si>
    <t>CLAUDINEIA DE LOUDES BENTO</t>
  </si>
  <si>
    <t>ANGELITA GRACIELE RODRIGUES DA SILVA</t>
  </si>
  <si>
    <t>MARIA APARECIDA PEDROSO</t>
  </si>
  <si>
    <t>ED.LONDRINA - CMEI FRANCISCO QUESADA ORTEGA</t>
  </si>
  <si>
    <t>PATRICIA APARECIDA DA CRUZ</t>
  </si>
  <si>
    <t>ESTEFANI MORAES</t>
  </si>
  <si>
    <t>ED.LONDRINA - CMEI HELENA OMETTO TORRES</t>
  </si>
  <si>
    <t>JESSICA REZENDE</t>
  </si>
  <si>
    <t>CARMELITA FATIMA CRESPIM DE ARAUJO</t>
  </si>
  <si>
    <t>ROSANGELA QUINTINO DA FONSECA</t>
  </si>
  <si>
    <t>ED.LONDRINA - CMEI JOÃO RAMPAZZO</t>
  </si>
  <si>
    <t>SILVANA CRISTINA DE BARROS</t>
  </si>
  <si>
    <t>ROSANGELA CRISTINA DA COSTA OLIVEIRA</t>
  </si>
  <si>
    <t>ED.LONDRINA - CMEI KALIN YOUSSEF YOUSSEF</t>
  </si>
  <si>
    <t>EZAULIRA RODRIGUES DA SILVA SANTOS</t>
  </si>
  <si>
    <t>MARCIA RITA DA SILVA</t>
  </si>
  <si>
    <t>ED.LONDRINA - CMEI LAURA VERGINIA DE CARVALHO RIBEIRO</t>
  </si>
  <si>
    <t>TAIS APARECIDA SANTANA GERONIMO</t>
  </si>
  <si>
    <t>NEUSA ROSA DOS SANTOS</t>
  </si>
  <si>
    <t>VALERIA GONCALVES FERREIRA</t>
  </si>
  <si>
    <t>LETICIA SALMASO</t>
  </si>
  <si>
    <t>ED.LONDRINA - CMEI LAVÍNIA MONTEIRO DE MORAES</t>
  </si>
  <si>
    <t>ANGELA CRISTINA MALHEIROS PEREZ</t>
  </si>
  <si>
    <t>ROSEMEYRE SOARES DA SILVA</t>
  </si>
  <si>
    <t>DIANA APARECIDA ZARAMELLA</t>
  </si>
  <si>
    <t>ED.LONDRINA - CMEI SANDRA REGINA MAXIMIANO LEME</t>
  </si>
  <si>
    <t>SANDRA ANTUNES DE SOUZA</t>
  </si>
  <si>
    <t>ROSANGELA CRISTINA DOS SANTOS</t>
  </si>
  <si>
    <t>HELENA APARECIDA DA SILVA</t>
  </si>
  <si>
    <t>ED.LONDRINA - CMEI MALVINA POPPI PEDRIALLI</t>
  </si>
  <si>
    <t>LAIS BATISTA FERREIRA EDUARDO</t>
  </si>
  <si>
    <t>ROSANA FATIMA MARTINS</t>
  </si>
  <si>
    <t>MARIA ALICE SAMPAIO</t>
  </si>
  <si>
    <t>ED.LONDRINA - CMEI MARINA SABÓIA NASCIMENTO</t>
  </si>
  <si>
    <t>LUCIANA LOURENÇO RIBEIRO</t>
  </si>
  <si>
    <t>EDNA DA SILVA PEREIRA</t>
  </si>
  <si>
    <t>SOLANGE DA COSTA MARIANO</t>
  </si>
  <si>
    <t>LOURDES APARECIDA CAMILO FERNANDES</t>
  </si>
  <si>
    <t>VALERIA FELIX DE SOUZA SILVA</t>
  </si>
  <si>
    <t>ED.LONDRINA - CMEI MARISA ARRUDA DOS SANTOS</t>
  </si>
  <si>
    <t>ELENIR DA SILVA PEREIRA ALMEIDA</t>
  </si>
  <si>
    <t>DALVA GOMES BEZERRA ANTUNES</t>
  </si>
  <si>
    <t>ALESSANDRA PEREIRA LUIZ</t>
  </si>
  <si>
    <t>FRANCIELLE MEDEIROS LOPES</t>
  </si>
  <si>
    <t>ED.LONDRINA - CMEI MARÍZIA CARLI LOURES</t>
  </si>
  <si>
    <t>PRINPRINIERI KARULINE VIANA NASCIMENTO</t>
  </si>
  <si>
    <t>CLARICE ANTONELLI</t>
  </si>
  <si>
    <t>ED.LONDRINA - CMEI MARLI MARQUES AGOSTINHO</t>
  </si>
  <si>
    <t>AMANDA PEREIRA DA SILVA SANTOS</t>
  </si>
  <si>
    <t>CELIA MARIA CARVALHO</t>
  </si>
  <si>
    <t>ED.LONDRINA - CMEI NISSIA ROCHA CABRAL</t>
  </si>
  <si>
    <t>MARLENE LUCIO DE GODOI</t>
  </si>
  <si>
    <t>LORRAINE CAMILA TEQUIZ DE CARVALHO</t>
  </si>
  <si>
    <t>CRISTIANE ELIZABETE WILLE</t>
  </si>
  <si>
    <t>EVA VILMA BUENO FIM</t>
  </si>
  <si>
    <t>ED.LONDRINA - CMEI PASTOR FRANCISCO SEIXAS</t>
  </si>
  <si>
    <t>EDNA APARECIDA FERNANDES SOARES</t>
  </si>
  <si>
    <t>PAULO EDUARDO PINHEIRO</t>
  </si>
  <si>
    <t xml:space="preserve">ED.LONDRINA - CMEI PREDIAL VALERIA VERONESI </t>
  </si>
  <si>
    <t>GERALDA MARQUES DE BARROS</t>
  </si>
  <si>
    <t>ED.LONDRINA - CMEI PREDIAL VALERIA VERONESI  II</t>
  </si>
  <si>
    <t>ANA PAULA CORREIA</t>
  </si>
  <si>
    <t>ED.LONDRINA - CMEI PROF CLÉLIA REGINA GUILHERME</t>
  </si>
  <si>
    <t>KATIA FLAVIA DE SOUZA</t>
  </si>
  <si>
    <t>ADRIANA DA SILVA SIMAO</t>
  </si>
  <si>
    <t>LUCIA FREIRE VIEIRA</t>
  </si>
  <si>
    <t>MARCIA ROSA PEREIRA</t>
  </si>
  <si>
    <t>IVONETE JUSTINO TEODORO</t>
  </si>
  <si>
    <t>ED.LONDRINA - CMEI PROF TELMA CAVALIERI MOTA SANCHES</t>
  </si>
  <si>
    <t>FERNANDA CRISTINA SEVERINO</t>
  </si>
  <si>
    <t>ADRIANA DOS SANTOS MORAES</t>
  </si>
  <si>
    <t>MAYARA ALVES DE PAULA</t>
  </si>
  <si>
    <t>ED.LONDRINA - CMEI PROF VANDERLAINE AP. RODRIGUES</t>
  </si>
  <si>
    <t>ROSANGELA APARECIDA DA SILVA SANTOS</t>
  </si>
  <si>
    <t>NEIDE APARECIDA DA SILVA FERRAS</t>
  </si>
  <si>
    <t>MARIANE REZENDE DE LIMA</t>
  </si>
  <si>
    <t>MARIA DE LOURDES MERETICA</t>
  </si>
  <si>
    <t>ED.LONDRINA - CMEI RAFAELA KEMER</t>
  </si>
  <si>
    <t>CAMILA FERNANDA LAURENTINO VINHA</t>
  </si>
  <si>
    <t>MILENE MARIA SCARELLI MELO</t>
  </si>
  <si>
    <t>ED.LONDRINA - CMEI ROSANGELA DE OLIVEIRA ROMANO</t>
  </si>
  <si>
    <t>FRANCIELE SILVA SANTOS</t>
  </si>
  <si>
    <t>JANDIRA IZABEL ROMAO</t>
  </si>
  <si>
    <t>ED.LONDRINA - CMEI RUTH SANTOS SILVA</t>
  </si>
  <si>
    <t>SILVIA DIAS</t>
  </si>
  <si>
    <t>CELIA REGINA MARQUES</t>
  </si>
  <si>
    <t>ED.LONDRINA - CMEI VALÉRIA VERONESI</t>
  </si>
  <si>
    <t>KEZIA SILVANA SEGANTIN</t>
  </si>
  <si>
    <t>MARIA AUGUSTA VIEIRA MECCHI</t>
  </si>
  <si>
    <t>ANA CAROLINA DA SILVA FELIPE</t>
  </si>
  <si>
    <t>LIZIANNE ELLIS FREIRE DA COSTA</t>
  </si>
  <si>
    <t>BEATRIZ LEITE</t>
  </si>
  <si>
    <t>ROSILENE DE ARAUJO ROCHA</t>
  </si>
  <si>
    <t>ROSANGELA ARAUJO ROCHA</t>
  </si>
  <si>
    <t>ROZANA REGINA DA SILVA GONCALVES</t>
  </si>
  <si>
    <t>ADRIANA ARRUDA LEITE</t>
  </si>
  <si>
    <t>JOELMA MARIA DA CRUZ</t>
  </si>
  <si>
    <t>ED.LONDRINA - CMEI VILMA ELIZA COLOMBO RIBEIRO</t>
  </si>
  <si>
    <t>JENIFER CAROLINE FELIX PEREIRA</t>
  </si>
  <si>
    <t>PRISCILA GOTCHALK DA SILVA VITORELLO</t>
  </si>
  <si>
    <t>JESSICA MAIRA FERNANDES</t>
  </si>
  <si>
    <t>LEILA CRISTINA CARNEIRO DA SILVA</t>
  </si>
  <si>
    <t>ED.LONDRINA - CMEI VISTA BELA</t>
  </si>
  <si>
    <t>SUELI MARINS DE LIMA</t>
  </si>
  <si>
    <t>DEISIELE PEREIRA DE OLIVEIRA</t>
  </si>
  <si>
    <t>ED.LONDRINA - CMEI WATER OKANO</t>
  </si>
  <si>
    <t>ROSANGELA MARIA PEREIRA DA COSTA</t>
  </si>
  <si>
    <t>ROSANGELA DA SILVA GUSMÃO</t>
  </si>
  <si>
    <t>MARIA VANDA DA LUZ SILVA</t>
  </si>
  <si>
    <t>ANA PAULA NEVES SILVA</t>
  </si>
  <si>
    <t>ED.LONDRINA - CMEI YOLANDA SALGADO VIEIRA LIMA</t>
  </si>
  <si>
    <t>SANDRA NUNES DE ALMEIDA SILVA</t>
  </si>
  <si>
    <t>CIBELE FANAS DOS SANTOS</t>
  </si>
  <si>
    <t>DAYANE DOS SANTOS MACEDO PEREIRA</t>
  </si>
  <si>
    <t>ED.LONDRINA - EM AMÉRICA SABINO COIMBRA</t>
  </si>
  <si>
    <t>ROSANA APARECIDA DA CONCEICAO</t>
  </si>
  <si>
    <t>DANIELE PRUDENCIO DA SILVA</t>
  </si>
  <si>
    <t>BRUNA ANA PAULA VITORINO DO NASCIMENTO</t>
  </si>
  <si>
    <t>KEILA JEANE MACEDO</t>
  </si>
  <si>
    <t>GILVANETE SIQUEIRA COSTA</t>
  </si>
  <si>
    <t>LUZIANE SOARES DOS REIS</t>
  </si>
  <si>
    <t>ELEN BRUNA AMANCIO</t>
  </si>
  <si>
    <t>ROSALINA GONCALVES DE ALMEIDA</t>
  </si>
  <si>
    <t>JANAINA DE ASSIS PEREIRA</t>
  </si>
  <si>
    <t>SIMONE APARECIDA LEANDRO</t>
  </si>
  <si>
    <t>ED.LONDRINA - EM ANITA GARIBALDI</t>
  </si>
  <si>
    <t>ALINE BERNARDO BASI MOREIRA</t>
  </si>
  <si>
    <t>TAIS APARECIDA GOMES FERREIRA</t>
  </si>
  <si>
    <t>ED.LONDRINA - EM ARISTEU DOS SANTOS RIBAS</t>
  </si>
  <si>
    <t>JUCILAINE APARECIDA DOS SANTOS</t>
  </si>
  <si>
    <t>MARIA ROSIMEIRE DOS SANTOS</t>
  </si>
  <si>
    <t>MEYRE CRISTINA VINAGRE DA SILVA</t>
  </si>
  <si>
    <t>FABIANA DA SILVA MORAIS</t>
  </si>
  <si>
    <t>FERNANDA SANTOS DA SILVA</t>
  </si>
  <si>
    <t>ROBERTA MENDES DA SILVA</t>
  </si>
  <si>
    <t>ED.LONDRINA - EM ARMANDO DO ROSÁRIO CASTELO</t>
  </si>
  <si>
    <t>SANDRA APARECIDA DA SILVA</t>
  </si>
  <si>
    <t>MARILDA SILVA MOREIRA</t>
  </si>
  <si>
    <t>MARCIA SILVA MOREIRA PEREIRA</t>
  </si>
  <si>
    <t>MARCIA MARIA DE OLIVEIRA MARTINI</t>
  </si>
  <si>
    <t>ED.LONDRINA - EM ARTHUR THOMAS</t>
  </si>
  <si>
    <t>LUCIANA DA SILVA FERREIRA</t>
  </si>
  <si>
    <t>ELIZABETH FELIPE DE SOUZA</t>
  </si>
  <si>
    <t>MARCIA SIMONE PULGA</t>
  </si>
  <si>
    <t>ED.LONDRINA - EM ATANÁZIO LEONEL</t>
  </si>
  <si>
    <t>VANESSA DA SILVA SIQUEIRA</t>
  </si>
  <si>
    <t>NOEMI MARTINS</t>
  </si>
  <si>
    <t>CRISTIANE BARBOSA DOS SANTOS</t>
  </si>
  <si>
    <t>ALINE FRANCIELE SANTIAGO</t>
  </si>
  <si>
    <t>ILZA COSTA DA SILVA ROSSI</t>
  </si>
  <si>
    <t>DAIANE APARECIDA RODRIGUES DA SILVA</t>
  </si>
  <si>
    <t>LOIDE INGLES</t>
  </si>
  <si>
    <t>ANGELA MARIA INGLES</t>
  </si>
  <si>
    <t>MARILINDA MONTEIRO BARBOZA</t>
  </si>
  <si>
    <t>LUCIANA DO CARMO VIEIRA MORAIS</t>
  </si>
  <si>
    <t>ED.LONDRINA - EM BARTOLOMEU DE GUSMÃO</t>
  </si>
  <si>
    <t>LIGIANE APARECIDA VIEIRA PAIM</t>
  </si>
  <si>
    <t>RENATA GARCIA DE OLIVEIRA</t>
  </si>
  <si>
    <t>ED.LONDRINA - EM CARLOS DIETZ</t>
  </si>
  <si>
    <t>ROSILENE APARECIDA SANTOS</t>
  </si>
  <si>
    <t>LEONILDACIR DOS SANTOS BONAÇOLI</t>
  </si>
  <si>
    <t>ED.LONDRINA - EM CARLOS KRAEMER</t>
  </si>
  <si>
    <t>ROSANGELA DE MORAIS MARQUES OLIVEIRA</t>
  </si>
  <si>
    <t>ANGELA MARIA DE MATOS SOUZA</t>
  </si>
  <si>
    <t>ROZANA SIMONI GABRIEL MARTINS DA SILVA</t>
  </si>
  <si>
    <t>SANDRA AMARAL DIAS PRADO</t>
  </si>
  <si>
    <t>VALDINEA DA SILVA ALMEIDA</t>
  </si>
  <si>
    <t>ELIANE MARTINS COSTA</t>
  </si>
  <si>
    <t>ED.LONDRINA - EM CECÍLIA HERMÍNIA OLIVEIRA GONÇALVES</t>
  </si>
  <si>
    <t>LAIS REGINA FARIAS</t>
  </si>
  <si>
    <t>JUNIA RIBEIRO DE NOVAES GONCALVES</t>
  </si>
  <si>
    <t>ROSELI REIS DA COSTA GUILHERME</t>
  </si>
  <si>
    <t>TATIANE APARECIDA PIRES</t>
  </si>
  <si>
    <t>ED.LONDRINA - EM CLÁUDIA RIZZI</t>
  </si>
  <si>
    <t>RAQUEL GONCALVES DE ANDRADE</t>
  </si>
  <si>
    <t>REGINA APARECIDA CANDIDO</t>
  </si>
  <si>
    <t>ROSANGELA JUSTINA DOS SANTOS</t>
  </si>
  <si>
    <t>LILIAN FERNANDA SANTOS PEREIRA</t>
  </si>
  <si>
    <t>ED.LONDRINA - EM CORVETA CAMAQUÃ</t>
  </si>
  <si>
    <t>GLAUCIA REGINA DE SOUZA</t>
  </si>
  <si>
    <t>VANESSA LOURENCO DA CRUZ</t>
  </si>
  <si>
    <t>ED.LONDRINA - EM DA VILA BRASIL</t>
  </si>
  <si>
    <t>JOSILDA SILVESTRE LOPES</t>
  </si>
  <si>
    <t>ED.LONDRINA - EM DALVA FAHL BOAVENTURA</t>
  </si>
  <si>
    <t>PATRICIA TEREZINHA DA SILVA SOUZA</t>
  </si>
  <si>
    <t>MARIA APARECIDA DE SOUZA</t>
  </si>
  <si>
    <t>PATRICIA BORGHESI DOS SANTOS</t>
  </si>
  <si>
    <t>ED.LONDRINA - EM DAVID DEQUECH</t>
  </si>
  <si>
    <t>SUELY MOREIRA DA SILVA</t>
  </si>
  <si>
    <t>ROSE PEREIRA DOS SANTOS</t>
  </si>
  <si>
    <t>ROSANGELA GERMANO LEHRBAUM</t>
  </si>
  <si>
    <t>ELIANE PEREIRA DA COSTA</t>
  </si>
  <si>
    <t>ED.LONDRINA - EM DR CLAUDIO DE ALMEIDA E SILVA</t>
  </si>
  <si>
    <t>JAQUELINE TIMOTEO DE ANDRADE</t>
  </si>
  <si>
    <t>MARIA LUCIA CADETE</t>
  </si>
  <si>
    <t>ROSANA DA SILVA SANTOS</t>
  </si>
  <si>
    <t>APARECIDA NELI DIAS</t>
  </si>
  <si>
    <t>LUCIA DONIZETI LOPES</t>
  </si>
  <si>
    <t>ED.LONDRINA - EM DR JOAQUIM VICENTE DE CASTRO</t>
  </si>
  <si>
    <t>CLEONICE ROSALVO DOS SANTOS SOARES</t>
  </si>
  <si>
    <t>FABIANA SILVA</t>
  </si>
  <si>
    <t>ANA CAROLINA CARVALHO FERREIRA</t>
  </si>
  <si>
    <t>APARECIDA KETTY DE ALMEIDA</t>
  </si>
  <si>
    <t>TATIANE GOMES BURQUE CASTRO</t>
  </si>
  <si>
    <t>TANIA CRISTINA DE SOUZA SILVA</t>
  </si>
  <si>
    <t>ED.LONDRINA - EM EDMUNDO ODEBRECHT</t>
  </si>
  <si>
    <t>LARISSA STIGARE PEREIRA</t>
  </si>
  <si>
    <t>LAUDICEIA BENTO BRAMBILLA</t>
  </si>
  <si>
    <t>CLEUSA MODESTO DA SILVA</t>
  </si>
  <si>
    <t>ED.LONDRINA - EM ELIAS KAUAM</t>
  </si>
  <si>
    <t>DULCIMARA DANIEL RODRIGUES</t>
  </si>
  <si>
    <t>JOSIMARA DANIELE MOREIRA</t>
  </si>
  <si>
    <t>DANIELA MODESTO JOSE</t>
  </si>
  <si>
    <t>VERA LUCIA LUCHEZ DO PRADO</t>
  </si>
  <si>
    <t>ED.LONDRINA - EM EUGÊNIO BRUGIN</t>
  </si>
  <si>
    <t>MARIA CLARICE OLIVEIRA</t>
  </si>
  <si>
    <t>NELCILENE DO NASCIMENTO DE CASTRO</t>
  </si>
  <si>
    <t>LILIANE MENDES DA SILVA</t>
  </si>
  <si>
    <t>MARIA CASTORINA RIBEIRO CLARO</t>
  </si>
  <si>
    <t>ROSELY DE CARVALHO FERNANDES</t>
  </si>
  <si>
    <t>KEILA ADRIANE MARQUES LUCAS</t>
  </si>
  <si>
    <t>ED.LONDRINA - EM EURIDES CUNHA</t>
  </si>
  <si>
    <t>JOSIANE ANDREIA SILVA DE QUEIROZ</t>
  </si>
  <si>
    <t>SANDRA DA COSTA</t>
  </si>
  <si>
    <t>MARILI DA SILVA</t>
  </si>
  <si>
    <t>SOLANGE MARQUES DA SILVA OLIVEIRA</t>
  </si>
  <si>
    <t>ED.LONDRINA - EM FRANCISCO AQUINO TOLEDO</t>
  </si>
  <si>
    <t>ELIZABETE JANUARIO ALVES</t>
  </si>
  <si>
    <t>JOSIMARA MACHADO DOS SANTOS</t>
  </si>
  <si>
    <t>ROSECLER SANTIAGO CANDIDO MOTA</t>
  </si>
  <si>
    <t>ED.LONDRINA - EM FRANCISCO PEREIRA DE ALMEIDA JÚNIOR</t>
  </si>
  <si>
    <t>ILDA PEREIRA XAVIER</t>
  </si>
  <si>
    <t>CLAUDETE PEREIRA DE SOUZA</t>
  </si>
  <si>
    <t>RAIMUNDA JUREMA DE ALMEIDA SALES</t>
  </si>
  <si>
    <t>ELIEGI CRISTINA PEREIRA DOS SANTOS DE ABREU</t>
  </si>
  <si>
    <t>SELMA BONVINO SILVA</t>
  </si>
  <si>
    <t>SILVANA DE LIMA LUZ</t>
  </si>
  <si>
    <t>ED.LONDRINA - EM GENY FERREIRA</t>
  </si>
  <si>
    <t>ALESSANDRA DA SILVA CRUZ</t>
  </si>
  <si>
    <t>MONICA DYENIFFER OLIVEIRA</t>
  </si>
  <si>
    <t>CRISTINA KEITTI DE OLIVEIRA</t>
  </si>
  <si>
    <t>ED.LONDRINA - EM HAYDEE COLLI MONTEIRO</t>
  </si>
  <si>
    <t>GILCINEA LILIANA SALES</t>
  </si>
  <si>
    <t>SILMARA SANTOS DA SILVA</t>
  </si>
  <si>
    <t>SILVANA CRISTINA LOPES</t>
  </si>
  <si>
    <t>SANDRA ADAO DA SILVA</t>
  </si>
  <si>
    <t>ED.LONDRINA - EM HIKOMA UDIHARA</t>
  </si>
  <si>
    <t>SELMA GIOVANI DE SOUZA</t>
  </si>
  <si>
    <t>MEIRE DE CARVALHO PEREIRA</t>
  </si>
  <si>
    <t>ROSEMEIRE PEREIRA FRANGILO</t>
  </si>
  <si>
    <t>ZILDA POTIL MAGALHAES</t>
  </si>
  <si>
    <t>ANDREIA TEIXEIRA DA MOTTA</t>
  </si>
  <si>
    <t>ED.LONDRINA - EM IGNEZ CORSO ANDREAZZA</t>
  </si>
  <si>
    <t>MARINA APARECIDA CANDIDO NEVES</t>
  </si>
  <si>
    <t>EDILEUSA NERCI DA SILVA</t>
  </si>
  <si>
    <t>KENIA PAULA DE OLIVEIRA</t>
  </si>
  <si>
    <t>GISLAINE CRISTINA DE SOUZA GOUVELA</t>
  </si>
  <si>
    <t>FRANCIELE CARVALHO DE OLIVEIRA</t>
  </si>
  <si>
    <t>WALKIRIA KARINA DA SILVA</t>
  </si>
  <si>
    <t>CARINA SUZI FIDELIS</t>
  </si>
  <si>
    <t>DANIELI OLIVEIRA DOS SANTOS ALVES</t>
  </si>
  <si>
    <t>BEATRIZ CASTRO DE SOUZA</t>
  </si>
  <si>
    <t>ED.LONDRINA - EM IRENE APARECIDA DA SILVA</t>
  </si>
  <si>
    <t>LUZIA FERREIRA DA SILVA</t>
  </si>
  <si>
    <t>ELAINE CRISTINA GOMES DA COSTA FARIAS</t>
  </si>
  <si>
    <t>MARTA FERREIRA DIAS</t>
  </si>
  <si>
    <t>LUCIANA DA SILVA PEREIRA DE BARROS</t>
  </si>
  <si>
    <t>ED.LONDRINA - EM JADIR DUTRA DE SOUZA</t>
  </si>
  <si>
    <t>MARCELA APARECIDA DOS SANTOS MELO</t>
  </si>
  <si>
    <t>SIMONE APARECIDA DOS SANTOS</t>
  </si>
  <si>
    <t>ED.LONDRINA - EM JOÃO XXIII</t>
  </si>
  <si>
    <t>LISSANDRA JACQUES DA SILVA</t>
  </si>
  <si>
    <t>EDNA APARECIDA DIAS MOREIRA PIMENTEL</t>
  </si>
  <si>
    <t>ED.LONDRINA - EM JOAQUIM MENDES</t>
  </si>
  <si>
    <t>VALDELICE SALES MORAIS</t>
  </si>
  <si>
    <t>TATIANE ALVES ROCHA</t>
  </si>
  <si>
    <t>GISELE MIGUEL DE OLIVEIRA</t>
  </si>
  <si>
    <t>ROSILENE ROGERIO</t>
  </si>
  <si>
    <t>ED.LONDRINA - EM JOHN KENNEDY</t>
  </si>
  <si>
    <t>ROSELI MOREIRA DOS SANTOS RIBEIRO</t>
  </si>
  <si>
    <t>ADRIANA LILIAN DOS SANTOS</t>
  </si>
  <si>
    <t>VALDETE BENTO DE SOUZA</t>
  </si>
  <si>
    <t>ANDREA KESIA DE OLIVEIRA</t>
  </si>
  <si>
    <t>ED.LONDRINA - EM JOSÉ GARCIA VILLAR</t>
  </si>
  <si>
    <t>MARCIA APARECIDA DE OLIVEIRA</t>
  </si>
  <si>
    <t>HADSSA MAYARA DOS SANTOS</t>
  </si>
  <si>
    <t>MARIA CALACA VIEIRA SOARES</t>
  </si>
  <si>
    <t>TEREZA CRISTINA BEZERRA FELIX</t>
  </si>
  <si>
    <t>ROBERTH WESLEY SEVERINO</t>
  </si>
  <si>
    <t>ED.LONDRINA - EM JOSÉ HOSKEN DE NOVAES</t>
  </si>
  <si>
    <t>ROSENEIDE DA SILVA</t>
  </si>
  <si>
    <t>JANDIRA RODRIGUES ONOFRE</t>
  </si>
  <si>
    <t>ANA LUCIA MOREIRA</t>
  </si>
  <si>
    <t>ED.LONDRINA - EM LEONOR MAESTRI DE HELD</t>
  </si>
  <si>
    <t>OLGA ANGELICA RIBEIRO PRESCINATO</t>
  </si>
  <si>
    <t>MARIA PEDRA RIBEIRO</t>
  </si>
  <si>
    <t>VALQUIRIA LEMOS</t>
  </si>
  <si>
    <t>CAMILA DE OLIVEIRA DA SILVA</t>
  </si>
  <si>
    <t>ED.LONDRINA - EM LUIZ MARQUES CASTELO</t>
  </si>
  <si>
    <t>NOELI PIRES DA LUZ</t>
  </si>
  <si>
    <t>NIZETE FATIMA MAFORT DOS SANTOS</t>
  </si>
  <si>
    <t>MARLENE PIRES DA LUZ</t>
  </si>
  <si>
    <t>MARIA DE LOURDES MAFORT SOARES</t>
  </si>
  <si>
    <t>ANDREA FERNANDA VELOSO</t>
  </si>
  <si>
    <t>ED.LONDRINA - EM MÁBIO GONÇALVES PALHANO</t>
  </si>
  <si>
    <t>FRANCIELLE DE JESUS DOS SANTOS</t>
  </si>
  <si>
    <t>RAQUEL DE FATIMA RODRIGUES GONCALVES PICCIOLI</t>
  </si>
  <si>
    <t>ROSANGELA DE FATIMA CAMARGO</t>
  </si>
  <si>
    <t>ROSANA RUTH</t>
  </si>
  <si>
    <t>JUCILENE FERNANDA DE OLIVEIRA</t>
  </si>
  <si>
    <t>APARECIDA GEREMIAS</t>
  </si>
  <si>
    <t>ED.LONDRINA - EM MAESTRO ANDREA NUZZI</t>
  </si>
  <si>
    <t>MARIA DE LOURDES DE VASCONCELOS</t>
  </si>
  <si>
    <t>ELENI CRISTINA GONCALVES DE LIMA SARAIVA</t>
  </si>
  <si>
    <t>ED.LONDRINA - EM MAESTRO ROBERTO PEREIRA PANICO</t>
  </si>
  <si>
    <t>ROSELI DOS SANTOS</t>
  </si>
  <si>
    <t>ANGELA CRISTINA DOS SANTOS</t>
  </si>
  <si>
    <t>REGINA ROMANHOLE</t>
  </si>
  <si>
    <t>TANIA REGINA LOPES MARIA</t>
  </si>
  <si>
    <t>ELIANA APARECIDA DE MORAIS</t>
  </si>
  <si>
    <t>CRISTIANA DOS SANTOS</t>
  </si>
  <si>
    <t>ED.LONDRINA - EM MARIA CÂNDIDA PEIXOTO SALLES</t>
  </si>
  <si>
    <t>LUBIA SANTOS RODRIGUES</t>
  </si>
  <si>
    <t>TATIANE APARECIDA LAZARO DA SILVA MOURA</t>
  </si>
  <si>
    <t>SONIA MAIA DE SOUZA</t>
  </si>
  <si>
    <t>FATIMA APARECIDA GUEDES DE FREITAS</t>
  </si>
  <si>
    <t>SONIA DE FATIMA DA SILVA</t>
  </si>
  <si>
    <t>ED.LONDRINA - EM MARIA CARMELITA VILELA MAGALHÃES</t>
  </si>
  <si>
    <t>EDILENE APARECIDA DE OLIVEIRA</t>
  </si>
  <si>
    <t>MARLY DA SILVA</t>
  </si>
  <si>
    <t>MARIA EUNICE DOS SANTOS SOUZA</t>
  </si>
  <si>
    <t>MAGALI SOARES</t>
  </si>
  <si>
    <t>MISLENE DE SOUZA BERNARDINO</t>
  </si>
  <si>
    <t>ED.LONDRINA - EM MARIA SHIRLEY BARNABÉ LYRA</t>
  </si>
  <si>
    <t>VANILCE CICERA DE SANTANA BAPTISTA</t>
  </si>
  <si>
    <t>JENIFER ARAUJO DE SOUZA</t>
  </si>
  <si>
    <t>JUSSARA TENORIO SIQUEIRA</t>
  </si>
  <si>
    <t>ELIANE ALVES VEIGA</t>
  </si>
  <si>
    <t>ED.LONDRINA - EM MELVIN JONES</t>
  </si>
  <si>
    <t>MARCIA CRISTINA DOS SANTOS</t>
  </si>
  <si>
    <t>MARCIA APARECIDA MAGALHAES CABRAL</t>
  </si>
  <si>
    <t>ED.LONDRINA - EM MERCEDES MARTINS MADUREIRA</t>
  </si>
  <si>
    <t>MARINA FERNANDES</t>
  </si>
  <si>
    <t>MARLENE DE ASSIS ALVES</t>
  </si>
  <si>
    <t>ED.LONDRINA - EM MIGUEL BESPALHOK</t>
  </si>
  <si>
    <t>DENISE DE CASTRO FUJITANI</t>
  </si>
  <si>
    <t>MARIA JOSE DA SILVA OLIVEIRA</t>
  </si>
  <si>
    <t>MARIZA FABRI</t>
  </si>
  <si>
    <t>JUDITH FRANCISCA CORREA</t>
  </si>
  <si>
    <t>JULIANA APARECIDA DE OLIVEIRA</t>
  </si>
  <si>
    <t>ED.LONDRINA - EM MOACYR CAMARGO MARTINS</t>
  </si>
  <si>
    <t>EDNA APARECIDA ROSSI MACHADO</t>
  </si>
  <si>
    <t>ANGELICA RODRIGUES DE SOUZA</t>
  </si>
  <si>
    <t>ROSIMEIA BUENO DE ANDRADE</t>
  </si>
  <si>
    <t>VICENCIA PEREIRA DA SILVA</t>
  </si>
  <si>
    <t>ED.LONDRINA - EM NAIR AUZI CORDEIRO</t>
  </si>
  <si>
    <t>NEILA RIBEIRO</t>
  </si>
  <si>
    <t>TATIANE DA FONSECA BROCA</t>
  </si>
  <si>
    <t>ED.LONDRINA - EM NARA MANELLA</t>
  </si>
  <si>
    <t>REGIANE MARTINS ROSA</t>
  </si>
  <si>
    <t>SANDRA MARA LOPES DOS REIS</t>
  </si>
  <si>
    <t>APARECIDA SOARES</t>
  </si>
  <si>
    <t>MARIA APARECIDA CARDOSO LUCAS</t>
  </si>
  <si>
    <t>CAMILA CRISTINA MENDES</t>
  </si>
  <si>
    <t>SUELY SILVA MACHADO</t>
  </si>
  <si>
    <t>ED.LONDRINA - EM NEMAN SAHYUN</t>
  </si>
  <si>
    <t>SUELI GERMANO RODRIGUES</t>
  </si>
  <si>
    <t>CICERA DA SILVA</t>
  </si>
  <si>
    <t>TEREZINHA APARECIDA BILMAIA</t>
  </si>
  <si>
    <t>ED.LONDRINA - EM NINA GARDEMANN</t>
  </si>
  <si>
    <t>SANDRA PASSAGEM DE MELO DA SILVA</t>
  </si>
  <si>
    <t>MARCIA APARECIDA DA SILVA ALMEIDA</t>
  </si>
  <si>
    <t>MARIA DE FATIMA DOS ANJOS</t>
  </si>
  <si>
    <t>ED.LONDRINA - EM NOÊMIA ALAVER GARCIA MALANGA</t>
  </si>
  <si>
    <t>SELMA OLIVEIRA PELANDRE</t>
  </si>
  <si>
    <t>JULIANA APARECIDA DOS SANTOS</t>
  </si>
  <si>
    <t>CELY MOREIRA DE JESUS OLIVEIRA</t>
  </si>
  <si>
    <t>ROSELI DE FATIMA DA SILVA ALVES FERREIRA</t>
  </si>
  <si>
    <t>MARILSA GOMBE DOS SANTOS</t>
  </si>
  <si>
    <t>ED.LONDRINA - EM NORMAN PROCHET</t>
  </si>
  <si>
    <t>SIMONE DOS SANTOS</t>
  </si>
  <si>
    <t>JOELMA SANTOS DE CASTRO SOUZA</t>
  </si>
  <si>
    <t>ANDREA FERREIRA LIMA</t>
  </si>
  <si>
    <t>ZILDA SALETE CAMARGO BUENO</t>
  </si>
  <si>
    <t>MARTA SHIRLEY DIAS</t>
  </si>
  <si>
    <t>CLAUDINEIA LINO</t>
  </si>
  <si>
    <t>ED.LONDRINA - EM OSVALDO CRUZ</t>
  </si>
  <si>
    <t>ROSANGELA APARECIDA FELIX PEREIRA</t>
  </si>
  <si>
    <t>ELZA MONCAO DA SILVA</t>
  </si>
  <si>
    <t>ANGELITA LUIZA DE SANTANA RODRIGUES</t>
  </si>
  <si>
    <t>SILVANA PEREIRA FERNANDES</t>
  </si>
  <si>
    <t>ED.LONDRINA - EM PADRE ANCHIETA</t>
  </si>
  <si>
    <t>CLEUNICE RODRIGUES DA SILVA</t>
  </si>
  <si>
    <t>SUELLEN MAIARA DE LIMA</t>
  </si>
  <si>
    <t>ALEXSANDRA DA SILVA CRUZ MOREIRA</t>
  </si>
  <si>
    <t>ED.LONDRINA - EM PEDRO VERGARA CORREA</t>
  </si>
  <si>
    <t>JESSICA PRISCILA CARVALHO</t>
  </si>
  <si>
    <t>ROSANA MOREIRA</t>
  </si>
  <si>
    <t>JAQUELINE CORRADINI CHAGAS</t>
  </si>
  <si>
    <t>ROZELI BENTO DA COSTA ALVES</t>
  </si>
  <si>
    <t>ED.LONDRINA - EM PROF ARACY SOARES DOS SANTOS</t>
  </si>
  <si>
    <t>KELLY MARIA SILVA ROSA</t>
  </si>
  <si>
    <t>LUZIA ANTONELLI</t>
  </si>
  <si>
    <t>FATIMA PIRES</t>
  </si>
  <si>
    <t>ED.LONDRINA - EM PROF AUREA ALVIM TOFFOLI</t>
  </si>
  <si>
    <t>MARIA APARECIDA SILVA PEREIRA</t>
  </si>
  <si>
    <t>SANDRA APARECIDA GUELFI DA CUNHA</t>
  </si>
  <si>
    <t>ROSANGELA ALVES PRADO</t>
  </si>
  <si>
    <t>FERNANDA SANTOS RODRIGUES</t>
  </si>
  <si>
    <t>ED.LONDRINA - EM PROF BENTO MUNHOZ DA ROCHA NETTO</t>
  </si>
  <si>
    <t>MARLI PEREIRA DO IZIDORO SOUZA</t>
  </si>
  <si>
    <t>ANDREIA IZIDORO DO NASCIMENTO OLIVEIRA</t>
  </si>
  <si>
    <t>EVELYN FERNANDES MACHADO</t>
  </si>
  <si>
    <t>MAURA APARECIDA GRASSI</t>
  </si>
  <si>
    <t>ALESSANDRA SOUZA BESSA SACCON</t>
  </si>
  <si>
    <t>ROSELI DA SILVA ANTUNES DE SOUZA</t>
  </si>
  <si>
    <t>GABRIELA DA SILVA NUNES</t>
  </si>
  <si>
    <t>ED.LONDRINA - EM PROF CARLOS ZEWE COIMBRA</t>
  </si>
  <si>
    <t>SANDRA DOS SANTOS DE ABREU</t>
  </si>
  <si>
    <t>AMANDA VERONEZI DUARTE FARIA</t>
  </si>
  <si>
    <t>ROSENILDA DE OLIVEIRA SANTOS</t>
  </si>
  <si>
    <t>MARLENE BATISTA DOS SANTOS ROBETUSSO</t>
  </si>
  <si>
    <t>ED.LONDRINA - EM PROF CORINA MANTOVAN OKANO</t>
  </si>
  <si>
    <t>JULIANA PEREIRA DA COSTA</t>
  </si>
  <si>
    <t>MATILDE TEREZINHA DE CARVALHO RODRIGUES</t>
  </si>
  <si>
    <t>ED.LONDRINA - EM PROF DR CARLOS DA COSTA BRANCO</t>
  </si>
  <si>
    <t>RUTE MARIA MATIAS</t>
  </si>
  <si>
    <t>ELIZETE MARIA DE OLIVEIRA</t>
  </si>
  <si>
    <t>GELSINA DE SOUZA MARCELINO</t>
  </si>
  <si>
    <t>ED.LONDRINA - EM PROF HELVIO ESTEVES</t>
  </si>
  <si>
    <t>FATIMA BORGES SILVA MARQUES</t>
  </si>
  <si>
    <t>EDNA MARA QUINTILIANO TEIXEIRA</t>
  </si>
  <si>
    <t>SUELI RODRIGUES DE SOUZA</t>
  </si>
  <si>
    <t>ED.LONDRINA - EM PROF JOSÉ GASPARINI</t>
  </si>
  <si>
    <t>ISAURA RODRIGUES DE MORAES</t>
  </si>
  <si>
    <t>VITORIA GABRIELE RODRIGUES DA SILVA</t>
  </si>
  <si>
    <t>IRANI NICOLAU DE MELO</t>
  </si>
  <si>
    <t>ROSELI APARECIDA DOS SANTOS</t>
  </si>
  <si>
    <t>ALEXANDRA SILVA</t>
  </si>
  <si>
    <t>MARIA DO CARMO SIQUEIRA</t>
  </si>
  <si>
    <t>ARACILDA PEREIRA LOPES</t>
  </si>
  <si>
    <t>ED.LONDRINA - EM PROF JOVITA KAISER</t>
  </si>
  <si>
    <t>ROSANA CARVALHO</t>
  </si>
  <si>
    <t>JAQUELINA RODRGUES PITAS</t>
  </si>
  <si>
    <t>ANNY CAROLINE DA SILVA</t>
  </si>
  <si>
    <t>LUCINEIA DANSIGER</t>
  </si>
  <si>
    <t>MARIA SOUZA DE OLIVEIRA</t>
  </si>
  <si>
    <t>ED.LONDRINA - EM PROF JULIANO STINGHEN</t>
  </si>
  <si>
    <t>NAIARA CRISTINA GIMENES PINHEIRO</t>
  </si>
  <si>
    <t>CLAUDINEA SOARES DE OLIVEIRA PEREIRA</t>
  </si>
  <si>
    <t>ROSANGELA SOARES DE SOUZA</t>
  </si>
  <si>
    <t>ED.LONDRINA - EM PROF LEÔNIDAS SOBRINO PORTO</t>
  </si>
  <si>
    <t>LEONILDA IGNACIO CESAR</t>
  </si>
  <si>
    <t>ALZIRA BATISTA DE SANTANA</t>
  </si>
  <si>
    <t>VANESSA PAULINA PEREIRA</t>
  </si>
  <si>
    <t>MARISA PEREIRA DE OLIVEIRA</t>
  </si>
  <si>
    <t>IZABEL CRISTINA ROMAGNOLI MATOS</t>
  </si>
  <si>
    <t>VIVIANE APARECIDA GOMES</t>
  </si>
  <si>
    <t>ED.LONDRINA - EM PROF MARI CARRERA BUENO</t>
  </si>
  <si>
    <t>EVA CRISTINA GUILHERME</t>
  </si>
  <si>
    <t>SILVANA LEONEL</t>
  </si>
  <si>
    <t>MARISTELA MARIA DE JESUS PEREIRA</t>
  </si>
  <si>
    <t>ANA PAULA RODRIGUES DE JESUS</t>
  </si>
  <si>
    <t>ELISABETE CRISTINA DE OLIVEIRA BARBOSA</t>
  </si>
  <si>
    <t>LILIANE ROMANO GOMES</t>
  </si>
  <si>
    <t>ED.LONDRINA - EM PROF MARIA IRENE VICENTINI THEODORO</t>
  </si>
  <si>
    <t>CLEUZA MARIA DOS SANTOS</t>
  </si>
  <si>
    <t>MARA SEVERINO DE SALES</t>
  </si>
  <si>
    <t>CLAUDETE LOURENCO DA CRUZ</t>
  </si>
  <si>
    <t>ENI MARIA DE ALMEIDA</t>
  </si>
  <si>
    <t>ED.LONDRINA - EM PROF MARIA TEREZA MELEIRO AMANCIO</t>
  </si>
  <si>
    <t>ADRIANA CRISTINA DE SOUZA</t>
  </si>
  <si>
    <t>SENHORINHA RIBEIRO</t>
  </si>
  <si>
    <t>CIBELE DA SILVA PEDROSO</t>
  </si>
  <si>
    <t>CIRENE DE SOUZA</t>
  </si>
  <si>
    <t>NADIR ROLIM DE SOUZA SUBTIL DOS SANTOS</t>
  </si>
  <si>
    <t>ED.LONDRINA - EM PROF ODÉSIO FRANCISCON</t>
  </si>
  <si>
    <t>SANDRA DIAS DOS SANTOS JOTA</t>
  </si>
  <si>
    <t>SONIA RODRIGUES DOS SANTOS</t>
  </si>
  <si>
    <t>CARINA SOARES DA SILVA FARIA</t>
  </si>
  <si>
    <t>ED.LONDRINA - EM PROF RUTH LEMOS</t>
  </si>
  <si>
    <t>ARLETH ALVES PRIMO</t>
  </si>
  <si>
    <t>ANA CLAUDIA DIAS ROSA</t>
  </si>
  <si>
    <t>TATIANA ALMEIDA LEITE</t>
  </si>
  <si>
    <t>IVONE FERREIRA DA SILVA</t>
  </si>
  <si>
    <t>LILIANE AMARO ALVES DA SILVA</t>
  </si>
  <si>
    <t>MARIA INES RIBEIRO FERNANDES</t>
  </si>
  <si>
    <t>LUCINEIDE DA SILVA LIMA</t>
  </si>
  <si>
    <t>ED.LONDRINA - EM PROF TEREZA CANHADAS BERTAN</t>
  </si>
  <si>
    <t>ANDRESSA REGINA DA SILVA DIOGO</t>
  </si>
  <si>
    <t>VANESSA GONÇALVES DOS SANTOS NASCIMENTO</t>
  </si>
  <si>
    <t>MARCILENE DAS DORES DOS SANTOS</t>
  </si>
  <si>
    <t>IVONE LUCIO</t>
  </si>
  <si>
    <t>ED.LONDRINA - EM REV ODILON GONÇALVES NOCETTI</t>
  </si>
  <si>
    <t>ROSANGELA DA SILVA</t>
  </si>
  <si>
    <t>EVA BARBOZA</t>
  </si>
  <si>
    <t>RAQUEL ALINE DA SILVA MAZIERO</t>
  </si>
  <si>
    <t>MONICA ALVES DOS SANTOS</t>
  </si>
  <si>
    <t>ED.LONDRINA - EM RUTH FERREIRA DE SOUZA</t>
  </si>
  <si>
    <t>MARIA DE FATIMA DE ANDRADE</t>
  </si>
  <si>
    <t>TERESINHA FATIMA DA SILVA DE OLIVEIRA</t>
  </si>
  <si>
    <t>ELISANGELA DE MATOS SOUZA</t>
  </si>
  <si>
    <t>ED.LONDRINA - EM SALIM ABORIHAM</t>
  </si>
  <si>
    <t>GISLAINE PURIDELI MORAES</t>
  </si>
  <si>
    <t>IVONE CORREIA</t>
  </si>
  <si>
    <t>MARISA TOQUIO SILVA</t>
  </si>
  <si>
    <t>LINDINALVA DE MELO ROMAO OLIVEIRA</t>
  </si>
  <si>
    <t>CLAUDINEIA MARQUES DOS SANTOS</t>
  </si>
  <si>
    <t>ED.LONDRINA - EM SAN IZIDRO</t>
  </si>
  <si>
    <t>ANGELICA NOVAES DE SOUZA</t>
  </si>
  <si>
    <t>ROSELENE MARIA LINS DOS SANTOS</t>
  </si>
  <si>
    <t>ELAINE FRANCIELE DE ANDRADE SUGAHARA</t>
  </si>
  <si>
    <t>CRISTINA ASSUNCAO NOGUEIRA DOS SANTOS</t>
  </si>
  <si>
    <t>LARISSA KAWANE FERREIRA</t>
  </si>
  <si>
    <t>ED.LONDRINA - EM SANTOS DUMONT</t>
  </si>
  <si>
    <t>ELOIZE CRISTIANE MEDEIROS</t>
  </si>
  <si>
    <t>LUCIANA GONCALVES</t>
  </si>
  <si>
    <t>MARCIA ORTIZ DE OLIVEIRA</t>
  </si>
  <si>
    <t>ED.LONDRINA - EM SENADOR GASPAR VELLOSO</t>
  </si>
  <si>
    <t>ROSILENE GOMES DE SOUZA</t>
  </si>
  <si>
    <t>EDNA DE FATIMA CORDEIRO DA SILVA</t>
  </si>
  <si>
    <t>ELISANGELA ANA BEZERRA PEREIRA</t>
  </si>
  <si>
    <t>VIVIANE PEREIRA DA COSTA SILVA</t>
  </si>
  <si>
    <t>SUELI GONCALVES DA SILVA</t>
  </si>
  <si>
    <t>ED.LONDRINA - EM SONIA PARREIRA DEBEI</t>
  </si>
  <si>
    <t>SIMONE JANUARIO DE SOUZA</t>
  </si>
  <si>
    <t>ANGELA MARIA DA SILVA FRANCISCO</t>
  </si>
  <si>
    <t>ELZA FERNANDES DA SILVA</t>
  </si>
  <si>
    <t>ED.LONDRINA - EM SUELY IDERIHA</t>
  </si>
  <si>
    <t>IDELMA APARECIDA CARVALHO</t>
  </si>
  <si>
    <t>SOLANGE DA SILVA LINO</t>
  </si>
  <si>
    <t>ED.LONDRINA - EM TERRA NOVA VILMA RODRIGUES ROMERO</t>
  </si>
  <si>
    <t>REGINA APARECIDA DE SOUZA</t>
  </si>
  <si>
    <t>CRISTINA FRANCISCA MOTA</t>
  </si>
  <si>
    <t>ED.LONDRINA - EM VITÓRIO LIBARDI</t>
  </si>
  <si>
    <t>LUZIA PEDROSO MOTA</t>
  </si>
  <si>
    <t>SUZANA MIGUEL DOS SANTOS</t>
  </si>
  <si>
    <t>ED.LONDRINA - EM ZUMBI DOS PALMARES</t>
  </si>
  <si>
    <t>ROSELY MARIA DA SILVA</t>
  </si>
  <si>
    <t>ANDREA VILAS BOAS PASSOS</t>
  </si>
  <si>
    <t>NORMA GUERBES BONIFACIO</t>
  </si>
  <si>
    <t>GERALDO SEVERINO DA SILVA</t>
  </si>
  <si>
    <t>ALESSANDRA VITORIO DA SILVA</t>
  </si>
  <si>
    <t>ERICA FERREIRA DE BRITO</t>
  </si>
  <si>
    <t>JULIANA DA SILVA DIAS COSTA</t>
  </si>
  <si>
    <t>KELLY CRISTINA DOS SANTOS KRETLIS</t>
  </si>
  <si>
    <t>ED.LONDRINA - ERM MACHADO DE ASSIS</t>
  </si>
  <si>
    <t>ROSENILDA RODRIGUES CAVALHEIRO PONTES</t>
  </si>
  <si>
    <t>DAIANE DOS ANJOS CORDEIRO</t>
  </si>
  <si>
    <t>NATALINA LOPES DOS SANTOS</t>
  </si>
  <si>
    <t>ED.LONDRINA - CMEI APARECIDO NORATO CLARO</t>
  </si>
  <si>
    <t>DERLY MACEDO DE SOUZA</t>
  </si>
  <si>
    <t>ELENI DE OLIVEIRA</t>
  </si>
  <si>
    <t>DILCELIA RICARTE DA FONSECA</t>
  </si>
  <si>
    <t>ED.LONDRINA - EM PROF VILMA RODRIGUES ROMERO</t>
  </si>
  <si>
    <t>DORICA MARIA DA CONCEICAO</t>
  </si>
  <si>
    <t>ED.LONDRINA - EM PROF MOACYR TEIXEIRA</t>
  </si>
  <si>
    <t>IVONE DE MELO XAVIER</t>
  </si>
  <si>
    <t>LUZIA GOMES MARTINS</t>
  </si>
  <si>
    <t>MARILENE DA SILVA OLIVEIRA</t>
  </si>
  <si>
    <t>LUZINETE GOMES DA SILVA</t>
  </si>
  <si>
    <t>MARIA FERREIRA DE SOUZA RAMOS</t>
  </si>
  <si>
    <t>BRUNA THAMY DE FREITAS TAVARES</t>
  </si>
  <si>
    <t>ED.LONDRINA - CMEI DIRCE DE ALMEIDA B. BATISTA</t>
  </si>
  <si>
    <t>ELISANGELA MARA DA SILVA</t>
  </si>
  <si>
    <t>MARIA JOSE GOMES DA SILVA</t>
  </si>
  <si>
    <t>ED.LONDRINA - EM ROBERTO ALVES LIMA JUNIOR</t>
  </si>
  <si>
    <t>ROSANA APARECIDA GOES</t>
  </si>
  <si>
    <t>CARLA JANAINA MARTINS</t>
  </si>
  <si>
    <t>BRUNA TEIXEIRA CHAVES</t>
  </si>
  <si>
    <t>LUCINEIA APARECIDA MAZIERO MARTINS</t>
  </si>
  <si>
    <t>ROSANGELA APARECIDA IZIDORIO</t>
  </si>
  <si>
    <t>LAIS MIRANDA DA SILVEIRA</t>
  </si>
  <si>
    <t>ED.LONDRINA - EQUIPE</t>
  </si>
  <si>
    <t>MARINALVA BARBOSA DOS SANTOS GOMES</t>
  </si>
  <si>
    <t>TAMIRES AZEVEDO SILVEIRA</t>
  </si>
  <si>
    <t>ANGELA LUIZA DE SOUZA PAULA</t>
  </si>
  <si>
    <t>JEFFERSON BATISTA MENDES</t>
  </si>
  <si>
    <t>ENCARREGADO(A)</t>
  </si>
  <si>
    <t>FLAVIA PERES KERCHE DE MENEZES</t>
  </si>
  <si>
    <t>LUCIENE VIEIRA BOLETTI</t>
  </si>
  <si>
    <t>JUNIOR ALVES CORREA</t>
  </si>
  <si>
    <t>ELAINE REGINA MALACHINI HENRIQUES</t>
  </si>
  <si>
    <t>JOSE ANTONIO OUTEIRO VARGAS</t>
  </si>
  <si>
    <t>TÉCNICO DE SEGURANÇA DE TRABALHO</t>
  </si>
  <si>
    <t>VANDERSON BENTO</t>
  </si>
  <si>
    <t>SUPERVISOR(A)</t>
  </si>
  <si>
    <t>ED.LONDRINA - ENCARREGADOS</t>
  </si>
  <si>
    <t>JOAO CARLOS FABRI</t>
  </si>
  <si>
    <t>AMALIA BEATRIZ BATISTA BIASETTO</t>
  </si>
  <si>
    <t>SILVANA CRISTINA DOS SANTOS</t>
  </si>
  <si>
    <t>LUCI FERNANDES DE SA ESTERCIO</t>
  </si>
  <si>
    <t>MARIA DE FATIMA SIQUEIRA PADUA DA SILVA</t>
  </si>
  <si>
    <t>ANGELA MARIA LOPES</t>
  </si>
  <si>
    <t>MARILIA DE OLIVEIRA BISPO</t>
  </si>
  <si>
    <t>SAMONITA DA SILVA SANTOS</t>
  </si>
  <si>
    <t>LUIZ FERNANDO DOS SANTOS</t>
  </si>
  <si>
    <t>PAULO SERGIO TORRES</t>
  </si>
  <si>
    <t>LINCOLN GUSTAVO MENDES</t>
  </si>
  <si>
    <t>SIMONI SALMASO PATROCINIO</t>
  </si>
  <si>
    <t>ED.LONDRINA - CMEI IRMA MARIA NIVEA</t>
  </si>
  <si>
    <t>NEIVA MARIANO</t>
  </si>
  <si>
    <t>CAROLINA IZABELA DOS SANTOS SILVA</t>
  </si>
  <si>
    <t xml:space="preserve">ED.LONDRINA - E.M PROF HELVIO ESTEVES </t>
  </si>
  <si>
    <t>ROSIMARY DURAO HONORIO AUGUSTO</t>
  </si>
  <si>
    <t xml:space="preserve">ED.LONDRINA - CMEI TIÃO BALALÃO </t>
  </si>
  <si>
    <t>JESICA FERNANDA FERREIRA LIMA</t>
  </si>
  <si>
    <t>ADRIANA DA SILVA CARVALHO</t>
  </si>
  <si>
    <t>INSPETOR DE ALUNOS</t>
  </si>
  <si>
    <t xml:space="preserve">LONDRINA - VOLANTES </t>
  </si>
  <si>
    <t>PAULO AQUINO DE ALMEIDA JUNIOR</t>
  </si>
  <si>
    <t>BRUNA DANIELLY DA SILVA SANTOS</t>
  </si>
  <si>
    <t>THAIS DE PAULA OLIVEIRA</t>
  </si>
  <si>
    <t>MAURICIO RAFAEL DA SILVA</t>
  </si>
  <si>
    <t>LONDRINA - E. M. AMERICA SABINO COIMBRA</t>
  </si>
  <si>
    <t>JONATHAS DE OLIVEIRA BATISTA</t>
  </si>
  <si>
    <t>LONDRINA - E. M. PADRE ANCHIETA</t>
  </si>
  <si>
    <t>CAROLINA FERREIRA LUZ JORGE</t>
  </si>
  <si>
    <t>LONDRINA - E. M. MAESTRO ANDREA NUZZI</t>
  </si>
  <si>
    <t>JADE ANDRESSA DOS SANTOS HERRERA</t>
  </si>
  <si>
    <t xml:space="preserve">LONDRINA - E. M. ANITA GARIBALDI </t>
  </si>
  <si>
    <t>GERALDO JOSE HENRIQUES</t>
  </si>
  <si>
    <t>LONDRINA - E. M. ARISTEU DOS SANTOS RIBAS</t>
  </si>
  <si>
    <t>VICTOR HUGO MARTINS BATISTA</t>
  </si>
  <si>
    <t>ELIETE HONORATO DA SILVA</t>
  </si>
  <si>
    <t>LONDRINA - E. M. ARTHUR THOMAS</t>
  </si>
  <si>
    <t>VANDERLEIA FURQUIM MARTIN</t>
  </si>
  <si>
    <t>LONDRINA - E. M. ATANAZIO LEONEL</t>
  </si>
  <si>
    <t>EMELIN REGINA ROCHA DE SOUSA</t>
  </si>
  <si>
    <t>FATIMA APARECIDA JARDIM</t>
  </si>
  <si>
    <t>LONDRINA - E. M. PROFª AUREA ALVIM TOFFOLI</t>
  </si>
  <si>
    <t>JOSE GERALDO ALVES AMARAL</t>
  </si>
  <si>
    <t>KELLY DIAS DA SILVA TEIXEIRA DOURADO</t>
  </si>
  <si>
    <t>LONDRINA - E. M. BARTOLOMEU DE GUSMAO</t>
  </si>
  <si>
    <t>LONDRINA - E. M. PROF. DR. CARLOS DA COSTA BRANCO</t>
  </si>
  <si>
    <t>ALBERTO DOS SANTOS</t>
  </si>
  <si>
    <t>JESSICA RODRIGUES CARA</t>
  </si>
  <si>
    <t>LONDRINA - E. M. CARLOS DIETZ</t>
  </si>
  <si>
    <t>MARIA DAS GRACAS OLIVEIRA TAVARES LEOCADIO</t>
  </si>
  <si>
    <t>LONDRINA - E. M. CARLOS KRAEMER</t>
  </si>
  <si>
    <t>JOAO GUILHERME FRANCISCO DA SILVA</t>
  </si>
  <si>
    <t>RAUL PEREIRA</t>
  </si>
  <si>
    <t>LONDRINA - E. M. PROFº CARLOS ZEWE COIMBRA</t>
  </si>
  <si>
    <t>VALDIRENE DOS SANTOS CAMPOS BRITO</t>
  </si>
  <si>
    <t>LONDRINA - E. M. CECILIA HERMINIA OLIVEIRA GONCALVES</t>
  </si>
  <si>
    <t>WULLIANE DIAS MAIA ALVES</t>
  </si>
  <si>
    <t>MARCIO RODRIGO DIAS</t>
  </si>
  <si>
    <t>LONDRINA - E. M. CLAUDIA RIZZI</t>
  </si>
  <si>
    <t>WAGNER ANTONIO DA SILVA</t>
  </si>
  <si>
    <t>LONDRINA - E. M. DR CLAUDIO DE ALMEIDA E SILVA</t>
  </si>
  <si>
    <t>LONDRINA - E. M. CORVETA CAMAQUA</t>
  </si>
  <si>
    <t>SILVESTRE DIAS MANGABEIRA PEREIRA</t>
  </si>
  <si>
    <t>LONDRINA - E. M. DA VILA BRASIL</t>
  </si>
  <si>
    <t>LEANDRO FERREIRA DA SILVA</t>
  </si>
  <si>
    <t>LONDRINA - E. M. DALVA FAHL BOAVENTURA</t>
  </si>
  <si>
    <t>MICHELE CRISTINA TAVARES</t>
  </si>
  <si>
    <t>LONDRINA - E. M. DAVID DEQUECH</t>
  </si>
  <si>
    <t>ROSANGELA SILVA MENEZES</t>
  </si>
  <si>
    <t>ANIELLY ALANA RODRIGUES VITALINO</t>
  </si>
  <si>
    <t>LONDRINA - E. M. ELIAS KAUAM</t>
  </si>
  <si>
    <t>BRUNA REGINA DA SILVA QUEIROZ</t>
  </si>
  <si>
    <t>LUCIA LINA DE OLIVEIRA</t>
  </si>
  <si>
    <t>LONDRINA - E. M. EUGENIO BRUGIN</t>
  </si>
  <si>
    <t>JESSICA DE ALMEIDA SILVA</t>
  </si>
  <si>
    <t>LONDRINA - E. M. EURIDES CUNHA</t>
  </si>
  <si>
    <t>DAYANE NUNES DE ALMEIDA MOREIRA</t>
  </si>
  <si>
    <t>PAULO INOJOSA GOMES</t>
  </si>
  <si>
    <t>LONDRINA - E. M. FRANCISCO PEREIRA DE ALMEIDA JUNIOR</t>
  </si>
  <si>
    <t>EVELYN DOS SANTOS MACHADO</t>
  </si>
  <si>
    <t>JULIO CESAR RIBEIRO DOS SANTOS</t>
  </si>
  <si>
    <t>LONDRINA - E. M. SENADOR GASPAR VELLOSO</t>
  </si>
  <si>
    <t>PATRICIA COELHO GONCALVES</t>
  </si>
  <si>
    <t>HERMES SERIGATI</t>
  </si>
  <si>
    <t>LONDRINA - E.M. PROFª GENI FERREIRA</t>
  </si>
  <si>
    <t>MICHELE MARCUCCI BALDI</t>
  </si>
  <si>
    <t xml:space="preserve">LONDRINA - E. M. HAYDEE COLLI MONTEIRO </t>
  </si>
  <si>
    <t>SIDNEI JOAO DOS ANJOS</t>
  </si>
  <si>
    <t>LONDRINA - E. M. PROFº HELVIO ESTEVES</t>
  </si>
  <si>
    <t>LAUANE ISABELLE DA SILVA</t>
  </si>
  <si>
    <t>LONDRINA - E. M. HIKOMA UDIHARA</t>
  </si>
  <si>
    <t>LONDRINA - E. M. IGNEZ CORSO ANDREAZZA</t>
  </si>
  <si>
    <t>VANESSA DE OLIVEIRA</t>
  </si>
  <si>
    <t>ALLISON HUAN FREITAS DOS SANTOS</t>
  </si>
  <si>
    <t>LONDRINA - E. M. IRENE APARECIDA DA SILVA</t>
  </si>
  <si>
    <t>ESILDINHA APARECIDA BERTOLA</t>
  </si>
  <si>
    <t>CARLINE GRACIELE SALDEIRA DA SILVA FAGUNDES</t>
  </si>
  <si>
    <t>LETICIA APARECIDA ABRANTES</t>
  </si>
  <si>
    <t>LONDRINA - E. M. JOAO XXIII</t>
  </si>
  <si>
    <t>ALEXANDER FABIO CEZAR RIBEIRO</t>
  </si>
  <si>
    <t>LONDRINA - E. M. PROFº  JOAQUIM PEREIRA MENDES</t>
  </si>
  <si>
    <t>BRAYAN THOMPNSON NASCIMENTO</t>
  </si>
  <si>
    <t>LONDRINA - E. M. DR JOAQUIM VICENTE DE CASTRO</t>
  </si>
  <si>
    <t>MARILSA LINO DE ALMEIDA</t>
  </si>
  <si>
    <t>REGINALDO JOEL DE JESUS</t>
  </si>
  <si>
    <t>LONDRINA - E. M. JOSE GARCIA VILLAR</t>
  </si>
  <si>
    <t>SILVANIA EUNICE VIEIRA DE OLIVEIRA</t>
  </si>
  <si>
    <t>FAUSTO FABIANO DA SILVA</t>
  </si>
  <si>
    <t>LONDRINA - E. M. PROFº JOSE GASPARINI</t>
  </si>
  <si>
    <t>GUIARONE LANGAME</t>
  </si>
  <si>
    <t>LONDRINA - E. M. DOUTOR JOSE HOSKEN DE NOVAES</t>
  </si>
  <si>
    <t>ALEXANDRE RIBEIRO</t>
  </si>
  <si>
    <t>LONDRINA - E. M. PROFª JOVITA KAISER</t>
  </si>
  <si>
    <t>ROSANA ROSA DE CAMARGO FOGACA</t>
  </si>
  <si>
    <t>EVANETE DIVA DE VERGENES</t>
  </si>
  <si>
    <t>LONDRINA - E. M. PROF JULIANO STINGHEN</t>
  </si>
  <si>
    <t>NILTON BERNEGOSSI</t>
  </si>
  <si>
    <t>ANDREA APARECIDA DE OLIVEIRA</t>
  </si>
  <si>
    <t>LONDRINA - E. M. PROFº LEONIDAS SOBRINO PORTO</t>
  </si>
  <si>
    <t>REGINALDO DE OLIVEIRA PAJEU</t>
  </si>
  <si>
    <t>LONDRINA - E. M. LEONOR MAESTRI DE HELD</t>
  </si>
  <si>
    <t>ANA CAROLINE DE ALMEIDA BENEDITO</t>
  </si>
  <si>
    <t>LONDRINA - E. M. MABIO GONCALVES PALHANO</t>
  </si>
  <si>
    <t>ANGELICA DELMINDO DA SILVA</t>
  </si>
  <si>
    <t>VALDEIR PEREIRA</t>
  </si>
  <si>
    <t>LONDRINA - E. M. MACHADO DE ASSIS</t>
  </si>
  <si>
    <t>ALINE SQUISSATO PEREIRA</t>
  </si>
  <si>
    <t>LONDRINA - E. M. PROFª MARI CARRERA BUENO</t>
  </si>
  <si>
    <t>LUANA DOS SANTOS TELES</t>
  </si>
  <si>
    <t>REBEKA DE JESUS JACINTO RODRIGUES</t>
  </si>
  <si>
    <t>LONDRINA - E. M. MARIA CANDIDA PEIXOTO SALLES</t>
  </si>
  <si>
    <t>JERRI ADRIANE DE LIMA</t>
  </si>
  <si>
    <t>CAROLINA ZORRILLA VAZQUE</t>
  </si>
  <si>
    <t>LONDRINA - E. M. MARIA CARMELITA VILELA MAGALHAES</t>
  </si>
  <si>
    <t>MARIA TEREZINHA DE CAMPOS OLIVEIRA</t>
  </si>
  <si>
    <t>MARCELO VICENTE MENDES</t>
  </si>
  <si>
    <t>LONDRINA - E. M. PROFª MARIA IRENE VICENTINI THEODORO</t>
  </si>
  <si>
    <t>MARCOS SOUZA DA SILVA</t>
  </si>
  <si>
    <t>JANE FABRICIO</t>
  </si>
  <si>
    <t>LONDRINA - E. M. MARIA SHIRLEY BARNABE LYRA</t>
  </si>
  <si>
    <t>MIRIAM DE OLIVEIRA SOUZA</t>
  </si>
  <si>
    <t>LONDRINA - E. M. PROFª MARIA TEREZA MELEIRO AMANCIO</t>
  </si>
  <si>
    <t>ROSANGELA MARGARETE SILVA MARIN</t>
  </si>
  <si>
    <t>LONDRINA - E. M. MELVIN JONES</t>
  </si>
  <si>
    <t>GISLANE DE FATIMA PINTO</t>
  </si>
  <si>
    <t>LONDRINA - E. M. MERCEDES MARTINS MADUREIRA</t>
  </si>
  <si>
    <t>MARIA DO CARMO BATISTA</t>
  </si>
  <si>
    <t>LONDRINA - E. M. MIGUEL BESPALHOK</t>
  </si>
  <si>
    <t>JAQUELINE LUCIA GOUVEA BALIEIRO SILVA</t>
  </si>
  <si>
    <t>ANTONIO ANDRE DOS SANTOS</t>
  </si>
  <si>
    <t>LONDRINA - E. M. MOACYR CAMARGO MARTINS</t>
  </si>
  <si>
    <t>RIAN CALEBE SILVA</t>
  </si>
  <si>
    <t>ANA PAULA CICONATO DE SOUZA</t>
  </si>
  <si>
    <t>LONDRINA - E. M. PROFº MOACYR TEIXEIRA</t>
  </si>
  <si>
    <t>LUCIANE DOMINGUES DA SILVA</t>
  </si>
  <si>
    <t>VALDETE APARECIDA BELLO DOS SANTOS</t>
  </si>
  <si>
    <t>LONDRINA - E. M. NAIR AUZI CORDEIRO</t>
  </si>
  <si>
    <t>GRASIELA CRISTINA DE MACEDO DE SOUSA</t>
  </si>
  <si>
    <t>LONDRINA - E. M. NARA MANELLA</t>
  </si>
  <si>
    <t>CELSO DOS SANTOS</t>
  </si>
  <si>
    <t>GISELE RODRIGUES OLIVEIRA</t>
  </si>
  <si>
    <t>LONDRINA - E. M. NEMAN SAHYUN</t>
  </si>
  <si>
    <t>JURANDIR SIMONETO DE CARVALHO</t>
  </si>
  <si>
    <t>LONDRINA - E. M. NINA GARDEMANN</t>
  </si>
  <si>
    <t>SHIRLEY CRISTINA MACHADO OLIVEIRA</t>
  </si>
  <si>
    <t>LUZIA DE OLIVEIRA</t>
  </si>
  <si>
    <t>LONDRINA - E. M. NOEMIA ALAVER GARCIA MALANGA</t>
  </si>
  <si>
    <t>MAY LYNN IKEDA IMANO</t>
  </si>
  <si>
    <t>HERMAN THOMPNSON NASCIMENTO</t>
  </si>
  <si>
    <t>LONDRINA - E. M. NORMAN PROCHET</t>
  </si>
  <si>
    <t>EUNICE MARIA COELHO</t>
  </si>
  <si>
    <t>KAUANA SILVA CARVALHO RODRIGUES MACHADO</t>
  </si>
  <si>
    <t>LONDRINA - E. M. PROFª ODESIO FRANCISCON</t>
  </si>
  <si>
    <t>VILMA BRAGA LEMES</t>
  </si>
  <si>
    <t>LONDRINA - E. M. REV. ODILON GONÇALVES NOCETTI</t>
  </si>
  <si>
    <t>CRISTIANE SOARES CARLOS</t>
  </si>
  <si>
    <t>LONDRINA - E. M. OSVALDO CRUZ</t>
  </si>
  <si>
    <t>MATILDE APARECIDA SHALUPA</t>
  </si>
  <si>
    <t>ROSILENE MAIA DA SILVA</t>
  </si>
  <si>
    <t>LONDRINA - E. M. PEDRO VERGARA CORREA</t>
  </si>
  <si>
    <t>FAGNER CRISTIANO ZAMBRIN</t>
  </si>
  <si>
    <t>CRISTIANE RIBEIRO DA SILVEIRA AMORIM</t>
  </si>
  <si>
    <t>LONDRINA - E. M. ROBERTO ALVES LIMA JUNIOR</t>
  </si>
  <si>
    <t>MARIA IZABEL GOMES DE ASSIS</t>
  </si>
  <si>
    <t>LONDRINA - E. M. MAESTRO ROBERTO PEREIRA PANICO</t>
  </si>
  <si>
    <t>JULIANA PEREIRA</t>
  </si>
  <si>
    <t>LONDRINA - E. M. RUTH FERREIRA DE SOUZA</t>
  </si>
  <si>
    <t>OSCAR HIROSHI NAKAMURA</t>
  </si>
  <si>
    <t>ROSEMARA DE OLIVEIRA</t>
  </si>
  <si>
    <t>LONDRINA - E. M. PROFª RUTH LEMOS</t>
  </si>
  <si>
    <t>RICARDO DOS SANTOS FERREIRA</t>
  </si>
  <si>
    <t>JAIRO NUNIS CUNHA</t>
  </si>
  <si>
    <t>LONDRINA - E. M. SALIM ABORIHAM</t>
  </si>
  <si>
    <t>ANTONIO RICARTE</t>
  </si>
  <si>
    <t>VANESSA SENISIS DE CARVALHO LOVO</t>
  </si>
  <si>
    <t>LONDRINA - E. M. SAN IZIDRO</t>
  </si>
  <si>
    <t>MICHELE BALBINO DE JESUS</t>
  </si>
  <si>
    <t>LONDRINA - E. M. SANTOS DUMONT</t>
  </si>
  <si>
    <t>ELCIMARIA ALBINO GRIGONIS</t>
  </si>
  <si>
    <t xml:space="preserve">LONDRINA - E. M. SONIA PARREIRA DEBEI </t>
  </si>
  <si>
    <t>DHAYANE JORGE BORGES</t>
  </si>
  <si>
    <t>LONDRINA - E. M. SUELY IDERIHA</t>
  </si>
  <si>
    <t>JESSICA TRINDADE GOUVEIA</t>
  </si>
  <si>
    <t>LONDRINA - E. M. PROFª TEREZA CANHADAS BERTAN</t>
  </si>
  <si>
    <t>ALINE ANDRESA DOS SANTOS MACEDO</t>
  </si>
  <si>
    <t>LONDRINA - E. M. PROFª VILMA RODRIGUES ROMERO</t>
  </si>
  <si>
    <t>VALNIRA FERREIRA ALVES</t>
  </si>
  <si>
    <t>CRISTIANE ALVES DOS SANTOS PINHEIRO</t>
  </si>
  <si>
    <t>GABRIELI DOS SANTOS DE OLIVEIRA</t>
  </si>
  <si>
    <t>LONDRINA - E. M. ZUMBI DOS PALMARES</t>
  </si>
  <si>
    <t>FRANCIELE ALVES DA SILVA</t>
  </si>
  <si>
    <t>GABRIELA APARECIDA GARBOSA</t>
  </si>
  <si>
    <t>LONDRINA - E. M. PROFª ARACY SOARES DOS SANTOS</t>
  </si>
  <si>
    <t>DAIANE FERNANDA CAMPOS ERCULANO</t>
  </si>
  <si>
    <t>LONDRINA - E. M. ARMANDO DO ROSARIO CASTELO</t>
  </si>
  <si>
    <t>LEANDRO APARECIDO FERREIRA</t>
  </si>
  <si>
    <t>LONDRINA - E. M. PROFª BENTO MUNHOZ DA ROCHA NETTO</t>
  </si>
  <si>
    <t>MARGARIDA GONCALVES MACHADO SOUZA</t>
  </si>
  <si>
    <t>PRISCILA ALVES DA SILVA</t>
  </si>
  <si>
    <t>LONDRINA - E. M. PROFª CORINA MANTOVAN OKANO</t>
  </si>
  <si>
    <t>ELIZANGELA GARCIA DOS SANTOS</t>
  </si>
  <si>
    <t>LONDRINA - E. M. EDMUNDO ODEBRECHT</t>
  </si>
  <si>
    <t>MIRIAN DOS SANTOS INACIO</t>
  </si>
  <si>
    <t>LONDRINA - E. M. FRANCISCO AQUINO TOLEDO</t>
  </si>
  <si>
    <t>PRISCILA HERNANDES LUCIANO</t>
  </si>
  <si>
    <t>LONDRINA - E. M. JADIR DUTRA DE SOUZA</t>
  </si>
  <si>
    <t>IRENE LUCIANE DONI</t>
  </si>
  <si>
    <t>LONDRINA - E. M. JOHN KENNEDY</t>
  </si>
  <si>
    <t>SILVIA CRISTINA DE SOUZA SILVA</t>
  </si>
  <si>
    <t>LUANA GOMBE DOS SANTOS</t>
  </si>
  <si>
    <t>LONDRINA - E. M. LUIZ MARQUES CASTELO</t>
  </si>
  <si>
    <t>VALDEREZ DOS SANTOS MANZANO</t>
  </si>
  <si>
    <t>VALDECIR CHAMORRO</t>
  </si>
  <si>
    <t>LONDRINA - E. M. VITORIO LIBARDI</t>
  </si>
  <si>
    <t>LONDRINA - E. M. DO CAMPO TRABALHO E SABER</t>
  </si>
  <si>
    <t>MARIANE PLACIDINO ROSIGNOL</t>
  </si>
  <si>
    <t>LONDRINA - E. M. DO CAMPO EGIDIO DOMINGOS BRUNETTO</t>
  </si>
  <si>
    <t>GEFERSON ALEXANDRE DO NASCIMENTO</t>
  </si>
  <si>
    <t>JOSE ROBSON NASCIMENTO</t>
  </si>
  <si>
    <t>LONDRINA - CMEI ABDIAS DO NASCIMENTO</t>
  </si>
  <si>
    <t>SUELI ALVES DA SILVA MARCUZ</t>
  </si>
  <si>
    <t>LONDRINA - CMEI ANTONIETA TRINDADE</t>
  </si>
  <si>
    <t>THAIS ALANA DA SILVA RONDANIM</t>
  </si>
  <si>
    <t>LONDRINA - CMEI APARECIDO NORATO CLARO</t>
  </si>
  <si>
    <t>ANGELA SILVA DE SOUZA</t>
  </si>
  <si>
    <t>LONDRINA - CMEI CAROLINA BENEDITA DOS SANTOS</t>
  </si>
  <si>
    <t>DAIANE MARGONAR</t>
  </si>
  <si>
    <t>LONDRINA - CMEI PROFª CLELIA REGINA GUILHERME DE ALMEIDA ZOTELLI</t>
  </si>
  <si>
    <t>LONDRINA - CMEI CLEMILDE DE MARTINI LOPES DOS SANTOS</t>
  </si>
  <si>
    <t>DORA MARTINS MANCANO</t>
  </si>
  <si>
    <t>LONDRINA - CMEI DIRCE  BARROS BAPTISTA</t>
  </si>
  <si>
    <t>KAUANA TAYLA DOS SANTOS XAVIER</t>
  </si>
  <si>
    <t>LONDRINA - CMEI DURVALINA PEREIRA OLIVEIRA DE ASSIS</t>
  </si>
  <si>
    <t>MICHELE CRISTINA DE JESUS LUNA</t>
  </si>
  <si>
    <t>LONDRINA - CMEI FRANCISCO QUESADA ORTEGA</t>
  </si>
  <si>
    <t>ROSANE MARIA DA SILVA</t>
  </si>
  <si>
    <t>LONDRINA - CMEI FRANCISCO SEIXAS</t>
  </si>
  <si>
    <t>ODLANYER ANTONIO FERREIRA JUNIOR</t>
  </si>
  <si>
    <t>LONDRINA - CMEI HELENA OMETTO TORRES</t>
  </si>
  <si>
    <t>LONDRINA - CMEI IRMA MARIA NIVEA</t>
  </si>
  <si>
    <t>EDNALVA ONICE DE PAULA AMORIM</t>
  </si>
  <si>
    <t>LONDRINA - CMEI JOAO RAMPAZZO</t>
  </si>
  <si>
    <t>LEIVA MARQUES DA CRUZ FERREIRA</t>
  </si>
  <si>
    <t>LONDRINA - CMEI KALIN YOUSSEF YOUSSEF</t>
  </si>
  <si>
    <t>ADRIANO PEREIRA</t>
  </si>
  <si>
    <t>LONDRINA - CMEI LAURA VERGINIA DE CARVALHO RIBEIRO</t>
  </si>
  <si>
    <t>LONDRINA - CMEI LAVINIA MONTEIRO DE MORAES</t>
  </si>
  <si>
    <t>LUCILENE FERREIRA GOUVEIA DE SOUZA</t>
  </si>
  <si>
    <t>LONDRINA - CMEI MALVINA POPPI PEDRIALLI</t>
  </si>
  <si>
    <t>DEBORA PEREIRA DA SILVA</t>
  </si>
  <si>
    <t>LONDRINA - CMEI MARINA SABOIA NASCIMENTO</t>
  </si>
  <si>
    <t>JOEL HERNANDES</t>
  </si>
  <si>
    <t>DOUGLAS DA SILVA MARTINES</t>
  </si>
  <si>
    <t>LONDRINA - CMEI MARISA ARRUDA DOS SANTOS</t>
  </si>
  <si>
    <t>ANNE EMANUELLE SILVA YAMAMURA</t>
  </si>
  <si>
    <t>LONDRINA - CMEI MARIZIA CARLI LOURES</t>
  </si>
  <si>
    <t>LILIAN RIBEIRO DO NASCIMENTO</t>
  </si>
  <si>
    <t>LONDRINA - CMEI MARLI MARQUES AGOSTINHO</t>
  </si>
  <si>
    <t>ANA PAULA ANTUNES PEREIRA</t>
  </si>
  <si>
    <t>LONDRINA - CMEI NISSIA ROCHA CABRAL</t>
  </si>
  <si>
    <t>THAIS DA CONCEICAO</t>
  </si>
  <si>
    <t>LONDRINA - CMEI RAFAELA KEMMER DE MORAES</t>
  </si>
  <si>
    <t>ELAINE DIAS CAMARGO</t>
  </si>
  <si>
    <t>LONDRINA - CMEI PROFª ROSANGELA DE OLIVEIRA ROMANO</t>
  </si>
  <si>
    <t>CRISLAINE GOMES DE OLIVEIRA</t>
  </si>
  <si>
    <t>LONDRINA - CMEI RUTH DOS SANTOS SILVA</t>
  </si>
  <si>
    <t>CINTIA VALIM SILVEIRA</t>
  </si>
  <si>
    <t>LONDRINA - CMEI SANDRA REGINA MAXIMIANO LEME</t>
  </si>
  <si>
    <t>PATRICIA LIMA DOS SANTOS</t>
  </si>
  <si>
    <t>LONDRINA - CMEI TELMA CAVALHEIRI MOTTA SANCHES</t>
  </si>
  <si>
    <t>THAIS DA CRUZ PAIVA</t>
  </si>
  <si>
    <t>LONDRINA - CMEI TIAO BALALAO</t>
  </si>
  <si>
    <t>NICOLAS LUCAS ROCHA VIANA</t>
  </si>
  <si>
    <t>LONDRINA - CMEI VALERIA VERONESI</t>
  </si>
  <si>
    <t>LUZIA CAZARIN</t>
  </si>
  <si>
    <t>JESSICA BATISTA MENDES</t>
  </si>
  <si>
    <t>LONDRINA - CMEI PROFª  VANDERLAINE APARECIDA RODRIGUES RIBEIRO</t>
  </si>
  <si>
    <t>ELISANGELA APARECIDA DA SILVA</t>
  </si>
  <si>
    <t>LONDRINA - CMEI VILMA ELIZA COLOMBO RIBEIRO</t>
  </si>
  <si>
    <t>FERNANDA MATIAS</t>
  </si>
  <si>
    <t>LONDRINA - CMEI WATER OKANO</t>
  </si>
  <si>
    <t>MOACIR MONSATO</t>
  </si>
  <si>
    <t>LONDRINA - CMEI YOLANDA SALGADO VIEIRA LIMA</t>
  </si>
  <si>
    <t>JOSIANE MATHIAS DO NACIMENTO</t>
  </si>
  <si>
    <t>LONDRINA - COMPLEXO EDUCACIONAL</t>
  </si>
  <si>
    <t>RENATA FERREIRA DA COSTA</t>
  </si>
  <si>
    <t>LONDRINA - E. M.  PROF JOSE GASPARINI</t>
  </si>
  <si>
    <t>VANDERSON</t>
  </si>
  <si>
    <t>SUPERVISOR</t>
  </si>
  <si>
    <t>CENTRO</t>
  </si>
  <si>
    <t>LOCAL</t>
  </si>
  <si>
    <t>DEPARTAMENTO</t>
  </si>
  <si>
    <t>EDSON LOPES DA SILVA</t>
  </si>
  <si>
    <t>LUCINEIA CLAUDINO SILVA JULIO</t>
  </si>
  <si>
    <t>NOME</t>
  </si>
  <si>
    <t>HORAS MÊS</t>
  </si>
  <si>
    <t>CARGO</t>
  </si>
  <si>
    <t>STATUS</t>
  </si>
  <si>
    <t>VIGIA</t>
  </si>
  <si>
    <t>MOTORISTA</t>
  </si>
  <si>
    <t>TRAB.SERVICOS GERAIS</t>
  </si>
  <si>
    <t>VILSON ROLIM SAKAY</t>
  </si>
  <si>
    <t>MONITOR DE ALUNO</t>
  </si>
  <si>
    <t>VILMARA ALMEIDA AMORIM</t>
  </si>
  <si>
    <t>CAPINADOR - TSG</t>
  </si>
  <si>
    <t>VICENTE DE PAULA DUARTE</t>
  </si>
  <si>
    <t>MERENDEIRA(O)</t>
  </si>
  <si>
    <t>SERVENTE + GAF + INSALUB. 40%</t>
  </si>
  <si>
    <t>VERA LUCIA CARDOSO IWAMOTO</t>
  </si>
  <si>
    <t>RECEPCIONISTA</t>
  </si>
  <si>
    <t>VALDECIR DONIZETE BERTO</t>
  </si>
  <si>
    <t>TRAB.SERVICOS GERAIS - INSALUB. 20%</t>
  </si>
  <si>
    <t>ASSISTENTE ADMINISTRATIVO</t>
  </si>
  <si>
    <t>SERVENTE COM G.A.F.</t>
  </si>
  <si>
    <t>SANDRA REGINA MALDONADO PAPA</t>
  </si>
  <si>
    <t>VARREDOR DE RUA</t>
  </si>
  <si>
    <t>RUBEN DARIO CAMACHO ZAMBRANO</t>
  </si>
  <si>
    <t>SERVENTE - INSALUB. 20%</t>
  </si>
  <si>
    <t>ROSEMARY RIBEIRO</t>
  </si>
  <si>
    <t>ROBERTO JHONES DIAS DA SILVA</t>
  </si>
  <si>
    <t>RENATO MACIEL DE SOUZA</t>
  </si>
  <si>
    <t>AUXILIAR ADMINISTRATIVO</t>
  </si>
  <si>
    <t>TRAB.SERVICOS GERAIS - INSALUB. 40%</t>
  </si>
  <si>
    <t>COLETOR</t>
  </si>
  <si>
    <t xml:space="preserve">OPERADOR DE ROCADEIRA </t>
  </si>
  <si>
    <t>PAULO CESAR DOS SANTOS</t>
  </si>
  <si>
    <t>PEDREIRO - INSALUB. 20%</t>
  </si>
  <si>
    <t>MARTA NICOLAEV</t>
  </si>
  <si>
    <t>MARIA IZABEL DOS SANTOS PEDROSO</t>
  </si>
  <si>
    <t>MARCIO CLARIMUNDO</t>
  </si>
  <si>
    <t>MARCIA LUCIA DA SILVA</t>
  </si>
  <si>
    <t>MANOEL ATAIDE</t>
  </si>
  <si>
    <t>COVEIRO - INSALUB. 20%</t>
  </si>
  <si>
    <t>LUIZ CARLOS ROSSI</t>
  </si>
  <si>
    <t>LUCILENE APARECIDA BORGES</t>
  </si>
  <si>
    <t>LUANA SALVADOR RAMOS</t>
  </si>
  <si>
    <t>LINDINAURA DOS SANTOS DA SILVA</t>
  </si>
  <si>
    <t>LEONARDO APARECIDO SARDI</t>
  </si>
  <si>
    <t>ASSISTENTE ADMINISTRATIVO - INSALUB 20%</t>
  </si>
  <si>
    <t>LARYSSA CLIMENEX BISSI</t>
  </si>
  <si>
    <t>JUSSIMARA DE MORAES</t>
  </si>
  <si>
    <t>JULIANA SANTANA PEREIRA</t>
  </si>
  <si>
    <t>JULDETE ROSA</t>
  </si>
  <si>
    <t>JOSIANE MARTA DA SILVA</t>
  </si>
  <si>
    <t>JOSE LUIZ DA SILVA</t>
  </si>
  <si>
    <t>JOSE LUIS DE SOUZA</t>
  </si>
  <si>
    <t>JOSE ANADILTON DOS SANTOS</t>
  </si>
  <si>
    <t>JOSE ALVES DE CERQUEIRA</t>
  </si>
  <si>
    <t>JONATHAN HENRIQUE RIBAS</t>
  </si>
  <si>
    <t>JOANA D ARC DE ALMEIDA LEME</t>
  </si>
  <si>
    <t>JAIR GALDINO DA SILVA</t>
  </si>
  <si>
    <t>JADIR PEDRO DA SILVA</t>
  </si>
  <si>
    <t>IVONEI NUNES</t>
  </si>
  <si>
    <t>IDEMA DO CARMO SILVESTRE</t>
  </si>
  <si>
    <t>GERALDO PEREIRA DA ROCHA</t>
  </si>
  <si>
    <t>GERALDO DOS SANTOS</t>
  </si>
  <si>
    <t>GEOVA FERREIRA CAMPOS</t>
  </si>
  <si>
    <t>EVA DOS SANTOS DE SOUZA</t>
  </si>
  <si>
    <t>ERALI APARECIDA MARQUETTI</t>
  </si>
  <si>
    <t>ELLEN CRISTINA DA SILVA</t>
  </si>
  <si>
    <t>ELIZABETE VIEIRA RAIMUNDO FERREIRA</t>
  </si>
  <si>
    <t>ELIAS RAMOS DA SILVA</t>
  </si>
  <si>
    <t>ELIAS FERREIRA ANDRADE</t>
  </si>
  <si>
    <t>ELIANE MARCELINO DOS SANTOS</t>
  </si>
  <si>
    <t>EDSON BATISTA RIBEIRO</t>
  </si>
  <si>
    <t>DULCE ENI BERALDO</t>
  </si>
  <si>
    <t>CRISTINA RODRIGUES QUEIROZ CAMINHA</t>
  </si>
  <si>
    <t>CRISTIANE DE CASTRO</t>
  </si>
  <si>
    <t>CLAUDINEI VIEIRA DE OLIVEIRA</t>
  </si>
  <si>
    <t>CAMILA VITORIA BRAZ FARIAS</t>
  </si>
  <si>
    <t>ANNA RITA DA SILVA</t>
  </si>
  <si>
    <t>ANDREIA RODRIGUES DA SILVA</t>
  </si>
  <si>
    <t>SERVENTE + GAF + INSALUB. 20%</t>
  </si>
  <si>
    <t>ANDREIA CALSAVARA GOIS</t>
  </si>
  <si>
    <t>ANA MARIA DA SILVA CARVALHO</t>
  </si>
  <si>
    <t>ANA ELISA LIMA DA SILVA</t>
  </si>
  <si>
    <t>ALZIRES PATHEIS DE FRANCA</t>
  </si>
  <si>
    <t>ADRIANA DE MELI BOAVENTURA DA SILVA</t>
  </si>
  <si>
    <t>ADRIANA BENTO DA SILVA</t>
  </si>
  <si>
    <t>ADELINO VENANCIO DA SILVA</t>
  </si>
  <si>
    <t>BRUNA RAFAELA DA SILVA</t>
  </si>
  <si>
    <t>RENATO FERNANDO GOMES ARAUJO</t>
  </si>
  <si>
    <t>PEDRO GILSON XAVIER</t>
  </si>
  <si>
    <t>ANTONIO MAGRO</t>
  </si>
  <si>
    <t>OSVALDO ALVES BATISTA</t>
  </si>
  <si>
    <t>MISAEL ANTUNEZ CAPOTE</t>
  </si>
  <si>
    <t>FABIO MIGUEL</t>
  </si>
  <si>
    <t>OSVALDO APARECIDO DOS SANTOS</t>
  </si>
  <si>
    <t>LIAM LEON RUIZ</t>
  </si>
  <si>
    <t>JONATHAN HENRIQUE DE SOUZA CONCEICAO</t>
  </si>
  <si>
    <t>VALDECI RAMOS SCARPARO</t>
  </si>
  <si>
    <t>PAULO HENRIQUE ANTINARELE DELGADO</t>
  </si>
  <si>
    <t>ADEMI CRUZ DE LIMA</t>
  </si>
  <si>
    <t>ROGERIO EFIGENIO DA SILVEIRA</t>
  </si>
  <si>
    <t>APARECIDO DE BARROS</t>
  </si>
  <si>
    <t>APARECIDO PEREIRA DE SOUZA</t>
  </si>
  <si>
    <t>VALDIRENE VIEIRA PIRES</t>
  </si>
  <si>
    <t>JANDIRO MARCONDES</t>
  </si>
  <si>
    <t>THIAGO DIAS DA SILVA</t>
  </si>
  <si>
    <t>ANTONIO CARLOS DE OLIVEIRA</t>
  </si>
  <si>
    <t>SEBASTIAO DIVINO FERREIRA</t>
  </si>
  <si>
    <t>JOSE VILSON DE CAMARGO</t>
  </si>
  <si>
    <t>CARLOS EDUARDO DE SOUZA CASTAGNARO</t>
  </si>
  <si>
    <t>SEBASTIAO BISPO SANTANA</t>
  </si>
  <si>
    <t>APARECIDO CHAGAS DO NASCIMENTO</t>
  </si>
  <si>
    <t>MARIA DAS GRACAS DE LIMA</t>
  </si>
  <si>
    <t>CESAR DOMINGUES DOS SANTOS</t>
  </si>
  <si>
    <t>OSVALDO LEON TIRADO</t>
  </si>
  <si>
    <t>VALDECIR ALVES DA SILVA</t>
  </si>
  <si>
    <t>JOSE ALVES MOREIRA FILHO</t>
  </si>
  <si>
    <t>JOSE SEBASTIAO DE ANDRADE</t>
  </si>
  <si>
    <t>SEBASTIAO FELISBERTO DA SILVA</t>
  </si>
  <si>
    <t>VAGNER NOGUEIRA MAZUROK</t>
  </si>
  <si>
    <t>ANDRE FRANCISCO CLAGNAN</t>
  </si>
  <si>
    <t>JOSE CICERO VIEIRA DOS SANTOS</t>
  </si>
  <si>
    <t>EDILAINE DOS SANTOS</t>
  </si>
  <si>
    <t>ADILSON FRANCO DE JESUS</t>
  </si>
  <si>
    <t>RODRIGO CESPEDES DOS SANTOS</t>
  </si>
  <si>
    <t>LUIZ HENRIQUE DE SOUZA FERREIRA</t>
  </si>
  <si>
    <t>ANDERSON FERNANDO ESTOCK DOS SANTOS</t>
  </si>
  <si>
    <t>NIVALDO PAULINO DA SILVA</t>
  </si>
  <si>
    <t>CONRADO CIRILO DE NOVAIS</t>
  </si>
  <si>
    <t>LUCAS FRANCISCO DOS SANTOS</t>
  </si>
  <si>
    <t>DEIVID JUNIOR FRANCISCO DA SILVA</t>
  </si>
  <si>
    <t>TIAGO DE SENE MOREIRA</t>
  </si>
  <si>
    <t>ISRAEL DE ABREU</t>
  </si>
  <si>
    <t>JOSE ANTONIO DE ARAUJO</t>
  </si>
  <si>
    <t>SAMUEL FERREIRA DA SILVA</t>
  </si>
  <si>
    <t>OZIEL GERCINO XAVIER</t>
  </si>
  <si>
    <t>SILVIO LUIZ NETTO PIRES</t>
  </si>
  <si>
    <t>CELSO TEODORO</t>
  </si>
  <si>
    <t>GABRIEL APOLINARIO DE SOUZA</t>
  </si>
  <si>
    <t>DONIZETI JOSE MIRANDA</t>
  </si>
  <si>
    <t>JOSE CARLOS DE SOUZA</t>
  </si>
  <si>
    <t>VITOR HUGO PEREIRA CANTONI</t>
  </si>
  <si>
    <t>APARECIDO DAS DORES DE OLIVEIRA</t>
  </si>
  <si>
    <t>GILBERTO DOS SANTOS ROCHA</t>
  </si>
  <si>
    <t>CLAUDIO TEODORO DE CARVALHO</t>
  </si>
  <si>
    <t>ANTONIO CARLOS GERVASIO</t>
  </si>
  <si>
    <t>ANTONIO SOARES DA SILVA</t>
  </si>
  <si>
    <t>EDENILSON BELARMINO DA SILVA</t>
  </si>
  <si>
    <t>DAVID RIBEIRO DE NOVAES</t>
  </si>
  <si>
    <t>DOUGLAS SANTOS AGOSTINHO</t>
  </si>
  <si>
    <t>REINALDO ALVARO RISSI</t>
  </si>
  <si>
    <t>LUIS CARLOS LISBOA DE JESUS</t>
  </si>
  <si>
    <t>BENEDITO DE OLIVEIRA</t>
  </si>
  <si>
    <t>LUIZ JOSE DOS SANTOS</t>
  </si>
  <si>
    <t>PEDRO DONIZETI HONORIO</t>
  </si>
  <si>
    <t>DOUGLAS APARECIDO RODRIGUES DA SILVA</t>
  </si>
  <si>
    <t>ADERSON DE OLIVEIRA SOUZA</t>
  </si>
  <si>
    <t>ALEXANDRO BORGES DE OLIVEIRA</t>
  </si>
  <si>
    <t>JUVENAL CESAR ARAUJO</t>
  </si>
  <si>
    <t>JOAO MARIA LOPES</t>
  </si>
  <si>
    <t>FABIO PEREIRA DE SOUSA</t>
  </si>
  <si>
    <t>CLAUDEMIR DOS SANTOS</t>
  </si>
  <si>
    <t>JOSE FLORENCIO DA SILVA JUNIOR</t>
  </si>
  <si>
    <t>ANTONIO SERGIO PINHA</t>
  </si>
  <si>
    <t>JUNIOR DOS SANTOS CAETANO</t>
  </si>
  <si>
    <t>PEDRO HENRIQUE ALVES FERREIRA</t>
  </si>
  <si>
    <t>MANOEL MESSIAS DA SILVA</t>
  </si>
  <si>
    <t>ALEX SANDRO SOARES BRAUNINHA</t>
  </si>
  <si>
    <t>LUIZ ROBERTO DE SOUZA</t>
  </si>
  <si>
    <t>REINALDO CAMPOS</t>
  </si>
  <si>
    <t>CLAUDECIR HONORATO</t>
  </si>
  <si>
    <t>MARCOS VINICIUS MARTINS</t>
  </si>
  <si>
    <t>JUAREZ APARECIDO BENTO</t>
  </si>
  <si>
    <t>TAISON SANTOS NASCIMENTO</t>
  </si>
  <si>
    <t>GILMAR DOS SANTOS</t>
  </si>
  <si>
    <t>VANTUIL PEREIRA VIANNA</t>
  </si>
  <si>
    <t>ADEMAR DOS SANTOS</t>
  </si>
  <si>
    <t>VALDECIR ANDRE DE OLIVEIRA</t>
  </si>
  <si>
    <t>ANTONIO APARECIDO DE BRITO</t>
  </si>
  <si>
    <t>PEDRO APARECIDO JORGE</t>
  </si>
  <si>
    <t>ANTONIO MILITAO DA SILVA</t>
  </si>
  <si>
    <t>ELSON ALVES RODRIGUES</t>
  </si>
  <si>
    <t>DANIEL DE LIMA DIAS</t>
  </si>
  <si>
    <t>MARCELO MORAIS</t>
  </si>
  <si>
    <t>ITAMIRO BAZILIO</t>
  </si>
  <si>
    <t>MARCO AURELIO DE ARAUJO</t>
  </si>
  <si>
    <t>AGUIMAR BISPO DOS SANTOS</t>
  </si>
  <si>
    <t>RENATO NASCIMENTO VIEIRA</t>
  </si>
  <si>
    <t>BRUNO DOMINGOS DE OLIVEIRA</t>
  </si>
  <si>
    <t>JOAO PAULO AFONSO DO NASCIMENTO</t>
  </si>
  <si>
    <t>JOSE DOS REIS DO CARMO</t>
  </si>
  <si>
    <t>CARLOS HENRIQUE AMARAL</t>
  </si>
  <si>
    <t>FRANCISCO SAVA DOS REIS</t>
  </si>
  <si>
    <t>JOAO LEONEL DE SOUZA</t>
  </si>
  <si>
    <t>LOURIVAL AMORIM DA ROCHA</t>
  </si>
  <si>
    <t>DANIEL GONCALVES DE ARAUJO</t>
  </si>
  <si>
    <t>NELCIRO CANDIDO LOPES</t>
  </si>
  <si>
    <t>ROBERTO CARLOS DA SILVA</t>
  </si>
  <si>
    <t>ANTONIO FAUSTINO DOS SANTOS</t>
  </si>
  <si>
    <t>REINALDO ARAUJO DOS SANTOS</t>
  </si>
  <si>
    <t>WAGNER DA SILVA CUNHA</t>
  </si>
  <si>
    <t>IVAN APARECIDO TEIXEIRA</t>
  </si>
  <si>
    <t>EDSON FERREIRA DOS SANTOS</t>
  </si>
  <si>
    <t>LEONARDO MILIAN CASTINEIRA</t>
  </si>
  <si>
    <t>AGNALDO APARECIDO CAMPOS</t>
  </si>
  <si>
    <t>MICHEL ESQUIJEROSA ORFILA</t>
  </si>
  <si>
    <t>ROGERIO MOREIRA KAIZER</t>
  </si>
  <si>
    <t>JULIO HENRIQUE FABRICIO</t>
  </si>
  <si>
    <t>GENILSON SOUZA SILVA</t>
  </si>
  <si>
    <t>JOAO CARLOS BORGES</t>
  </si>
  <si>
    <t>MARCELO APARECIDO GODINHO</t>
  </si>
  <si>
    <t>DANILO HENRIQUE VIOLADA COSTA</t>
  </si>
  <si>
    <t>HENRIQUE FLORENCIO DA SILVA CRUZ</t>
  </si>
  <si>
    <t>IAGO MATEUS DO VALE</t>
  </si>
  <si>
    <t>VITOR HUGO DOS SANTOS DA SILVA</t>
  </si>
  <si>
    <t>FLAVIO SPOLADOR</t>
  </si>
  <si>
    <t>MAURO AFONSO DE OLIVEIRA</t>
  </si>
  <si>
    <t>PAULO SERGIO DOS SANTOS</t>
  </si>
  <si>
    <t>JULIANO MACHADO</t>
  </si>
  <si>
    <t>JOSE HENRIQUE BATISTA FERREIRA</t>
  </si>
  <si>
    <t>EDER WILSON PIERONE</t>
  </si>
  <si>
    <t>WILLIAN FERNANDO SOARES MORAES</t>
  </si>
  <si>
    <t>PAULO JOSE DE OLIVEIRA</t>
  </si>
  <si>
    <t>DANIEL DE PAULA E SILVA LOPES</t>
  </si>
  <si>
    <t>VALDIR CAMILO DE SOUZA</t>
  </si>
  <si>
    <t>BRIAN LEON RUIZ</t>
  </si>
  <si>
    <t>MARCIO RODRIGUES DA SILVA</t>
  </si>
  <si>
    <t>NARCISO APARECIDO DA PAZ</t>
  </si>
  <si>
    <t>THAIS INACIO DOS SANTOS</t>
  </si>
  <si>
    <t>ADRIANO COSTA</t>
  </si>
  <si>
    <t>MARCELO APARECIDO MARTINELLI</t>
  </si>
  <si>
    <t>ANDRE HENRIQUE COSTA</t>
  </si>
  <si>
    <t>GUSTAVO HENRIQUE ASARIAS DA SILVA</t>
  </si>
  <si>
    <t>JOAO VITOR DOS SANTOS DA SILVA</t>
  </si>
  <si>
    <t>ANDERSON DOS SANTOS KINAUTT</t>
  </si>
  <si>
    <t>DAYNER GONZALEZ JANEIRO</t>
  </si>
  <si>
    <t>RODRIGO FERNANDO CAMARGO SANTIAGO</t>
  </si>
  <si>
    <t>VANDERLEI APARECIDO LINO</t>
  </si>
  <si>
    <t>SAMUEL JOSE DA SILVA</t>
  </si>
  <si>
    <t>HIGOR DE SOUZA CONCEICAO</t>
  </si>
  <si>
    <t>JOAO BATISTA CAMARGO</t>
  </si>
  <si>
    <t>CLEVERSON NADALUTI DA SILVA</t>
  </si>
  <si>
    <t>ERNANDES ADRIANO LUIZ</t>
  </si>
  <si>
    <t>YORDAN LEYVA DEL SOL</t>
  </si>
  <si>
    <t>RICARDO AUGUSTO BACARIN DE OLIVEIRA</t>
  </si>
  <si>
    <t>DIONISIO LUIZ DE FRANCA</t>
  </si>
  <si>
    <t>OTAVIO LUIZ DOS SANTOS SOUZA</t>
  </si>
  <si>
    <t>CARLOS ALBERTO BATISTA</t>
  </si>
  <si>
    <t>EVANDRO JOSE LOURENCONE</t>
  </si>
  <si>
    <t>ANGELA MARIA CAPRERA DOS SANTOS</t>
  </si>
  <si>
    <t>ANA LUCIA DE LIMA</t>
  </si>
  <si>
    <t>DONIZETE APARECIDO FIORI POSSIDONIO</t>
  </si>
  <si>
    <t>RIAN JOSE APARECIDO DUARTE</t>
  </si>
  <si>
    <t>IVAN RODRIGUES DA SILVA</t>
  </si>
  <si>
    <t>ALISSON HENRIQUE BEZERRA DA SILVA</t>
  </si>
  <si>
    <t>NICHOLAS FELIPE SEMPREBON</t>
  </si>
  <si>
    <t>ATALITA MARIA DA SILVA</t>
  </si>
  <si>
    <t>CARLOS ALECIO RAMOS SERAPIAO</t>
  </si>
  <si>
    <t>ALEXANDRA DOS SANTOS RAMALHO</t>
  </si>
  <si>
    <t>CELIA MARIA SIPRIANO</t>
  </si>
  <si>
    <t>MARINES PEREIRA GONCALVES</t>
  </si>
  <si>
    <t>JOSE APARECIDO DO AMARAL</t>
  </si>
  <si>
    <t>CLEIDE APARECIDA MARTINS</t>
  </si>
  <si>
    <t>MARCOS MARTINS RODRIGUES</t>
  </si>
  <si>
    <t>ELOISE VITORIA VERLINGUE DA SILVA</t>
  </si>
  <si>
    <t>VALDIR DIAS MORAIS</t>
  </si>
  <si>
    <t>PEDRO SLOBOGIAN</t>
  </si>
  <si>
    <t>ISRAEL DE SOUZA</t>
  </si>
  <si>
    <t>THAIS MICHELLE SILVA RAVANHANI</t>
  </si>
  <si>
    <t>FELIPE RIBEIRO PELISSON</t>
  </si>
  <si>
    <t>ROMILDA HELENA SILVA DE SOUZA</t>
  </si>
  <si>
    <t>ELIANA PEREIRA DA SILVA</t>
  </si>
  <si>
    <t>WANDERLEI BUENO CAMARGO</t>
  </si>
  <si>
    <t>ELISANGELA DOS SANTOS</t>
  </si>
  <si>
    <t>DIRCEU ZELANTE</t>
  </si>
  <si>
    <t>OSVALDO SERAPIAO</t>
  </si>
  <si>
    <t>SERGIO APARECIDO PECORARO</t>
  </si>
  <si>
    <t>IVAN MARTINS DOS SANTOS</t>
  </si>
  <si>
    <t>SIDNEI MARQUES</t>
  </si>
  <si>
    <t>SONIA APARECIDA MATIAS</t>
  </si>
  <si>
    <t>ANDREA PEREIRA NEVES</t>
  </si>
  <si>
    <t>GILBERTO GRANDIZOLI</t>
  </si>
  <si>
    <t>GABRIEL CASTELLANI PEREZ</t>
  </si>
  <si>
    <t>FRANCIELLY APARECIDA MARTINS SIMAO</t>
  </si>
  <si>
    <t>ANDERSON MARCELINO DA SILVA</t>
  </si>
  <si>
    <t>KELLY RODRIGUES ALVARENGA</t>
  </si>
  <si>
    <t>MARCIA CRISTINA BARBOSA</t>
  </si>
  <si>
    <t>CLEBER MINAS ROCHA</t>
  </si>
  <si>
    <t>WAGNER FERREIRA LIMA</t>
  </si>
  <si>
    <t>JOSE SERAPIAO DOS SANTOS</t>
  </si>
  <si>
    <t>DENILSON FERREIRA DE CASTRO</t>
  </si>
  <si>
    <t>MAYRA EDRIANY LUGAO</t>
  </si>
  <si>
    <t>ADRIANA BATISTA GUEDES PEREIRA</t>
  </si>
  <si>
    <t>TAMIRES DE OLIVEIRA</t>
  </si>
  <si>
    <t>ISABELE DE PAULA RIGONI SANTOS</t>
  </si>
  <si>
    <t>GABRIEL FRANCHI DRUCK GARCIA</t>
  </si>
  <si>
    <t>WESLEY MURGI SCHIASSE</t>
  </si>
  <si>
    <t>RUBIA CRISTINA FURTADO</t>
  </si>
  <si>
    <t>RAYSA BEATRIZ GRUGEL DE SOUZA</t>
  </si>
  <si>
    <t>GABRIELE DE PAULA RIGONI SANTOS</t>
  </si>
  <si>
    <t>GABRIEL HENRIQUE CAMARGO CARLOS</t>
  </si>
  <si>
    <t>JOSI TOBIAS MELHADO</t>
  </si>
  <si>
    <t>LUANA DA SILVA AGUIAR</t>
  </si>
  <si>
    <t>JAILMA CARLOS PIRES LINARES</t>
  </si>
  <si>
    <t>BRENO DE SOUZA DO ESPIRITO SANTOS MARTINS</t>
  </si>
  <si>
    <t>MAURO HENRIQUE CASTRO IGNACIO</t>
  </si>
  <si>
    <t>LUANA CRISTINA DA CRUZ</t>
  </si>
  <si>
    <t>PATRICIA APARECIDA MURGI</t>
  </si>
  <si>
    <t>DAIANA DE ALMEIDA DELGADO</t>
  </si>
  <si>
    <t>MAURO RIGATE</t>
  </si>
  <si>
    <t>ADRIANA MONTILHA DE OLIVEIRA</t>
  </si>
  <si>
    <t>DAVINY NATALIA MELLO DE FARIAS PONCIANO</t>
  </si>
  <si>
    <t>ANA CAROLINA JANDRES PIOLA</t>
  </si>
  <si>
    <t>SELMA DA SILVA PORTELA</t>
  </si>
  <si>
    <t>MARIA SOLER DE JESUS</t>
  </si>
  <si>
    <t>JESSICA SABRINA LUIZ</t>
  </si>
  <si>
    <t>KARLA APARECIDA CABRAL</t>
  </si>
  <si>
    <t>LUIZ FELIPE MARQUES BRESSAN</t>
  </si>
  <si>
    <t>MARIA DALVA DUARTE MARTINS</t>
  </si>
  <si>
    <t>PATRICIA MADRUGA DO CARMO</t>
  </si>
  <si>
    <t>MARIA MADALENA DE PAULA MARTINS</t>
  </si>
  <si>
    <t>RANGEL CRUZ DE SOUZA</t>
  </si>
  <si>
    <t>VALDIRENE DE PIZA</t>
  </si>
  <si>
    <t>LUIZ MAURO WENCESLAU</t>
  </si>
  <si>
    <t>SIRLENE FELIX DA HORA</t>
  </si>
  <si>
    <t>ROSANGELA VICENTE DOS SANTOS</t>
  </si>
  <si>
    <t>DENISE APPARECIDO</t>
  </si>
  <si>
    <t>JOSIANE CRISTINA DA SILVA</t>
  </si>
  <si>
    <t>ROSANGELA PONTES DE ALMEIDA</t>
  </si>
  <si>
    <t>FERNANDA BETIATI</t>
  </si>
  <si>
    <t>MARIANA CIVIDATI</t>
  </si>
  <si>
    <t>CLEIDE APARECIDA DA SILVA</t>
  </si>
  <si>
    <t>DOUGLAS PEREIRA DA CRUZ</t>
  </si>
  <si>
    <t>SILVANA DE SOUZA</t>
  </si>
  <si>
    <t>ROSICLEI MARQUES RABELO MARTINI</t>
  </si>
  <si>
    <t>SIBELI APARECIDA PASSARELI</t>
  </si>
  <si>
    <t>MARIA DA PENHA FELIX DOS SANTOS ALVES</t>
  </si>
  <si>
    <t>MARLENE MORAIS</t>
  </si>
  <si>
    <t>MARCIA ANTONIA MEDEIROS</t>
  </si>
  <si>
    <t>ADRIANA DE FATIMA DOS SANTOS</t>
  </si>
  <si>
    <t>GUILHERME SANTIAGO INACIO DE AGUIAR</t>
  </si>
  <si>
    <t>MARIA EUNICE DE OLIVEIRA</t>
  </si>
  <si>
    <t>MARA LIGIA DE SOUZA</t>
  </si>
  <si>
    <t>ROSANGELA APARECIDA AGUILERA</t>
  </si>
  <si>
    <t>NAURACI PEREIRA</t>
  </si>
  <si>
    <t>VALKIRIA MARTINS DOS SANTOS</t>
  </si>
  <si>
    <t>BARBARA SANCHES GARCIA SILVA</t>
  </si>
  <si>
    <t>MARIA EUNICE VIANA RODRIGUES</t>
  </si>
  <si>
    <t>MARCIA CICERA MARCELINO</t>
  </si>
  <si>
    <t>MILENA BERNINI BARBOSA</t>
  </si>
  <si>
    <t>TATIANA APARECIDA RIBEIRO DA SILVA</t>
  </si>
  <si>
    <t>CLAUDINEIA LUCIANO DE OLIVEIRA</t>
  </si>
  <si>
    <t>SILVANA SANTOS DA SILVA</t>
  </si>
  <si>
    <t>ZELIA LOPES DE ASSIS SANTOS</t>
  </si>
  <si>
    <t>MARIANE COSTA DE ANDRADE</t>
  </si>
  <si>
    <t>ANDREA PEREIRA MENDONÇA NARCISO</t>
  </si>
  <si>
    <t>MAURA APARECIDA DE MORAES</t>
  </si>
  <si>
    <t>ROSANGELA PIRES</t>
  </si>
  <si>
    <t>DELMA DA SILVA PORTELA</t>
  </si>
  <si>
    <t>MARLENE DE QUEIROZ DO NASCIMENTO</t>
  </si>
  <si>
    <t>ADRIANA APARECIDA DE SOUZA SILVA</t>
  </si>
  <si>
    <t>VALERIA WILLY</t>
  </si>
  <si>
    <t>ANA PAULA GONCALVES FERREIRA</t>
  </si>
  <si>
    <t>CLAUDINEIA SANTIAGO ANDRIACI DOS SANTOS</t>
  </si>
  <si>
    <t>JAQUELINE CRISTINA DA SILVA</t>
  </si>
  <si>
    <t>DIELE SALVADOR RAMALHO</t>
  </si>
  <si>
    <t>ANGELICA BIDA FERNANDES RODRIGUES</t>
  </si>
  <si>
    <t>KATIA MILLENY CUNHA DA SILVA</t>
  </si>
  <si>
    <t>IVANEIDE DE SOUZA</t>
  </si>
  <si>
    <t>SILMARA PAULA DE OLIVEIRA SANTIAGO</t>
  </si>
  <si>
    <t>SONIA APARECIDA INACIO</t>
  </si>
  <si>
    <t>CLEONICE MAINARDES MARTINS</t>
  </si>
  <si>
    <t>ANA RITA DIONISIO DOS SANTOS</t>
  </si>
  <si>
    <t>KAREN PRISCILA MARQUES DE PAULA</t>
  </si>
  <si>
    <t>RENATA GAMBETTA AGUIRRA</t>
  </si>
  <si>
    <t>CLEOCI DE FATIMA REIS</t>
  </si>
  <si>
    <t>EDILAINE BORGES</t>
  </si>
  <si>
    <t>ROSANGELA DO CARMO SILVESTRE</t>
  </si>
  <si>
    <t>EDNA FERNANDA LUCIANO</t>
  </si>
  <si>
    <t>ZITA MARIA DA GLORIA DE PAULA</t>
  </si>
  <si>
    <t>PAULA MARCELINO DE ANDRADE DA FONSECA</t>
  </si>
  <si>
    <t>JANAINA ARRUDA DE OLIVEIRA ROSA</t>
  </si>
  <si>
    <t>MARIA APARECIDA FELIX DA SILVA GONÇALVES</t>
  </si>
  <si>
    <t>FATIMA PEDROSO</t>
  </si>
  <si>
    <t>ELISANGELA SANTOS DE OLIVEIRA</t>
  </si>
  <si>
    <t>MARIA DA PAIXAO OLIVEIRA LEITE DA SILVA</t>
  </si>
  <si>
    <t>VANDERLEIA BUENO PEREIRA BARROSO</t>
  </si>
  <si>
    <t>MARILIA REBECCA CHAVES DE ABREU</t>
  </si>
  <si>
    <t>TEREZINHA RODRIGUES DE SANTANA</t>
  </si>
  <si>
    <t>SEBASTIANA NEIDE DA CUNHA</t>
  </si>
  <si>
    <t>ANGELA MARIA MOREIRA</t>
  </si>
  <si>
    <t>CRISTINA SANTOS SOUZA</t>
  </si>
  <si>
    <t>MARINETI PEREIRA BALBINO RODRIGUES</t>
  </si>
  <si>
    <t>MARIA DE LOURDES SILVA BALDINI</t>
  </si>
  <si>
    <t>JANAINA MIRANDA SILVA</t>
  </si>
  <si>
    <t>ISADORA DOS SANTOS BALDINI</t>
  </si>
  <si>
    <t>MARIA EDUARDA FERREIRA DA SILVA</t>
  </si>
  <si>
    <t>DULCE ROGERIO LUGAO</t>
  </si>
  <si>
    <t>IVANETE APARECIDA BACARIN JANDRES</t>
  </si>
  <si>
    <t>ERICA CRISTINA MARTINS POSSIDONIO</t>
  </si>
  <si>
    <t>SUELEN CRISTINA ALVES DOMINGUES DA COSTA</t>
  </si>
  <si>
    <t>DAIANE VALERIO DE LIMA</t>
  </si>
  <si>
    <t>CINTIA PEREIRA NUNES DA SILVA</t>
  </si>
  <si>
    <t>ANA CARLA DE LIMA</t>
  </si>
  <si>
    <t>ALINE CRISTINE MARTIRE</t>
  </si>
  <si>
    <t>EDINEIA DE FREITAS</t>
  </si>
  <si>
    <t>ALZIRA DA FONSECA</t>
  </si>
  <si>
    <t>MAISA CRISTIANA BANHETE FERREIRA</t>
  </si>
  <si>
    <t>ALUZENIR DOS SANTOS PORTO</t>
  </si>
  <si>
    <t>SELMA DE CASTRO TORO</t>
  </si>
  <si>
    <t>MARCIA FERREIRA DO VALLE</t>
  </si>
  <si>
    <t>NICASSIA CORDEIRO DE SOUZA</t>
  </si>
  <si>
    <t>ROSANGELA MAIMONE DE OLIVEIRA</t>
  </si>
  <si>
    <t>REGINA APARECIDA DE SOUZA SILVA MELO</t>
  </si>
  <si>
    <t>ANA CAROLINA BARRERA</t>
  </si>
  <si>
    <t>MARCIA TEODORO DA SILVA PIRES</t>
  </si>
  <si>
    <t>ROSANA APARECIDA DE ARAUJO</t>
  </si>
  <si>
    <t>MAYARA FLORA DUTRA</t>
  </si>
  <si>
    <t>ONEIDE DE BARROS CARBONES</t>
  </si>
  <si>
    <t>JOSIANE APARECIDA SILVINO LIMA</t>
  </si>
  <si>
    <t>MARIANA DE ALMEIDA SILVA</t>
  </si>
  <si>
    <t>MARCIO FIORI</t>
  </si>
  <si>
    <t>JOSELI APARECIDA DA SILVA WACHISKI</t>
  </si>
  <si>
    <t>SIMONE MINAS</t>
  </si>
  <si>
    <t>ELENICE MACIEL DE SOUZA</t>
  </si>
  <si>
    <t>CRISTIANE APARECIDA DA SILVA</t>
  </si>
  <si>
    <t>SOLANGE CRISTINA PEREIRA</t>
  </si>
  <si>
    <t>PATRICIA SAMPAIO BARROTO DE SOUZA</t>
  </si>
  <si>
    <t>IRINEIDE AMARO</t>
  </si>
  <si>
    <t>JANAINA FRANCIELI TEODORO</t>
  </si>
  <si>
    <t>ELIZANGELA DA LUZ SANT ANA</t>
  </si>
  <si>
    <t>ELIANE GALDINO DA SILVA</t>
  </si>
  <si>
    <t>KAREN APARECIDA DA SILVA</t>
  </si>
  <si>
    <t>ROSELI CHIAPETTI</t>
  </si>
  <si>
    <t>LUCIANA APARECIDA SOARES MILANI MARQUES</t>
  </si>
  <si>
    <t>ELAINE CRISTINA AUGUSTINHO BARBOSA</t>
  </si>
  <si>
    <t>AMANDA RENATA DA SILVA CASAROLI CARDOSO</t>
  </si>
  <si>
    <t>JOSIANA APARECIDA BETIATI</t>
  </si>
  <si>
    <t>FABIANE CRISTINA REIS</t>
  </si>
  <si>
    <t>PAULO CESAR DE SOUZA JUNIOR</t>
  </si>
  <si>
    <t>ELAINE CRISTINA FERREIRA</t>
  </si>
  <si>
    <t>ROSELI DOMICIANO ROSA</t>
  </si>
  <si>
    <t>ANA JULIA MARUN OSHIMA</t>
  </si>
  <si>
    <t>SOELI DIAS DE OLIVEIRA NOGUEIRA</t>
  </si>
  <si>
    <t>ALESSANDRINA APARECIDA CAMILO SANDRINO</t>
  </si>
  <si>
    <t>ROSELI ROSA DA SILVA LESSE</t>
  </si>
  <si>
    <t>AMANDA CAROLINE DE PAULA DONATO DA SILVA</t>
  </si>
  <si>
    <t>HOSANA ALVES PEREIRA LUZ</t>
  </si>
  <si>
    <t>LETICIA CANDIDO DE SOUZA</t>
  </si>
  <si>
    <t>MARIA JOSE DE SOUZA</t>
  </si>
  <si>
    <t>ADRIANA DE ALMEIDA DELGADO</t>
  </si>
  <si>
    <t>APARECIDA DE FATIMA ALVES</t>
  </si>
  <si>
    <t>MARCIA APARECIDA RIBEIRO LUPERINI</t>
  </si>
  <si>
    <t>MARIA CLAUDETE DE MELO BATISTA</t>
  </si>
  <si>
    <t>MARCELA CASSIANO DA SILVA</t>
  </si>
  <si>
    <t>LILIAN REGINA MARTIRE</t>
  </si>
  <si>
    <t>HELLEN CRISTINE PEREIRA</t>
  </si>
  <si>
    <t>ANDREZA SILVA MARTINHO</t>
  </si>
  <si>
    <t>CRISTIANA APARECIDA DA CRUZ CAMARGO</t>
  </si>
  <si>
    <t>ANA MARIA DOS SANTOS</t>
  </si>
  <si>
    <t>LUANA DINIZ DE SOUZA</t>
  </si>
  <si>
    <t>LUCIMARA DAS DORES SILVA SOARES</t>
  </si>
  <si>
    <t>ELIZABETE MOURA LIMA</t>
  </si>
  <si>
    <t>ADRIANA MARIA DA SILVA</t>
  </si>
  <si>
    <t>SIRLENE TOMAZ</t>
  </si>
  <si>
    <t>HOSANIA DE OLIVEIRA NICOLAEV</t>
  </si>
  <si>
    <t>SANDRA MARIA ROZA</t>
  </si>
  <si>
    <t>TEREZINHA MARTINS PEREIRA DE OLIVEIRA</t>
  </si>
  <si>
    <t>TERESINHA DIVINA MARCELINO</t>
  </si>
  <si>
    <t>ALEX MONTEIRO DA FONSECA</t>
  </si>
  <si>
    <t>IVONE REGINA ROZA</t>
  </si>
  <si>
    <t>SOLON LOPES DE ALBUQUERQUE NETO</t>
  </si>
  <si>
    <t>IVONE DA CONCEIÇAO SOARES</t>
  </si>
  <si>
    <t>JANDIRA APARECIDA DOS SANTOS</t>
  </si>
  <si>
    <t>ANDREA DOMINGOS DOS SANTOS</t>
  </si>
  <si>
    <t>ADRIANA CRISTINA DOS SANTOS</t>
  </si>
  <si>
    <t>ALEXANDRE COSTA DOS SANTOS</t>
  </si>
  <si>
    <t>TEREZINHA DE MORAES</t>
  </si>
  <si>
    <t>HELEN CARLA BURIN</t>
  </si>
  <si>
    <t>LUZIA DA SILVA</t>
  </si>
  <si>
    <t>TANIA MARIA VIANA</t>
  </si>
  <si>
    <t>CLEUZA APARECIDA DOS SANTOS TRENTO</t>
  </si>
  <si>
    <t>JULIETA MACIEL FERREIRA</t>
  </si>
  <si>
    <t>JOILSON DE OLIVEIRA SANTANA</t>
  </si>
  <si>
    <t>PATRICIA CANDIDO DOS SANTOS</t>
  </si>
  <si>
    <t>LUCELIA DA ROCHA</t>
  </si>
  <si>
    <t>ISABEL ELIANA DE NARDO</t>
  </si>
  <si>
    <t>LUCIANA ROQUE MARQUES</t>
  </si>
  <si>
    <t>MICHELE SILVA TORRES</t>
  </si>
  <si>
    <t>MADSON LEITE RODRIGUES</t>
  </si>
  <si>
    <t>MELIANE APARECIDA MARQUES</t>
  </si>
  <si>
    <t>RAQUEL FERREIRA REZENDE</t>
  </si>
  <si>
    <t>AMILTON ALVARENGA</t>
  </si>
  <si>
    <t>AMANDA MARIA LONGHI MOSCARDO</t>
  </si>
  <si>
    <t>LARISSA FRANCIELLE PIRES GOMES</t>
  </si>
  <si>
    <t>THAIS BRAGA SOUZA</t>
  </si>
  <si>
    <t>VALDIR PEREIRA DOS SANTOS</t>
  </si>
  <si>
    <t>JESSICA RODRIGUES ROCHA</t>
  </si>
  <si>
    <t>VANUSA MAXIMIANO DOS SANTOS</t>
  </si>
  <si>
    <t>JULIANDRIO ANDRADE SOUZA</t>
  </si>
  <si>
    <t>MARIA BATISTA DA SILVA GRILO</t>
  </si>
  <si>
    <t>YASMIN GABRIELLE SOUZA DE OLIVEIRA</t>
  </si>
  <si>
    <t>VALDELI GOMES DE SOUZA BARBOZA</t>
  </si>
  <si>
    <t>PATRICIA DE OLIVEIRA SANTOS</t>
  </si>
  <si>
    <t>ANDREA DA CRUZ DIARCISO RIBEIRO</t>
  </si>
  <si>
    <t>MONICA PATRICIA NANTES</t>
  </si>
  <si>
    <t>NAIDE APARECIDA RIBEIRO</t>
  </si>
  <si>
    <t>VINICIUS BERBEL CADAMURO</t>
  </si>
  <si>
    <t>LUANA GOES DOS SANTOS</t>
  </si>
  <si>
    <t>LETICIA MEIER SALOMAO</t>
  </si>
  <si>
    <t>ANGELICA BORGES VIEIRA PRADO</t>
  </si>
  <si>
    <t>ANA JULIA RORATTO</t>
  </si>
  <si>
    <t>CAMILA SANTOS</t>
  </si>
  <si>
    <t>MARIA SANTA MOREIRA DA SILVA</t>
  </si>
  <si>
    <t>VIVIANE DE OLIVEIRA ZELANTE</t>
  </si>
  <si>
    <t>LUCIMAR REGINA GOMES DE MELO</t>
  </si>
  <si>
    <t>MARIA HELENA DOS SANTOS SILVA</t>
  </si>
  <si>
    <t>GIOVANA APARECIDA DA SILVA LOURENCO</t>
  </si>
  <si>
    <t>HAYARA ARIADNE SANTOS ALVES</t>
  </si>
  <si>
    <t>ANA CAROLINA PINHEIRO MARTINS</t>
  </si>
  <si>
    <t>VITOR HUGO MARQUES DE OLIVEIRA</t>
  </si>
  <si>
    <t>BRUNA MARIA CARVALHO</t>
  </si>
  <si>
    <t>LARISSA VITORIA GUISSO</t>
  </si>
  <si>
    <t>JULIO CESAR DE SOUZA MINOSSO</t>
  </si>
  <si>
    <t>MARCOS MESSIAS SOARES</t>
  </si>
  <si>
    <t>ANTONIO CARLOS PEREIRA</t>
  </si>
  <si>
    <t>CESAR ROGERIO DOS SANTOS</t>
  </si>
  <si>
    <t>ANTONIO FELIPE SOARES DE CARVALHO</t>
  </si>
  <si>
    <t>ROSELI DE OLIVEIRA MESSIAS CARVALHO</t>
  </si>
  <si>
    <t>HENRIQUE ALVES DE SOUZA</t>
  </si>
  <si>
    <t>MARCIA GERALDO DE LIMA</t>
  </si>
  <si>
    <t>MARCELO WILLIAM DE CASTRO</t>
  </si>
  <si>
    <t>JOAO PAULO PEREIRA DA SILVA</t>
  </si>
  <si>
    <t>JOSE PEDRO PEREIRA DE SOUZA</t>
  </si>
  <si>
    <t>VINICIUS PAULINO NOGUEIRA</t>
  </si>
  <si>
    <t>JOSE CARLOS SILVA</t>
  </si>
  <si>
    <t>PAULO CESAR DE MORAES ALVES</t>
  </si>
  <si>
    <t>EDIS MARTINS DOS SANTOS</t>
  </si>
  <si>
    <t>NAZARENO CARNEIRO CANDIDO</t>
  </si>
  <si>
    <t>MARCOS ROBERTO CADEDO</t>
  </si>
  <si>
    <t>THIAGO DA SILVA GONCALVES</t>
  </si>
  <si>
    <t>PEDRO JUNIOR LUIZ</t>
  </si>
  <si>
    <t>ISAIAS ALVES DE LIMA</t>
  </si>
  <si>
    <t>LUIS ALEJANDRO DIAZ FUENTES</t>
  </si>
  <si>
    <t>EVERALDO MARTINS DOS SANTOS</t>
  </si>
  <si>
    <t>ADRIANO DOS SANTOS SILVA</t>
  </si>
  <si>
    <t>SIDINEI CRIZOSTEMO DE MOURA</t>
  </si>
  <si>
    <t>MURILO EDUARDO ZAQUI</t>
  </si>
  <si>
    <t>LUIZ ARLINDO FRANCISCO</t>
  </si>
  <si>
    <t>JULIO DA SILVA DIAS JUNIOR</t>
  </si>
  <si>
    <t>EMMANUEL DIAS SILVA</t>
  </si>
  <si>
    <t>MATHEUS MOREIRA MARTINS</t>
  </si>
  <si>
    <t>MAURILIO DOS SANTOS</t>
  </si>
  <si>
    <t>MAICON ALVES DE LIMA</t>
  </si>
  <si>
    <t>EVERSON CARLOS DOS SANTOS</t>
  </si>
  <si>
    <t>APARECIDO DONIZETE DA SILVA</t>
  </si>
  <si>
    <t>ELTON APARECIDO DA SILVA</t>
  </si>
  <si>
    <t>DANIEL FAGUNDES DOS REIS</t>
  </si>
  <si>
    <t>JOAO BATISTA DE ASSUNCAO</t>
  </si>
  <si>
    <t>JOSE ANTONIO DE SOUZA</t>
  </si>
  <si>
    <t>EDIVALDO JESUS DA SILVA</t>
  </si>
  <si>
    <t>ADENILSON EMILIANO DA SILVA</t>
  </si>
  <si>
    <t>LUIZ CARLOS BRESSAN</t>
  </si>
  <si>
    <t>ADRIANO GOMES FERREIRA</t>
  </si>
  <si>
    <t>IVAN MARTINS DA SILVA MOREIRA</t>
  </si>
  <si>
    <t>VALDECIR PEREIRA NEVES</t>
  </si>
  <si>
    <t>JOSIANE EMANUELE ROQUE SANTOS</t>
  </si>
  <si>
    <t>JOSIAS DA SILVA</t>
  </si>
  <si>
    <t>JOAO VICTOR FERREIRA DOS SANTOS</t>
  </si>
  <si>
    <t>NILTON XAVIER</t>
  </si>
  <si>
    <t>JOEL MARQUES FERREIRA</t>
  </si>
  <si>
    <t>WENCESLAU RODRIGUES VIEIRA</t>
  </si>
  <si>
    <t>ELESSANDRO ANTONIO PARREIRA</t>
  </si>
  <si>
    <t>CLOVIS PEREIRA</t>
  </si>
  <si>
    <t>MARCELO PEREIRA DA SILVA</t>
  </si>
  <si>
    <t>OSMAR SELICANI</t>
  </si>
  <si>
    <t>VALDIR FERREIRA DE LIMA</t>
  </si>
  <si>
    <t>ALEXANDER VIEIRA</t>
  </si>
  <si>
    <t>MATEUS CASTRO IGNACIO</t>
  </si>
  <si>
    <t>ANA PAULA DA SILVA NUNES</t>
  </si>
  <si>
    <t>TELBIANA DA SILVA ALVES PEREIRA</t>
  </si>
  <si>
    <t>JOEL AZEVEDO DOS SANTOS</t>
  </si>
  <si>
    <t>SANDRA CRISTINA PARANHOS</t>
  </si>
  <si>
    <t>CLAUDENICIO DE SOUZA</t>
  </si>
  <si>
    <t>JOAO BATISTA SANTOS PEREIRA</t>
  </si>
  <si>
    <t>RONALDO DA SILVA</t>
  </si>
  <si>
    <t>JOAS ARGEU ROCHA DAVID</t>
  </si>
  <si>
    <t>ADEMIR FELIX DE OLIVEIRA</t>
  </si>
  <si>
    <t>PAULO RAMOS RODRIGUES</t>
  </si>
  <si>
    <t>MARIA IZABEL VIEIRA DA SILVA</t>
  </si>
  <si>
    <t>ANA PAULA FERREIRA DOS SANTOS</t>
  </si>
  <si>
    <t>FERNANDA PAULA RAMOS</t>
  </si>
  <si>
    <t>SONIA MARIA DE OLIVEIRA</t>
  </si>
  <si>
    <t>ADRIANA VIEIRA RAIMUNDO</t>
  </si>
  <si>
    <t>CLEUZA IZABEL MARTINS</t>
  </si>
  <si>
    <t>LEIRIANE GOMES EVANGELISTA BALDINI</t>
  </si>
  <si>
    <t>VALDIRENE ANDRIACI QUITERIO</t>
  </si>
  <si>
    <t>ANA CRISTINA PELISSARI</t>
  </si>
  <si>
    <t>MARIA INES MENDES DIONIZIO</t>
  </si>
  <si>
    <t>ROSIMEIRE DA SILVA</t>
  </si>
  <si>
    <t>DIVANIA MOREIRA GONCALVES</t>
  </si>
  <si>
    <t>CINTHIA DA CRUZ</t>
  </si>
  <si>
    <t>SIMONE RAMOS GONCALVES</t>
  </si>
  <si>
    <t>TATIANE DE OLIVEIRA</t>
  </si>
  <si>
    <t>ERICA CRISTINA SANTOS MORAIS</t>
  </si>
  <si>
    <t>LUCINEI HENRIQUE DE MELLO</t>
  </si>
  <si>
    <t>PATRICIA TOMAZ DE AQUINO</t>
  </si>
  <si>
    <t>CRISTIANE CARDOSO DIAS</t>
  </si>
  <si>
    <t>LUCIMARA FRANCISCO LOPES</t>
  </si>
  <si>
    <t>VALDINEIA RABELO</t>
  </si>
  <si>
    <t>MARA REGINA PRETO CARDOSO DE OLIVEIRA</t>
  </si>
  <si>
    <t>ANA PAULA DA SILVA</t>
  </si>
  <si>
    <t>FABIANA DAS GRACAS SILVA</t>
  </si>
  <si>
    <t>ROSIANE MARCAL</t>
  </si>
  <si>
    <t>OLIVIA AUXILIADORA DO NASCIMENTO SANTOS</t>
  </si>
  <si>
    <t>GISLAINE BATISTA</t>
  </si>
  <si>
    <t>MARIA ROZANIRA DE OLIVEIRA CHAVES</t>
  </si>
  <si>
    <t>ROSEMARY GODINHO DIARCIZIO</t>
  </si>
  <si>
    <t>MADALENA DE FREITAS CARDOSO</t>
  </si>
  <si>
    <t>GISELE DANTAS DA SILVA</t>
  </si>
  <si>
    <t>ROSELI APARECIDA SILVINO PAVIOTTI</t>
  </si>
  <si>
    <t>LUANA BARRERA</t>
  </si>
  <si>
    <t>ELISANGELA DE OLIVEIRA DA SILVA</t>
  </si>
  <si>
    <t>MARIA APARECIDA LOPES</t>
  </si>
  <si>
    <t>INES APARECIDA RODRIGUES DA SILVA</t>
  </si>
  <si>
    <t>VALERIA CRISTINA RABELO</t>
  </si>
  <si>
    <t>RENATA SABRINA DA SILVA</t>
  </si>
  <si>
    <t>ZULMIRA FERREIRA RIGATE</t>
  </si>
  <si>
    <t>PATRICIA MARIA BACARIN PIVA</t>
  </si>
  <si>
    <t>FERNANDA GADONI FARIA</t>
  </si>
  <si>
    <t>FRANCIELE BRUNA AZEVEDO</t>
  </si>
  <si>
    <t>CRISTIANA GONCALVES</t>
  </si>
  <si>
    <t>LUCILENE GOMES DE QUEIROZ SILVA</t>
  </si>
  <si>
    <t>VIVIANE DE FATIMA NOGUEIRA</t>
  </si>
  <si>
    <t>CICERA GALAN DE SIQUEIRA</t>
  </si>
  <si>
    <t>FABIANA GRANDIZOLI SOUZA</t>
  </si>
  <si>
    <t>MARIA VANUSA SILVA DE SOUZA</t>
  </si>
  <si>
    <t>ANA PAULA QUATORZEVOLTAS VITAL</t>
  </si>
  <si>
    <t>ERICA APARECIDA DOS SANTOS ROZEIRA</t>
  </si>
  <si>
    <t>ADRIANA DE JESUS PASCOAL</t>
  </si>
  <si>
    <t>MARA ANDREA AGUILERA SILVA</t>
  </si>
  <si>
    <t>GABRIEL MAURICIO JUNIOR DA SILVA</t>
  </si>
  <si>
    <t>ALEXSANDRO RODRIGUES DA ROCHA</t>
  </si>
  <si>
    <t>EDILENE DE SOUZA BALBINO</t>
  </si>
  <si>
    <t>ISABELY LOPES PORELLIS</t>
  </si>
  <si>
    <t>MARINES CASTRO DE JESUS</t>
  </si>
  <si>
    <t>KATIA PEREIRA DA SILVA</t>
  </si>
  <si>
    <t>JONATAN ROBERTO GIROLDO TORRES</t>
  </si>
  <si>
    <t>WANIELLY KOCHINSKI E SILVA</t>
  </si>
  <si>
    <t>DOUGLAS ADRIANO DE OLIVEIRA</t>
  </si>
  <si>
    <t>JEFFERSON APARECIDO ALVES PINHEIRO</t>
  </si>
  <si>
    <t>GILMAR RODRIGUES FERREIRA</t>
  </si>
  <si>
    <t>NATHALIA RINCK DAVID DE LAZARI</t>
  </si>
  <si>
    <t>GUSTAVO BETIATI FERREIRA</t>
  </si>
  <si>
    <t>TANIA CRISTINA DUZI</t>
  </si>
  <si>
    <t>EDINALVA BATISTA DE GODOI</t>
  </si>
  <si>
    <t>MARILZA GIANETTI GUEDES</t>
  </si>
  <si>
    <t>MARIA LUCIA DE LIMA</t>
  </si>
  <si>
    <t>EDILAINE LUIZA FERREIRA DA SILVA SANTOS</t>
  </si>
  <si>
    <t>MARIA DAS GRACAS GUIMARAES</t>
  </si>
  <si>
    <t>CLAUDIA JUREMA BICHIR PURPUR</t>
  </si>
  <si>
    <t>JANETE APARECIDA LUIZ</t>
  </si>
  <si>
    <t>ROSIMEIRE HOSHIKAWA DA SILVA SANTANA</t>
  </si>
  <si>
    <t>MARILDA TASSONI PEREIRA DE LIMA</t>
  </si>
  <si>
    <t>ELIANE DE SOUZA INOUE SILVA</t>
  </si>
  <si>
    <t>JESSICA MAZZIA</t>
  </si>
  <si>
    <t>CLARICE CARDOSO DE CERQUEIRA</t>
  </si>
  <si>
    <t>CLELIA LOURDES FORTUNATO</t>
  </si>
  <si>
    <t>REGINA HELENA CORRADI</t>
  </si>
  <si>
    <t>FRANCIELI DA COSTA DIAS LEAL MONTENEGRO</t>
  </si>
  <si>
    <t>KARINA APARECIDA MENDES</t>
  </si>
  <si>
    <t>EVELYN CRISTINA DE ARAUJO ROSA LIMA</t>
  </si>
  <si>
    <t>RODRIGO CEZAR GARCIA DE OLIVEIRA</t>
  </si>
  <si>
    <t>DAIANE REGINA CAETANO</t>
  </si>
  <si>
    <t>MARIA DE FATIMA BOTAZOLI</t>
  </si>
  <si>
    <t>LUCINEIA GUIMARAES DE OLIVEIRA</t>
  </si>
  <si>
    <t>KATIA CRISTINA DA SILVA CAETANO</t>
  </si>
  <si>
    <t>EDERSON LUIZ DA SILVA PEREIRA</t>
  </si>
  <si>
    <t>ROSELI PEREIRA DE JESUS</t>
  </si>
  <si>
    <t>ROSANGELA LUCIANO RODRIGUES</t>
  </si>
  <si>
    <t>VITORIA DUARTE BEZERRA</t>
  </si>
  <si>
    <t>MARILDA AMARO DA SILVA</t>
  </si>
  <si>
    <t>MARISA APARECIDA DE OLIVEIRA DA SILVA</t>
  </si>
  <si>
    <t>ANDRELINA CASSIANO MARTINS</t>
  </si>
  <si>
    <t>ROSILENE DE OLIVEIRA</t>
  </si>
  <si>
    <t>JESSICA KAWANE SOARES JADACH</t>
  </si>
  <si>
    <t>KELLY CRISTINA ESKILDSEM</t>
  </si>
  <si>
    <t>LUIZ FERNANDO ROBERTI DAVID</t>
  </si>
  <si>
    <t>ROSANGELA CONTI MINGUETTI</t>
  </si>
  <si>
    <t>FRANCISCA BATISTA DE ALMEIDA BARBOSA</t>
  </si>
  <si>
    <t>VIVIANE DE FATIMA DOS SANTOS</t>
  </si>
  <si>
    <t>JOAO GARCIA QUACHIO</t>
  </si>
  <si>
    <t>ISABEL CRISTINA CARA</t>
  </si>
  <si>
    <t>CLOTILDE REGINA BANNWART DANTAS</t>
  </si>
  <si>
    <t>SUELI SOARES SAMPAIO</t>
  </si>
  <si>
    <t>MARIA FRANCISCA SAMPAIO DE RAMOS</t>
  </si>
  <si>
    <t>JOSE AGNALDO DOS SANTOS</t>
  </si>
  <si>
    <t>ELIZABETE DIAS DA SILVA</t>
  </si>
  <si>
    <t>EDNA APARECIDA SOARES</t>
  </si>
  <si>
    <t>MARIA ANTONIA SOARES</t>
  </si>
  <si>
    <t>TAMIRES FERNANDA COLATO</t>
  </si>
  <si>
    <t>ALESSANDRA MORAIS DE OLIVEIRA</t>
  </si>
  <si>
    <t>VANESSA QUEIROZ PEREIRA</t>
  </si>
  <si>
    <t>DEBORA DE OLIVEIRA</t>
  </si>
  <si>
    <t>LUCIANA LIMA DE AZEVEDO</t>
  </si>
  <si>
    <t>GISLAINE XAVIER MARTINS</t>
  </si>
  <si>
    <t>EDNILSON CORDEIRO</t>
  </si>
  <si>
    <t>MARILENE BRAGATO IZIDORO</t>
  </si>
  <si>
    <t>JOAO ADENILSON CANDIDO</t>
  </si>
  <si>
    <t>MARIA JOSE DE OLIVEIRA BONFIM</t>
  </si>
  <si>
    <t>SOLANGE ALVES DA SILVA</t>
  </si>
  <si>
    <t>LAURENI APARECIDA ALVES</t>
  </si>
  <si>
    <t>ROSINEIDE DA SILVA SOUZA</t>
  </si>
  <si>
    <t>TEREZINHA DA SILVA</t>
  </si>
  <si>
    <t>RIVAEL DAS DORES DOS SANTOS</t>
  </si>
  <si>
    <t>TAMIRES ALBINO LEME</t>
  </si>
  <si>
    <t>APARECIDA MARIA DA COSTA</t>
  </si>
  <si>
    <t>ROSANA DA SILVA BARROS MANINI</t>
  </si>
  <si>
    <t>ROSEMARY DA SILVA JUSTINO</t>
  </si>
  <si>
    <t>VANUCIA APARECIDA MOREIRA</t>
  </si>
  <si>
    <t>SANDRA CADAN</t>
  </si>
  <si>
    <t>ANA CAROLINE LOPES</t>
  </si>
  <si>
    <t>DENISE ESTEVES DE SOUZA BACHEGA</t>
  </si>
  <si>
    <t>VALTER BERNARDO SANTOS</t>
  </si>
  <si>
    <t>SANDRA MARTINS DE ARAUJO</t>
  </si>
  <si>
    <t>ELIANE RODRIGUES DE MELLO CARDOSO</t>
  </si>
  <si>
    <t>MARCIA DOS SANTOS SALES</t>
  </si>
  <si>
    <t>JANDIRA TEREZINHA DA COSTA BATISTA</t>
  </si>
  <si>
    <t>KATIANE TAINARA TIAGO FERNANDES</t>
  </si>
  <si>
    <t>MARIA DE FATIMA ROSA</t>
  </si>
  <si>
    <t>PAULO MANOEL DOS SANTOS</t>
  </si>
  <si>
    <t>NIRCE LEAL DA SILVA</t>
  </si>
  <si>
    <t>MARIA MADALENA BARBOSA</t>
  </si>
  <si>
    <t>ADELAIDE MENDES</t>
  </si>
  <si>
    <t>ROZELI FERREIRA BUENO</t>
  </si>
  <si>
    <t>PAULO FERNANDES DE SOUZA</t>
  </si>
  <si>
    <t>SIMEIA DE OLIVEIRA</t>
  </si>
  <si>
    <t>EDILENE PEREIRA DA ROCHA</t>
  </si>
  <si>
    <t>LEILIZABEL CUSTODIO ELOY DA SILVA</t>
  </si>
  <si>
    <t>ANDREIA MARIA DOS PASSOS DA SILVA</t>
  </si>
  <si>
    <t>CECILIA DA SILVA FERREIRA</t>
  </si>
  <si>
    <t>MICHELLE DOS SANTOS DIONISIO LIRA</t>
  </si>
  <si>
    <t>MARIA DE LOURDES DOS SANTOS</t>
  </si>
  <si>
    <t>DOMINIQUE MARIA DA SILVA</t>
  </si>
  <si>
    <t>IDALINA APARECIDA BRAGATO</t>
  </si>
  <si>
    <t>ABIQUEILA PEREIRA DA SILVA</t>
  </si>
  <si>
    <t>AMANDA ALMEIDA DE JESUS</t>
  </si>
  <si>
    <t>JOICE ORTIZ PORTO</t>
  </si>
  <si>
    <t>MAICON FABRICIO CEZARIO</t>
  </si>
  <si>
    <t>CLEUZA CRISTINA GASPARINI DE ARAUJO</t>
  </si>
  <si>
    <t>CARLOS EDUARDO FANTATO POSSOBOM</t>
  </si>
  <si>
    <t>PAMELA SEVILHA DE MOURA</t>
  </si>
  <si>
    <t>JOSE LUIZ GOIS DE AZEVEDO</t>
  </si>
  <si>
    <t>MARCIA APARECIDA FREITAS PEREIRA</t>
  </si>
  <si>
    <t>ELAINE PEREIRA DE SOUZA</t>
  </si>
  <si>
    <t>LARISSA CAROLINE SERAPIAO</t>
  </si>
  <si>
    <t>PEDRO REGUEL FILHO</t>
  </si>
  <si>
    <t>GISELE CRISTINA GOMES</t>
  </si>
  <si>
    <t>CRISTIANE DOMINGUES SANTANA</t>
  </si>
  <si>
    <t>SONIA APARECIDA FRAGA DA SILVA</t>
  </si>
  <si>
    <t>JOAO DAS DORES SILVA</t>
  </si>
  <si>
    <t>ANGELA MARIA BEZERRA</t>
  </si>
  <si>
    <t>DOMINGAS DOS SANTOS MIRANDA</t>
  </si>
  <si>
    <t>ALINNY RODRIGUES DAS FLORES</t>
  </si>
  <si>
    <t>LAIRCE DOS PASSOS LUIZ</t>
  </si>
  <si>
    <t>ENI MARIA DE OLIVEIRA</t>
  </si>
  <si>
    <t>EDINA CRISTINA DA SILVA</t>
  </si>
  <si>
    <t>SANDRA DE OLIVEIRA</t>
  </si>
  <si>
    <t>REINALDO GONÇALVES DA CRUZ</t>
  </si>
  <si>
    <t>MARIA JOSE PINTO CALDERARO</t>
  </si>
  <si>
    <t>VANIA MARIA DE CASTRO MOZER</t>
  </si>
  <si>
    <t>PEDRO HENRIQUE BERNARDES ALMEIDA</t>
  </si>
  <si>
    <t>LEONICE FERNANDES DOS SANTOS</t>
  </si>
  <si>
    <t>SUELI DE SOUZA PENA</t>
  </si>
  <si>
    <t>RICARDO GOMES DE BARROS</t>
  </si>
  <si>
    <t>JOSEFA LUCIMAR DE SOUSA</t>
  </si>
  <si>
    <t>MARILDA DE JESUS LIMA SANTOS</t>
  </si>
  <si>
    <t>ANGELA MARIA TOMAZINI</t>
  </si>
  <si>
    <t>MEIRE REGINA DE LIMA</t>
  </si>
  <si>
    <t>BEATRIZ TEIXEIRA LOURENCO CERINO</t>
  </si>
  <si>
    <t>MARIA APARECIDA DA SILVA</t>
  </si>
  <si>
    <t>LAURA MARQUES ANANIAS</t>
  </si>
  <si>
    <t>FERNANDA BRAGATTI</t>
  </si>
  <si>
    <t>IVONE MARIA DA SILVA BORGHO</t>
  </si>
  <si>
    <t>TATIANA RIBEIRO DE SOUSA</t>
  </si>
  <si>
    <t>SONIA SILVA ARAUJO FERREIRA</t>
  </si>
  <si>
    <t>PAULO SERGIO MENDES</t>
  </si>
  <si>
    <t>ANGELA REGINA DA SILVEIRA BARROS</t>
  </si>
  <si>
    <t>NILZA MARIA SONSIN</t>
  </si>
  <si>
    <t>DENICE FRACISCO ARANTES</t>
  </si>
  <si>
    <t>ANA CRISTINA DOS SANTOS</t>
  </si>
  <si>
    <t>BRUNA RIBEIRO MARQUES</t>
  </si>
  <si>
    <t>IVANICE SOARES DA FONSECA</t>
  </si>
  <si>
    <t>ANA PAULA GANDIN LIMA</t>
  </si>
  <si>
    <t>FATIMA RODRIGUES DE OLIVEIRA LIMA</t>
  </si>
  <si>
    <t>SOLANGE CACILDA VINCI</t>
  </si>
  <si>
    <t>PAOLA VITORIA ARAUJO</t>
  </si>
  <si>
    <t>MAGDA MONTEIRO DA SILVA</t>
  </si>
  <si>
    <t>KASSIA FERNANDA PAGANINI</t>
  </si>
  <si>
    <t>FATIMA DOMINGOS BERNARDINO BOMFIM NUNES</t>
  </si>
  <si>
    <t>ZELIA APARECIDA GONCALVES GUERMANDI</t>
  </si>
  <si>
    <t>MARIA JOSE RAMOS ESPINA</t>
  </si>
  <si>
    <t>FABIANA DA SILVA</t>
  </si>
  <si>
    <t>SIRLENE CUSTODIO VIEIRA DA CONCEICAO</t>
  </si>
  <si>
    <t>ARLINDO RANOLFI</t>
  </si>
  <si>
    <t>MARIA DE FATIMA DE SOUZA</t>
  </si>
  <si>
    <t>ORLANDA APARECIDA CINTE BOVO</t>
  </si>
  <si>
    <t>FERNANDA LOPES DEODATO</t>
  </si>
  <si>
    <t>ELISANDRA RAFAELA POSSE PEREIRA</t>
  </si>
  <si>
    <t>VERONICA CIBELE DE SOUSA ALVES</t>
  </si>
  <si>
    <t>ADRIANA PAULA FURLIN</t>
  </si>
  <si>
    <t>TEREZINHA APARECIDA DOS SANTOS</t>
  </si>
  <si>
    <t>DEVANIR CARLOS RUBIO</t>
  </si>
  <si>
    <t>SOZETE DE SOUZA CARVALHO FELIPE</t>
  </si>
  <si>
    <t>ADRIELI VIEIRA DOS SANTOS</t>
  </si>
  <si>
    <t>ANA CAROLINA DE ARAUJO PAPA</t>
  </si>
  <si>
    <t>MARIA DE FATIMA DA SILVA OLIVEIRA</t>
  </si>
  <si>
    <t>ELIEL DA SILVA</t>
  </si>
  <si>
    <t>ELIZABETE CRISTIANE GASPARINI</t>
  </si>
  <si>
    <t>MARIA LUCIA DA SILVA</t>
  </si>
  <si>
    <t>RAFAELA DIAS ALVES</t>
  </si>
  <si>
    <t>VALDINEIA NOBRE DE SOUZA</t>
  </si>
  <si>
    <t>THALIA CRISTINA MACHADO VALERIANA</t>
  </si>
  <si>
    <t>AMANDA APARECIDA TRENTO BARBOSA</t>
  </si>
  <si>
    <t>MARIA EDUARDA RIO BRANCO</t>
  </si>
  <si>
    <t>MARIANE MONTREZORO BRITTA</t>
  </si>
  <si>
    <t>FABRICIA CRISTINA RIBEIRO ZACHEO</t>
  </si>
  <si>
    <t>JULIANA AZEVEDO DE SOUZA</t>
  </si>
  <si>
    <t>LEIA PROCOPIO DA SILVA</t>
  </si>
  <si>
    <t>STEFANIE JANDRES</t>
  </si>
  <si>
    <t>YASMIN BREDA FERNANDES</t>
  </si>
  <si>
    <t>SANDRA MARIA DA SILVA</t>
  </si>
  <si>
    <t>ISADORA VITORIA DA SILVA</t>
  </si>
  <si>
    <t>ALINE NUNES DE MORAES</t>
  </si>
  <si>
    <t>SANDRA VIEIRA DA SILVA</t>
  </si>
  <si>
    <t>THAIS ERNANDES DA SILVA</t>
  </si>
  <si>
    <t>GAISA SOARES DA SILVA</t>
  </si>
  <si>
    <t>MARIA BEATRIZ GONCALVES DOS SANTOS</t>
  </si>
  <si>
    <t>ELISANGELA GONCALVES PARANHOS SILVA</t>
  </si>
  <si>
    <t>ROSEMERI MOREIRA MARTINS</t>
  </si>
  <si>
    <t>ANA PAULA DE OLIVEIRA RAMOS</t>
  </si>
  <si>
    <t>FABIANO SABATINE</t>
  </si>
  <si>
    <t>ROSIVALDO ALEXANDRE DOS SANTOS</t>
  </si>
  <si>
    <t>DANIEL DARIO MEJIAS GUILLEN</t>
  </si>
  <si>
    <t>ADEMILSON DOS SANTOS</t>
  </si>
  <si>
    <t>CARLOS FELIPE DE OLIVEIRA CANIELI</t>
  </si>
  <si>
    <t>JOSE MARCOS DE SOUZA GOMES</t>
  </si>
  <si>
    <t>DAVI MENDES DOS SANTOS MARQUES</t>
  </si>
  <si>
    <t>PEDRO SALVADOR SERAFIM DA SILVA</t>
  </si>
  <si>
    <t>ROBERTO CARLOS RODRIGUES</t>
  </si>
  <si>
    <t>DILAOR MELO CAMARGO</t>
  </si>
  <si>
    <t>ALVARO LUIS YANSE AZACON</t>
  </si>
  <si>
    <t>YEICKSON JOSE GARCIA RODRIGUEZ</t>
  </si>
  <si>
    <t>LUCAS DA SILVA</t>
  </si>
  <si>
    <t>ROBERVAL DA SILVA</t>
  </si>
  <si>
    <t>RENATO DE OLIVEIRA ANDRADE</t>
  </si>
  <si>
    <t>EDERSON FONSECA MACEDO</t>
  </si>
  <si>
    <t>PATRIC FERNANDO CARNEIRO DA SILVA</t>
  </si>
  <si>
    <t>JOSE JOSIVAN GOMES</t>
  </si>
  <si>
    <t>ALYSSON GONCALVES DE SOUZA</t>
  </si>
  <si>
    <t>FERNANDO APARECIDO SERAFIM LOPES</t>
  </si>
  <si>
    <t>GRACIELE SOUZA</t>
  </si>
  <si>
    <t>TATIANA XAVIER DE OLIVEIRA</t>
  </si>
  <si>
    <t>VALDINEIA REGINA DA SILVA</t>
  </si>
  <si>
    <t>JUDETE DIAS BASILIO</t>
  </si>
  <si>
    <t>ALINE VITORIA RIBEIRO</t>
  </si>
  <si>
    <t>ELIDIA ALVES RIBEIRO</t>
  </si>
  <si>
    <t>ROSELEIDE DE CASTRO FLORENCIO</t>
  </si>
  <si>
    <t>CELIA AMARAL DA SILVA</t>
  </si>
  <si>
    <t>ANA MARIA RODRIGUES CRUZ</t>
  </si>
  <si>
    <t>EMILY NATALY ALVES DE GODOY</t>
  </si>
  <si>
    <t>SILVIA HELENA DE OLIVEIRA</t>
  </si>
  <si>
    <t>LUCIANA XAVIER</t>
  </si>
  <si>
    <t>ROSALVA ANACLETO</t>
  </si>
  <si>
    <t>VALDIZA LIMA DA SILVA CAMPOS</t>
  </si>
  <si>
    <t>CLAUDECI BELARMINO DA SILVA</t>
  </si>
  <si>
    <t>DAYANE GOTCHALK DA SILVA BATISTA</t>
  </si>
  <si>
    <t>ROSINEIA MARTINIANO DA SILVA</t>
  </si>
  <si>
    <t>MANOEL REGINALDO DOS SANTOS</t>
  </si>
  <si>
    <t>ANGELA CAMPOS</t>
  </si>
  <si>
    <t>SUELY FATIMA OLIVEIRA DOS SANTOS</t>
  </si>
  <si>
    <t>EDEGIR SIMONE RODRIGUES</t>
  </si>
  <si>
    <t>BARBARA VITORIA CAVALCANTE GONCALVES</t>
  </si>
  <si>
    <t>VERONICA TEODORO DOS SANTOS</t>
  </si>
  <si>
    <t>CLARICE FERNANDES SANTANA</t>
  </si>
  <si>
    <t>TEREZINHA ILMER</t>
  </si>
  <si>
    <t>REGINA APARECIDA SILVA</t>
  </si>
  <si>
    <t>RAFAEL DE LIMA</t>
  </si>
  <si>
    <t>ISABEL PEREIRA</t>
  </si>
  <si>
    <t>SUZANA VANDERLEI JARDIM</t>
  </si>
  <si>
    <t>MARCIA FRANCISCA DA SILVA</t>
  </si>
  <si>
    <t>LINORUZE MARIA DA SILVA</t>
  </si>
  <si>
    <t>ALEXANDRA MARIA FOSTINO DA SILVA</t>
  </si>
  <si>
    <t>MARIA LUCIA COSTA SILVA</t>
  </si>
  <si>
    <t>CLEONICE RIMES BARBOSA</t>
  </si>
  <si>
    <t>ELAINE POTIRA GALVAO RAMOS</t>
  </si>
  <si>
    <t>ROSA DA CONCEIÇAO SILVA MANSANO</t>
  </si>
  <si>
    <t>VERA LUCIA DA SILVA OLIVEIRA</t>
  </si>
  <si>
    <t>SILVIA CORREA DE OLIVEIRA BIGUELINE</t>
  </si>
  <si>
    <t>FRANCISCA FRANCINETE DOS SANTOS</t>
  </si>
  <si>
    <t>SANDRA BONFIM DE OLIVEIRA</t>
  </si>
  <si>
    <t>ZELIA DE MOURA DE PAULO</t>
  </si>
  <si>
    <t>SILVANA CORREIA DE OLIVEIRA</t>
  </si>
  <si>
    <t>SILMARA DOS SANTOS EVANGELISTA</t>
  </si>
  <si>
    <t>MARIA APARECIDA DE OLIVEIRA LOLATA</t>
  </si>
  <si>
    <t>GRAZIELE PEREIRA DE JESUS</t>
  </si>
  <si>
    <t>NEUSA MARIA COSTA SILVA SALES</t>
  </si>
  <si>
    <t>LUCIANA GONCALVES AMADOR RODRIGUES</t>
  </si>
  <si>
    <t>VANDELINA DA SILVA</t>
  </si>
  <si>
    <t>ANGELINA OLIVEIRA DA SILVA</t>
  </si>
  <si>
    <t>CYNTIA GONZAGA DE CARVALHO</t>
  </si>
  <si>
    <t>SANDRA CAIOS DIAS</t>
  </si>
  <si>
    <t>CLAUDIA CRISTINE VEITAS NOVELLI</t>
  </si>
  <si>
    <t>VANILZA SENE DA SILVA</t>
  </si>
  <si>
    <t>MARIA FERNANDA PIMENTEL DE SOUSA</t>
  </si>
  <si>
    <t>FABRICIA DA SILVA REIS</t>
  </si>
  <si>
    <t>ANA PAULA TEIXEIRA BARBOSA</t>
  </si>
  <si>
    <t>APARECIDA FERNANDES PEREIRA</t>
  </si>
  <si>
    <t>LINDAURA SILVA DA ROCHA</t>
  </si>
  <si>
    <t>LUANA GOMES DE SOUSA</t>
  </si>
  <si>
    <t>EDUCIANDRA DA SILVA DONAIRE</t>
  </si>
  <si>
    <t>CRISTIANE MARIA FERREIRA</t>
  </si>
  <si>
    <t>NILSA DE PAULA GOMES</t>
  </si>
  <si>
    <t>MARIA APARECIDA DOS SANTOS DUARTE</t>
  </si>
  <si>
    <t>ROSILDA DE OLIVEIRA PIRES</t>
  </si>
  <si>
    <t>HELENICE MARTINS MANCANO</t>
  </si>
  <si>
    <t>DIRCE INOCENCIA DE ALMEIDA</t>
  </si>
  <si>
    <t>FABIANA URBANO DA SILVA</t>
  </si>
  <si>
    <t>VALERIA KELLY DOS ANJOS ESTACIO</t>
  </si>
  <si>
    <t>ERICA ALVES BARBOSA SANTOS</t>
  </si>
  <si>
    <t>ANA CRISTINA SANTOS</t>
  </si>
  <si>
    <t>APARECIDA BORSUK DE ALENCAR</t>
  </si>
  <si>
    <t>ROSILDA APARECIDA DE OLIVEIRA LIMA</t>
  </si>
  <si>
    <t>LUZ TERRIMAR LAURATTO DOS SANTOS</t>
  </si>
  <si>
    <t>VERA LUCIA DE LIMA SILVA</t>
  </si>
  <si>
    <t>EDMARA CARVALHO</t>
  </si>
  <si>
    <t>JANAINA CAROLINE ROSA</t>
  </si>
  <si>
    <t>JOCENIL PIANISSOLLI</t>
  </si>
  <si>
    <t>CAMILA DE CARVALHO DA SILVA</t>
  </si>
  <si>
    <t>AREOVALDO CUSTODIO</t>
  </si>
  <si>
    <t>SIRLEI PEREIRA</t>
  </si>
  <si>
    <t>MARIA CELIA DE SOUZA CARVALHO</t>
  </si>
  <si>
    <t>RICARDO MENDES</t>
  </si>
  <si>
    <t>JACQUELINE APARECIDA DE PAULA</t>
  </si>
  <si>
    <t>MARLI APARECIDA COSTA</t>
  </si>
  <si>
    <t>LUCIANA SANTANA DA SILVA LOURENCO</t>
  </si>
  <si>
    <t>AUGUSTO CESAR RABELO</t>
  </si>
  <si>
    <t>EVANI BRAZ ARAUJO</t>
  </si>
  <si>
    <t>LUCIANE MARIA DE CARVALHO SOUZA</t>
  </si>
  <si>
    <t>CLEONICE FERREIRA DOS SANTOS</t>
  </si>
  <si>
    <t>ALYSSON GUSTAVO DOS SANTOS FARINA</t>
  </si>
  <si>
    <t>ROSANGELA RODRIGUES SIMAO</t>
  </si>
  <si>
    <t>CRISTINA FURTADO DE CARVALHO</t>
  </si>
  <si>
    <t>PAULO ROGERIO PEDROZO</t>
  </si>
  <si>
    <t>ELIANA GONCALVES DA SILVA COIMBRA</t>
  </si>
  <si>
    <t>IRENE ADELINA PEREIRA</t>
  </si>
  <si>
    <t>JULIANA CLARO DA SILVA</t>
  </si>
  <si>
    <t>MARIA AUGUSTA FABIANO</t>
  </si>
  <si>
    <t>FATIMA APARECIDA DOS SANTOS</t>
  </si>
  <si>
    <t>LENICE GOMES DOS SANTOS</t>
  </si>
  <si>
    <t>ROSILEI GOMES</t>
  </si>
  <si>
    <t>SILVIA FELTRIN ZEFERINO</t>
  </si>
  <si>
    <t>MARIA DEUZANI DOS SANTOS DUTRA</t>
  </si>
  <si>
    <t>MARIA GERALDA DOS SANTOS SOUZA</t>
  </si>
  <si>
    <t>MONICA PARIZZI SANTOS</t>
  </si>
  <si>
    <t>DIVONZIR JOSE DE CARVALHO</t>
  </si>
  <si>
    <t>LESSANDRA VIEIRA AVANCCO BIZERRA</t>
  </si>
  <si>
    <t>JOAO HENRIQUE GOB CLEMENTONI</t>
  </si>
  <si>
    <t>MARILDA ELIAS</t>
  </si>
  <si>
    <t>DEISE TEIXEIRA DE OLIVEIRA</t>
  </si>
  <si>
    <t xml:space="preserve">P.M DE APUCARANA - VARRIÇÃO </t>
  </si>
  <si>
    <t>P.M DE APUCARANA - COLETA</t>
  </si>
  <si>
    <t xml:space="preserve">CMTU - ROÇADA ZONA NORTE </t>
  </si>
  <si>
    <t xml:space="preserve">P.M DE APUCARANA - COLETA DE LIXO </t>
  </si>
  <si>
    <t>IBIPORÃ - SECRETARIA DA ADMINISTRAÇÃO</t>
  </si>
  <si>
    <t>IBIPORÃ -  SECRETARIA DA ASSISTENCIA SOCIAL</t>
  </si>
  <si>
    <t>IBIPORÃ -  SECRETARIA DA CULTURA</t>
  </si>
  <si>
    <t>IBIPORÃ - SECRETARIA DA EDUCAÇÃO</t>
  </si>
  <si>
    <t>IBIPORÃ -  SECRETARIA DA SAUDE</t>
  </si>
  <si>
    <t>IBIPORÃ -  SECRETARIA DO TRABALHO</t>
  </si>
  <si>
    <t>IBIPORÃ - SECRETARIA DE OBRAS</t>
  </si>
  <si>
    <t>IBIPORÃ - SECRETARIA DE ESPORTES</t>
  </si>
  <si>
    <t>IBIPORÃ - SECRETARIA DA AGRICULTURA</t>
  </si>
  <si>
    <t>IBIPORÃ - SECRETARIA DO CMEI</t>
  </si>
  <si>
    <t>IBIPORÃ - EQUIPE</t>
  </si>
  <si>
    <t>IBIPORÃ - SECRETARIA DE TECNOLOGIA DA INFORMAÇÃO</t>
  </si>
  <si>
    <t>TRIBUNAL DE JUSTIÇA - CORNELIO PROCOPIO/PR - JUIZADO ESPECIAL</t>
  </si>
  <si>
    <t>TRIBUNAL DE JUSTIÇA - LONDRINA/PR - FORUM CENTRAL</t>
  </si>
  <si>
    <t>TRIBUNAL DE JUSTIÇA - APUCARANA/PR</t>
  </si>
  <si>
    <t>TRIBUNAL DE JUSTIÇA - ARAPONGAS/PR</t>
  </si>
  <si>
    <t>TRIBUNAL DE JUSTIÇA - CAMBE/PR</t>
  </si>
  <si>
    <t>TRIBUNAL DE JUSTIÇA - ROLANDIA/PR</t>
  </si>
  <si>
    <t>TRIBUNAL DE JUSTIÇA - CORNELIO PROCOPIO/PR - CENTRAL</t>
  </si>
  <si>
    <t>TRIBUNAL DE JUSTIÇA - IBIPORA/PR</t>
  </si>
  <si>
    <t>TRIBUNAL DE JUSTIÇA - URAI/PR</t>
  </si>
  <si>
    <t>TRIBUNAL DE JUSTIÇA - PRIMEIRO DE MAIO/PR</t>
  </si>
  <si>
    <t>TRIBUNAL DE JUSTIÇA - SERTANOPOLIS/PR</t>
  </si>
  <si>
    <t>TRIBUNAL DE JUSTIÇA - BELA VISTA DO PARAISO/PR</t>
  </si>
  <si>
    <t xml:space="preserve">TRIBUNAL DE JUSTIÇA - PORECATU/PR </t>
  </si>
  <si>
    <t xml:space="preserve">TRIBUNAL DE JUSTIÇA - SAO JERONIMO DA SERRA/PR </t>
  </si>
  <si>
    <t>TRIBUNAL DE JUSTIÇA - CONGONHINHAS/PR</t>
  </si>
  <si>
    <t>TRIBUNAL DE JUSTIÇA - ASSAI/PR</t>
  </si>
  <si>
    <t xml:space="preserve">TRIBUNAL DE JUSTIÇA - ORTIGUEIRA/PR </t>
  </si>
  <si>
    <t>TRIBUNAL DE JUSTIÇA - NOVA FATIMA/PR</t>
  </si>
  <si>
    <t xml:space="preserve">TRIBUNAL DE JUSTIÇA - MARILANDIA DO SUL/PR </t>
  </si>
  <si>
    <t>TRIBUNAL DE JUSTIÇA - GRANDES RIOS/PR</t>
  </si>
  <si>
    <t>TRIBUNAL DE JUSTIÇA - FAXINAL/PR</t>
  </si>
  <si>
    <t>TRIBUNAL DE JUSTIÇA - LONDRINA/PR - FORUM CRIMINAL</t>
  </si>
  <si>
    <t>TRIBUNAL DE JUSTICA - MARINGA - BARBOSA FERRAZ</t>
  </si>
  <si>
    <t>TRIBUNAL DE JUSTICA - MARINGA - MARIALVA</t>
  </si>
  <si>
    <t>TRIBUNAL DE JUSTICA - MARINGA - JANDAIA DO SUL</t>
  </si>
  <si>
    <t>TRIBUNAL DE JUSTICA - MARINGA - MANDAGUAÇU</t>
  </si>
  <si>
    <t>TRIBUNAL DE JUSTICA - MARINGA - ENGENHEIRO BELTRÃO</t>
  </si>
  <si>
    <t>TRIBUNAL DE JUSTICA - MARINGA - COLORADO</t>
  </si>
  <si>
    <t>TRIBUNAL DE JUSTICA - MARINGA - CAMPO MOURÃO</t>
  </si>
  <si>
    <t>TRIBUNAL DE JUSTICA - MARINGA - ASTORGA</t>
  </si>
  <si>
    <t>TRIBUNAL DE JUSTICA - MARINGA - ALTO PARANÁ</t>
  </si>
  <si>
    <t>TRIBUNAL DE JUSTICA - MARINGA - SÃO JOÃO DO IVAÍ</t>
  </si>
  <si>
    <t>TRIBUNAL DE JUSTICA - MARINGA - SANTA FÉ</t>
  </si>
  <si>
    <t>TRIBUNAL DE JUSTICA - MARINGA - PARANAVAÍ</t>
  </si>
  <si>
    <t>TRIBUNAL DE JUSTICA - MARINGA - MANDAGUARI</t>
  </si>
  <si>
    <t>TRIBUNAL DE JUSTICA - MARINGA - NOVA ESPERANÇA</t>
  </si>
  <si>
    <t>TRIBUNAL DE JUSTICA - MARINGA - FORUM CENTRAL</t>
  </si>
  <si>
    <t>TRIBUNAL DE JUSTICA - MARINGA - JAGUAPITÃ</t>
  </si>
  <si>
    <t>TRIBUNAL DE JUSTICA - MARINGA - CENTENÁRIO DO SUL</t>
  </si>
  <si>
    <t>TRIBUNAL DE JUSTICA - MARINGA - PEABIRU</t>
  </si>
  <si>
    <t>TRIBUNAL DE JUSTICA - MARINGA - PAIÇANDU</t>
  </si>
  <si>
    <t>TRIBUNAL DE JUSTICA - MARINGA - PARAÍSO DO NORTE</t>
  </si>
  <si>
    <t>TRIBUNAL DE JUSTICA - MARINGA - TERRA BOA</t>
  </si>
  <si>
    <t>TRIBUNAL DE JUSTICA - MARINGA - SARANDI</t>
  </si>
  <si>
    <t>TRIBUNAL DE JUSTICA - MARINGA - TERRA RICA</t>
  </si>
  <si>
    <t>TRIBUNAL DE JUSTICA - MARINGA - JUIZADO ESPECIAL</t>
  </si>
  <si>
    <t>TRIBUNAL DE JUSTICA - MARINGA - VARA CÍVEL</t>
  </si>
  <si>
    <t>TRIBUNAL DE JUSTICA - MARINGA - PARANACITY</t>
  </si>
  <si>
    <t xml:space="preserve">TRIBUNAL DE JUSTICA - MARINGA - MARINALVA JUIZADO ESPECIAL </t>
  </si>
  <si>
    <t>TRIBUNAL DE JUSTICA - MARINGA - SARANDI  JUIZADO ESPECIAL</t>
  </si>
  <si>
    <t>TRIBUNAL DE JUSTICA - MARINGA - CAMPO MOURÃO USINA FOTOVOLTAICA</t>
  </si>
  <si>
    <t>TRIBUNAL DE JUSTICA - MARINGA - PARANAVAÍ JUIZADOS ESPECIAIS</t>
  </si>
  <si>
    <t>SARANDI - COLETA DIURNO</t>
  </si>
  <si>
    <t>SARANDI - COLETA NOTURNO</t>
  </si>
  <si>
    <t xml:space="preserve">PGM - PROCURADORIA GERAL DO MUNICÍPIO </t>
  </si>
  <si>
    <t>SMGP - SECRETARIA MUNICIPAL DE GESTÃO PÚBLICA</t>
  </si>
  <si>
    <t xml:space="preserve">SMAA - SECRETARIA MUNICIPAL DE AGRICULTURA E ABASTECIMENTO </t>
  </si>
  <si>
    <t>SMOP - SECRETARIA MUNICIPAL DE OBRAS E PAVIMENTAÇÃO</t>
  </si>
  <si>
    <t>SMC - SECRETARIA MUNICIPAL DE CULTURA</t>
  </si>
  <si>
    <t xml:space="preserve">SMAS - SECRETARIA MUNICIPAL DE ASSISTÊNCIA SOCIAL </t>
  </si>
  <si>
    <t xml:space="preserve">SMPM - SECRETARIA MUNICIPAL DE POLÍTICAS PARA AS MULHERES </t>
  </si>
  <si>
    <t xml:space="preserve">SMI - SECRETARIA MUNICIPAL DE IDOSO </t>
  </si>
  <si>
    <t xml:space="preserve">SMDS - SECRETARIA MUNICIPAL DE DEFESA SOCIAL </t>
  </si>
  <si>
    <t xml:space="preserve">SMTER - SECRETARIA MUNICIPAL DE TRABALHO, EMPREGO E RENDA </t>
  </si>
  <si>
    <t xml:space="preserve">FUNREBON - FUNDO DE REEQUIPAMENTO DO CORPO DE BOMBEIROS </t>
  </si>
  <si>
    <t xml:space="preserve">FEL - FUNDAÇÃO DE ESPORTES DE LONDRINA </t>
  </si>
  <si>
    <t xml:space="preserve">IPPUL - INSTITUTO DE PESQUISA E  PLANEJAMENTO URBANO DE LONDRINA </t>
  </si>
  <si>
    <t xml:space="preserve">CAAPSML - CAIXA DE ASSISTÊNCIA, APOSENT. E PENSÕES DOS SERVIDORES MUN. DE LONDRINA </t>
  </si>
  <si>
    <t xml:space="preserve">AMS/FMSL - AUTARQUIA MUNICIPAL DE SAÚDE/FUNDO MUNICIPAL DE SAÚDE </t>
  </si>
  <si>
    <t>ACESF - ADMINISTRAÇÃO DE CEMITÉRIOS E SERVIÇOS FUNERÁRIOS DE LONDRINA</t>
  </si>
  <si>
    <t xml:space="preserve">SME - SECRETARIA MUNICIPAL DE EDUCAÇÃO </t>
  </si>
  <si>
    <t>SEMA - SECRETARIA MUNICIPAL DE AMBIENTE</t>
  </si>
  <si>
    <t>VOLANTES</t>
  </si>
  <si>
    <t>SUPERVISOR - RESP. TÉC.</t>
  </si>
  <si>
    <t>OPERADOR DE SOPRADOR</t>
  </si>
  <si>
    <t>TRATORISTA</t>
  </si>
  <si>
    <t>ANALISTA ADMINISTRATIVO</t>
  </si>
  <si>
    <t>ELETRICISTA</t>
  </si>
  <si>
    <t>LAVADOR E LUBRIFICADOR - INSALUB. 20%</t>
  </si>
  <si>
    <t>ENCANADOR - INSALUB. 20%</t>
  </si>
  <si>
    <t>BORRACHEIRO</t>
  </si>
  <si>
    <t>CUIDADOR SOCIAL</t>
  </si>
  <si>
    <t>COPEIRO(A)</t>
  </si>
  <si>
    <t>ROGÉRIO</t>
  </si>
  <si>
    <t>CONRADO</t>
  </si>
  <si>
    <t>EDER</t>
  </si>
  <si>
    <t>FERNANDO SANTOS</t>
  </si>
  <si>
    <t>FABIANO</t>
  </si>
  <si>
    <t>DPTO</t>
  </si>
  <si>
    <t>JEFFERSON</t>
  </si>
  <si>
    <t>MARCOS</t>
  </si>
  <si>
    <t>REBECA CARVALHO FREIRE</t>
  </si>
  <si>
    <t>JEFFERSON ANTONIO CARDOSO</t>
  </si>
  <si>
    <t>RONALDO CESAR DE ABREU</t>
  </si>
  <si>
    <t>ELAINE SCHIAVINATO FERNANDES PALIARINI</t>
  </si>
  <si>
    <t>JOAO GABRIEL BRAZ FARIAS</t>
  </si>
  <si>
    <t>AMANDA STHEFANNE MACEDO LEMOS</t>
  </si>
  <si>
    <t>MAIRA FERNANDA LAMIM</t>
  </si>
  <si>
    <t>BRUNO VINICIOS THEODORO CORDEIRO</t>
  </si>
  <si>
    <t>LUIS OTAVIO ASSIS DE OLIVEIRA</t>
  </si>
  <si>
    <t>MARIA VITORIA LORENA MERENCIANO</t>
  </si>
  <si>
    <t>MARCOS RODRIGUES MATIAS</t>
  </si>
  <si>
    <t>GABRIELLY RIBEIRO VICENTE FERREIRA</t>
  </si>
  <si>
    <t>RAFAEL TSUNO</t>
  </si>
  <si>
    <t>RAFAEL ALMEIDA NOGARA</t>
  </si>
  <si>
    <t>BRYAN GABRIEL RIBEIRO DOS SANTOS</t>
  </si>
  <si>
    <t>MARIA EDUARDA DOS SANTOS</t>
  </si>
  <si>
    <t xml:space="preserve">ADMINISTRATIVO - LONDRINA </t>
  </si>
  <si>
    <t>MENOR APRENDIZ</t>
  </si>
  <si>
    <t>GERENTE OPERACIONAL DE FILIAL</t>
  </si>
  <si>
    <t>COORDENADOR (A) DE FILIAL II</t>
  </si>
  <si>
    <t>AUXILIAR DE ALMOXARIFADO</t>
  </si>
  <si>
    <t>ANALISTA ADMINISTRATIVO JUNIOR</t>
  </si>
  <si>
    <t>COORDENADOR (A)</t>
  </si>
  <si>
    <t>FRANCIELE DIAS BLAZIO</t>
  </si>
  <si>
    <t>THAYS APARECIDA TRINDADE PIRES</t>
  </si>
  <si>
    <t>FABIANA DE OLIVEIRA MARIANO</t>
  </si>
  <si>
    <t>BEATRIZ FERREIRA</t>
  </si>
  <si>
    <t>LARISSA LAWANA DE SOUZA</t>
  </si>
  <si>
    <t>ALINE DAYANE DA SILVA</t>
  </si>
  <si>
    <t>ROSE ANGELA SIQUEIRA</t>
  </si>
  <si>
    <t>THAYNARA RODRIGUES DUARTE</t>
  </si>
  <si>
    <t>CLEONICE MARIA DA SILVA</t>
  </si>
  <si>
    <t>DANUBIA APARECIDA ALVES SILVA</t>
  </si>
  <si>
    <t>SUELEN SIRLEY CAMARGO SILVA DA CRUZ</t>
  </si>
  <si>
    <t>JOICE KAWANE APARECIDA DA SILVA SANTOS</t>
  </si>
  <si>
    <t>AMANDA DE SOUZA</t>
  </si>
  <si>
    <t>KELEN CRISTINA MASIERO</t>
  </si>
  <si>
    <t>LAIZ CAVALCANTE TAVARES DE LIMA</t>
  </si>
  <si>
    <t>JENIFER HAWANE SILVA RIBEIRO BARBOZA</t>
  </si>
  <si>
    <t>NEUZELI DE FATIMA DE OLIVEIRA</t>
  </si>
  <si>
    <t>CELIA FERREIRA DE SOUZA NASCIMENTO</t>
  </si>
  <si>
    <t>ELIANE APARECIDA DUNE</t>
  </si>
  <si>
    <t>CRISTIANE SANTANA DOS SANTOS</t>
  </si>
  <si>
    <t>BEATRIZ CARVALHO ALVES</t>
  </si>
  <si>
    <t>CLAUDINEI DA SILVA BATISTA</t>
  </si>
  <si>
    <t>FERNANDO SIQUEIRA DA SILVA</t>
  </si>
  <si>
    <t>SELMA DE JESUS JORGE</t>
  </si>
  <si>
    <t>SILVIA REGINA DA COSTA</t>
  </si>
  <si>
    <t>NATALIA LIDIANE DOS SANTOS</t>
  </si>
  <si>
    <t>SERRALHEIRO - INSALUB. 20%</t>
  </si>
  <si>
    <t>CELIA MARIA LINS RIBEIRO</t>
  </si>
  <si>
    <t>JULIETA MARIA DE OLIVEIRA</t>
  </si>
  <si>
    <t>MAGNO DE OLIVEIRA</t>
  </si>
  <si>
    <t>ROBSON APARECIDO INOMATA DE SOUZA</t>
  </si>
  <si>
    <t>ZENILDA DOMINGUES DE CARVALHO</t>
  </si>
  <si>
    <t>HILARY CAROLINE FREIRE DE ABREU</t>
  </si>
  <si>
    <t>CLEVERTON RODRIGO DA CUNHA</t>
  </si>
  <si>
    <t>INGRID CAROLINA DOS SANTOS BISPO DE OLIVEIRA</t>
  </si>
  <si>
    <t>SUELI RODRIGUES</t>
  </si>
  <si>
    <t>ROSANGELA SILVA BRANDILHONE</t>
  </si>
  <si>
    <t>PRISCILA SILVA CARVALHO DE OLIVEIRA</t>
  </si>
  <si>
    <t>GISELE MENDES MORAES</t>
  </si>
  <si>
    <t>FRANCIELE BONFIM FREIRE</t>
  </si>
  <si>
    <t>ANNE ELOISE MATHIAS</t>
  </si>
  <si>
    <t>ELISANGELA MARIA MATESCO</t>
  </si>
  <si>
    <t>DANIELI CRISTINA DE OLIVEIRA</t>
  </si>
  <si>
    <t>HELLEN SAMARA DOS SANTOS DA SILVA</t>
  </si>
  <si>
    <t>JUNIOR FERREIRA ALVES</t>
  </si>
  <si>
    <t>CLAUDINEI RODRIGUES DOS SANTOS</t>
  </si>
  <si>
    <t>MARLI SURMANI</t>
  </si>
  <si>
    <t>CINTIA JEANE DA SILVA GUISLERI IVANCHECHEN</t>
  </si>
  <si>
    <t>DANIELY MOURA TRINDADE</t>
  </si>
  <si>
    <t>OSVALDO BIGETTI JUNIOR</t>
  </si>
  <si>
    <t>RONALDO CORREA DA COSTA JUNIOR</t>
  </si>
  <si>
    <t>TATIANA DE LUCA LARA ANDRADE</t>
  </si>
  <si>
    <t>ELIANA DIAS DUARTE DE CASTRO</t>
  </si>
  <si>
    <t>JUCILEIA APARECIDA FRANCISCO MARQUESETE</t>
  </si>
  <si>
    <t>GIOVANE VINICIUS DE OLIVEIRA ASSIS</t>
  </si>
  <si>
    <t>JOSEMARA ALVES DE OLIVEIRA</t>
  </si>
  <si>
    <t>VANIA CRISTINA DOS SANTOS MELO</t>
  </si>
  <si>
    <t>ADRIANE AGALA MARCELINO</t>
  </si>
  <si>
    <t>NICOLAS DE OLIVEIRA COSTA</t>
  </si>
  <si>
    <t>ANDREI JUNIOR ALVES MOREIRA</t>
  </si>
  <si>
    <t>CAROLINA IBIAPINO DA SILVA</t>
  </si>
  <si>
    <t>FERNANDA BERGI BERTO</t>
  </si>
  <si>
    <t>MARILENE GREGORIO DOS REIS</t>
  </si>
  <si>
    <t>ROSINEIDE APARECIDA FERRAREZE</t>
  </si>
  <si>
    <t>TATIANE PELEGRINI DAS MERCES</t>
  </si>
  <si>
    <t>JUNIA KELLY ROCHA SOARES DA SILVA</t>
  </si>
  <si>
    <t>REGINA GOMES EUZEBIO SILVA</t>
  </si>
  <si>
    <t>JONATHAN PIRES DE SOUZA</t>
  </si>
  <si>
    <t>KELI ADELAIDE MODESTO</t>
  </si>
  <si>
    <t>AYANA CAROLINE PORTELA</t>
  </si>
  <si>
    <t>ANDREA MARTINS DE CARVALHO OLIVEIRA</t>
  </si>
  <si>
    <t>MARIA DO SOCORRO PEREIRA DA SILVA</t>
  </si>
  <si>
    <t>ELISANGELA APARECIDA DA SILVA LIDIONE</t>
  </si>
  <si>
    <t>FRANCISCO MANOEL DA SILVA</t>
  </si>
  <si>
    <t>CRISTIANO MONTEIRO</t>
  </si>
  <si>
    <t>ROMARIO DE FREITAS CAVALCANTE</t>
  </si>
  <si>
    <t>GERALDO MINELLA FILHO</t>
  </si>
  <si>
    <t>GISLAINE VITORIA FERREIRA DE SOUZA</t>
  </si>
  <si>
    <t>LAYANA BEATRIZ TORELLI DA SILVA</t>
  </si>
  <si>
    <t>MATEUS LUIZ SOARES DA SILVA</t>
  </si>
  <si>
    <t>GRENDA MIKAELLA DA SILVA</t>
  </si>
  <si>
    <t>KATIA MATILDE FELIPE</t>
  </si>
  <si>
    <t>FRANCINILDO GOMES CAMPELO</t>
  </si>
  <si>
    <t>JULIO CESAR BRANDAO</t>
  </si>
  <si>
    <t>GABRIEL RIBEIRO DA SILVA</t>
  </si>
  <si>
    <t>DANIELLA CAMPOS GONCALVES CANDIDO</t>
  </si>
  <si>
    <t>CAMILA STEFANE DE OLIVEIRA CAMPINA</t>
  </si>
  <si>
    <t>MARCIA MARIA DA SILVA GONCALVES</t>
  </si>
  <si>
    <t>ITAMAR APARECIDO GOMES</t>
  </si>
  <si>
    <t>DOUGLAS APARECIDO OLIVEIRA DIOTTO</t>
  </si>
  <si>
    <t>VICTOR HUGO FERREIRA DA SILVA</t>
  </si>
  <si>
    <t>JULIO CESAR TEIXEIRA DA SILVA</t>
  </si>
  <si>
    <t>EDINALDO JOSE DA SILVA</t>
  </si>
  <si>
    <t>LUIZ DA SILVA MOREIRA</t>
  </si>
  <si>
    <t>MARIA HELENA LUGATO RODRIGUES</t>
  </si>
  <si>
    <t>KAUANY ESHELLIN BARBOSA DOS REIS</t>
  </si>
  <si>
    <t>JEAN CARLOS SILVA DE BRITO</t>
  </si>
  <si>
    <t>WALISON DA SILVA BEZERRA</t>
  </si>
  <si>
    <t>FERNANDO CESAR PEDROSA DOS SANTOS</t>
  </si>
  <si>
    <t>LUCILENE DE SOUZA VIEIRA</t>
  </si>
  <si>
    <t>MATEUS FELIPE RODRIGUES DE MELLO</t>
  </si>
  <si>
    <t>VINICIUS HENRIQUE LOPES INACIO</t>
  </si>
  <si>
    <t>MYRELA NAELLI DA SILVA</t>
  </si>
  <si>
    <t>STHEFFANY KAUANY MELLO MARQUES</t>
  </si>
  <si>
    <t>LAUDICEIA HIPOLITO</t>
  </si>
  <si>
    <t>EDNA GONCALVES COELHO PEREIRA</t>
  </si>
  <si>
    <t>CRISTIANO JUNIOR DA SILVA</t>
  </si>
  <si>
    <t>EDSON SANTOS DA SILVA</t>
  </si>
  <si>
    <t>JORGE VIEIRA</t>
  </si>
  <si>
    <t>MARIANA ROSA MORAIS</t>
  </si>
  <si>
    <t>LARISSA CRISTINA DA SILVA</t>
  </si>
  <si>
    <t>INDIAMARA COLTRO DE OLIVEIRA SANTOS</t>
  </si>
  <si>
    <t>FRANCIELA ALFREDO</t>
  </si>
  <si>
    <t>DENILSON CASSIO DE OLIVEIRA</t>
  </si>
  <si>
    <t>SABRINA DOMICIANO DA CRUZ</t>
  </si>
  <si>
    <t>ANDERSON ARAUJO GONCALVES JUNIOR</t>
  </si>
  <si>
    <t>THIAGO PEREIRA EVANGELISTA</t>
  </si>
  <si>
    <t>DIEGO DE BRITO SANTOS</t>
  </si>
  <si>
    <t>DANIEL SILVA SABATINE</t>
  </si>
  <si>
    <t>LUCIANO AUGUSTO DO AMARAL FARIA</t>
  </si>
  <si>
    <t>MAICON LUIZ FERREIRA DE OLIVEIRA</t>
  </si>
  <si>
    <t>JOSIANE RIBEIRO FROIS DE SOUZA</t>
  </si>
  <si>
    <t>KELY CRISTINA RIBEIRO RUFINO</t>
  </si>
  <si>
    <t>THAISA KETLIN DA SILVA</t>
  </si>
  <si>
    <t>TAMIRES YASMIN LIMA DIAS CAUZ</t>
  </si>
  <si>
    <t>LUCY MARY RITA DE SOUZA</t>
  </si>
  <si>
    <t>CLAUDEMIR APARECIDO DA SILVA JUNIOR</t>
  </si>
  <si>
    <t>JOICE DE GOIS</t>
  </si>
  <si>
    <t>PATRICIA FERREIRA DOS SANTOS SANTANA</t>
  </si>
  <si>
    <t>KETELIM CRISTINA DOMINGUES SANTANA</t>
  </si>
  <si>
    <t>MARIA EDUARDA ARRUDA DE OLIVEIRA</t>
  </si>
  <si>
    <t>ANDREZZA MARINS SOARES DA SILVA</t>
  </si>
  <si>
    <t>FRANCISCO CORREIA LIMA</t>
  </si>
  <si>
    <t>DANIEL ANDRE DA SILVA</t>
  </si>
  <si>
    <t>LUIS ALEJANDRO AZACON DORIA</t>
  </si>
  <si>
    <t>TAYNARA DA SILVA ANTUNES</t>
  </si>
  <si>
    <t>VANILDA APARECIDA SANTANA PEREIRA</t>
  </si>
  <si>
    <t>MIRIAN RIBEIRO DA SILVA</t>
  </si>
  <si>
    <t>RAFAELE GOMES DA SILVA</t>
  </si>
  <si>
    <t>MEIRE HELEN REGINA DE ALVARENGA JANUARIO</t>
  </si>
  <si>
    <t>KETHERLY CRISTINA OLIVEIRA DOS SANTOS</t>
  </si>
  <si>
    <t>ROSELI PEREIRA DOS SANTOS</t>
  </si>
  <si>
    <t>MARCIA CRISTINA SOUZA DE OLIVEIRA</t>
  </si>
  <si>
    <t>ANA JULIA BOTAZOLI ROSA</t>
  </si>
  <si>
    <t>FERNANDA PAULA DELFINO OLIVEIRA</t>
  </si>
  <si>
    <t>DEBORA GOBETTI DUARTE</t>
  </si>
  <si>
    <t>CARLOS HENRIQUE DOS SANTOS OLIVEIRA</t>
  </si>
  <si>
    <t>ADRIANO LOPES</t>
  </si>
  <si>
    <t>ANTONIO JACINTO DE MORAES NETTO</t>
  </si>
  <si>
    <t>DULCINEIA APARECIDA INACIO PINTO</t>
  </si>
  <si>
    <t>SOLANGE APARECIDA FERREIRA</t>
  </si>
  <si>
    <t>ERAO DO CARMO VERA MANGABEIRA</t>
  </si>
  <si>
    <t>ANA FLAVIA CORREIA BOMBA ROSA</t>
  </si>
  <si>
    <t>IDALICE GONCALVES</t>
  </si>
  <si>
    <t>TACIARA APARECIDA RODRIGUES DA SILVA</t>
  </si>
  <si>
    <t>NEIDE ALVES ANSELMO</t>
  </si>
  <si>
    <t>ALINE CRISTINA RIBEIRO APOLINARIO</t>
  </si>
  <si>
    <t>LARISSA BEATRIZ BERNARDINO BARBOSA</t>
  </si>
  <si>
    <t>JOAO VITOR CARVALHO</t>
  </si>
  <si>
    <t>YASMIN MACHADO MARTINS DA SILVEIRA</t>
  </si>
  <si>
    <t>SIRLEI HOSANA SOUZA CALBENTE</t>
  </si>
  <si>
    <t>LAURA VITORIA LIMA NASCIMENTO</t>
  </si>
  <si>
    <t>CARINA DOMINGOS DE MELO RAMOS</t>
  </si>
  <si>
    <t>MICHELA ANDREIA FELIPA PONCE</t>
  </si>
  <si>
    <t>MILTON CESAR DA SILVA</t>
  </si>
  <si>
    <t>LUCIANO SILVA DOS SANTOS</t>
  </si>
  <si>
    <t>WELLINGTON DA SILVA FRANCO</t>
  </si>
  <si>
    <t>DANIEL DE BRITO DOS SANTOS</t>
  </si>
  <si>
    <t>MATHEUS EFRAIM DA SILVA MARECO</t>
  </si>
  <si>
    <t>MARCOS JOEL DE CAMPOS</t>
  </si>
  <si>
    <t>JOAO MARCOS BERNARDO DA SILVA</t>
  </si>
  <si>
    <t>LUIZA FREIRE DO NASCIMENTO MARQUES</t>
  </si>
  <si>
    <t>LUCAS PEREIRA DE SOUZA</t>
  </si>
  <si>
    <t>ADILSO RIBEIRO DE PAULA</t>
  </si>
  <si>
    <t>PAULO HENRIQUE MELO DE SOUZA</t>
  </si>
  <si>
    <t>FUNEAS - HOSPITAIS - HRNP</t>
  </si>
  <si>
    <t>FUNEAS - HOSPITAIS - HRTB</t>
  </si>
  <si>
    <t>FUNEAS - HOSPITAIS - HRIV</t>
  </si>
  <si>
    <t>FUNEAS - HOSP. REG. NORTE PIONEIRO - HRNP - SANTO ANTONIO DA PLATINA</t>
  </si>
  <si>
    <t>PAULO HENRIQUE</t>
  </si>
  <si>
    <t>PAULO TORRES</t>
  </si>
  <si>
    <t>JOÃO CLEMENTONI</t>
  </si>
  <si>
    <t>DÉBORA GOBETTI</t>
  </si>
  <si>
    <t>CARLOS FABRI</t>
  </si>
  <si>
    <t>CLEVERTON RODRIGO</t>
  </si>
  <si>
    <t>DENISE</t>
  </si>
  <si>
    <t>RENATO VANCINE AFONSO</t>
  </si>
  <si>
    <t>VALQUIRIA VALERIO BAREA PEREIRA</t>
  </si>
  <si>
    <t>JANAINA FREITAS DOS SANTOS BUENO</t>
  </si>
  <si>
    <t>THIFANNY NATHIELLY DO PRADO</t>
  </si>
  <si>
    <t>ANDRESSA GOMES ALVES GABRIEL</t>
  </si>
  <si>
    <t>ANGELICA TEIXEIRA</t>
  </si>
  <si>
    <t>DEBORA CRISTINA DA CRUZ</t>
  </si>
  <si>
    <t>JESSICA CRISTINA CORREA DE OLIVEIRA</t>
  </si>
  <si>
    <t>PRISCILA SILVA DE MENEZES</t>
  </si>
  <si>
    <t>CLAUDIMARY REJIANE DE SOUZA</t>
  </si>
  <si>
    <t>ROSA CAROLINE MARTINS SERRA</t>
  </si>
  <si>
    <t>SANDERSON DOS SANTOS VIEIRA</t>
  </si>
  <si>
    <t>CARLOS EDUARDO DA SILVA VIANA</t>
  </si>
  <si>
    <t>PATRICIA MIRANDA CARNEIRO</t>
  </si>
  <si>
    <t>ANDREZA SANTANA ELIAS</t>
  </si>
  <si>
    <t>SIDINEI DA SILVA ARAUJO</t>
  </si>
  <si>
    <t>LUIS FRANCISCO DA SILVA LIMA</t>
  </si>
  <si>
    <t>MAIKOL BULITINI DE LIMA</t>
  </si>
  <si>
    <t>JULIAN RIBEIRO PEREIRA</t>
  </si>
  <si>
    <t>PAULO DOS SANTOS</t>
  </si>
  <si>
    <t>GABRIEL DE OLIVEIRA</t>
  </si>
  <si>
    <t>WELLINGTON JUNIOR DA SILVA</t>
  </si>
  <si>
    <t>NAIARA CRISTINA DA SILVA CIPRIANO DIAS</t>
  </si>
  <si>
    <t>VANESSA CASSEMIRO DA SILVA</t>
  </si>
  <si>
    <t>LETICIA RODRIGUES FERREIRA VAZ</t>
  </si>
  <si>
    <t>ROSELI APARECIDA PEREIRA</t>
  </si>
  <si>
    <t>ALICE CASTORINO</t>
  </si>
  <si>
    <t>CRISTIANE RODRIGUES DE MORAES</t>
  </si>
  <si>
    <t>LETICIA KAREN FERREIRA GOMES</t>
  </si>
  <si>
    <t>JACQUELINE CUSTODIO MACHADO</t>
  </si>
  <si>
    <t>SAMUEL FRANCISCO DE OLIVEIRA</t>
  </si>
  <si>
    <t>CINTIA APARECIDA RIBEIRO</t>
  </si>
  <si>
    <t>JULIO CESAR DOS SANTOS</t>
  </si>
  <si>
    <t>MAYRA ABE ROTOLI</t>
  </si>
  <si>
    <t>GILBERTO VICENTE FERREIRA</t>
  </si>
  <si>
    <t>MIRIAN MARIA DOS SANTOS MATEUS</t>
  </si>
  <si>
    <t>ELAINE ELOIS DE OLIVEIRA DA SILVA</t>
  </si>
  <si>
    <t>ROSANGELA APARECIDA DA SILVA FELIZARDO</t>
  </si>
  <si>
    <t>JHENIFER DE SOUZA THOMAZ ALVES</t>
  </si>
  <si>
    <t>LEONARDO DE OLIVEIRA MARTINS</t>
  </si>
  <si>
    <t>REBECA PATRICIA DA SILVA RODRIGUES</t>
  </si>
  <si>
    <t>JAQUELINE LOPES OLIVEIRA</t>
  </si>
  <si>
    <t>CLEONICE PEREIRA LIMA DOS SANTOS</t>
  </si>
  <si>
    <t>EDUARDO HENRIQUE SILVA DE OLIVEIRA</t>
  </si>
  <si>
    <t>WAGNER ROBERTO MARQUES</t>
  </si>
  <si>
    <t>JOHN CRIS SILVA DE LIMA</t>
  </si>
  <si>
    <t>ROSINEIA DE SOUZA RIBEIRO</t>
  </si>
  <si>
    <t>ANA LIVIA ALVES MOTA</t>
  </si>
  <si>
    <t>ALESSANDRA APARECIDA FELICIO</t>
  </si>
  <si>
    <t>LORENA MARIA DA SILVA</t>
  </si>
  <si>
    <t>LEANDRA VENTURA</t>
  </si>
  <si>
    <t>ROSANA APARECIDA MAIA</t>
  </si>
  <si>
    <t>ANGELITA APARECIDA DA SILVA</t>
  </si>
  <si>
    <t>MARY HELLEN COELLI</t>
  </si>
  <si>
    <t>JAINE DAMASIO DA ROSA FARIA</t>
  </si>
  <si>
    <t>LORENA CRISTINA DE OLIVEIRA</t>
  </si>
  <si>
    <t>ANA JULIA DE OLIVEIRA VITALINO</t>
  </si>
  <si>
    <t>PRISCILA ERICKA FERREIRA BERNARDINO</t>
  </si>
  <si>
    <t>TATIANE APARECIDA RODRIGUES</t>
  </si>
  <si>
    <t>ANDRESSA YARA CADARI DA SILVA</t>
  </si>
  <si>
    <t>LETICIA PEREIRA MOREIRA AMADEU</t>
  </si>
  <si>
    <t>THAIARHA GERALDYNE CARNEIRO</t>
  </si>
  <si>
    <t>LIDIANE ELIS BATISTA DE OLIVEIRA</t>
  </si>
  <si>
    <t>JHENIFFER AMANDA SILVA HILARIO</t>
  </si>
  <si>
    <t>ERIETE NEVES DE BARROS</t>
  </si>
  <si>
    <t>PALOMA LOPES SAMPAIO</t>
  </si>
  <si>
    <t>ISABELY DE SOUZA SANTOS</t>
  </si>
  <si>
    <t>VANESSA DOS SANTOS</t>
  </si>
  <si>
    <t>SUELI DA CRUZ OLIVEIRA</t>
  </si>
  <si>
    <t>WILLIAN AZEVEDO GOMES</t>
  </si>
  <si>
    <t>NARJARA CRISTINA DE SOUZA CASTRO</t>
  </si>
  <si>
    <t>JESSICA DOS SANTOS</t>
  </si>
  <si>
    <t>JOCELMA IZIDORO</t>
  </si>
  <si>
    <t>LUCILENE PIRES DA SILVA</t>
  </si>
  <si>
    <t>ROSELI ANDRADE DE LIMA LOPES</t>
  </si>
  <si>
    <t>ROSIMERI DOS SANTOS</t>
  </si>
  <si>
    <t>MARCIA CRISTINA JORGE</t>
  </si>
  <si>
    <t>NADIRENE MANESCO CIUFFI DO NASCIMENTO</t>
  </si>
  <si>
    <t>ISABELA FERREIRA CALDEIRA</t>
  </si>
  <si>
    <t>JONATAS DE OLIVEIRA LEONEL</t>
  </si>
  <si>
    <t>EDILAINE FRANCA RODA</t>
  </si>
  <si>
    <t>VIVIAN CASSIANO DOS SANTOS CLEMENTE</t>
  </si>
  <si>
    <t>GEAN CARLOS DE ALMEIDA FARIA</t>
  </si>
  <si>
    <t>LUCIANA SOUZA FERNANDES GAIOSKI</t>
  </si>
  <si>
    <t>MAYCON LEANDRO PASCHOAL MOREIRA</t>
  </si>
  <si>
    <t>ZENILTON APARECIDO IANEZ</t>
  </si>
  <si>
    <t>GIOVANI BERTOLINO RAZZINI</t>
  </si>
  <si>
    <t>MARCOS DE SOUZA</t>
  </si>
  <si>
    <t>GUSTAVO MARTINS HORT</t>
  </si>
  <si>
    <t>MARCOS CEZAR COSTA FAVARO</t>
  </si>
  <si>
    <t>DIVALDO LOPES</t>
  </si>
  <si>
    <t>WELITON ROCHA DE SOUZA</t>
  </si>
  <si>
    <t>LEONE LIMA DOS SANTOS</t>
  </si>
  <si>
    <t>SILVANA DA COSTA</t>
  </si>
  <si>
    <t>WALYSSON CRISTIAN DA CRUZ POMINI</t>
  </si>
  <si>
    <t>MARCELO ALVES DE SIQUEIRA</t>
  </si>
  <si>
    <t>WELLINGTON JOSE BOTELHO</t>
  </si>
  <si>
    <t>AUXILIAR DE LAVANDERIA</t>
  </si>
  <si>
    <t>AUXILIAR DE COZINHA</t>
  </si>
  <si>
    <t>PORTEIRO</t>
  </si>
  <si>
    <t>TECNICO DE INFORMATICA</t>
  </si>
  <si>
    <t>MOTORISTA CAT. "D"</t>
  </si>
  <si>
    <t>ANA LUIZA MAYUMI CORDEIRO TANNO</t>
  </si>
  <si>
    <t>GUILHERME BARBOSA ANDRE BREVE</t>
  </si>
  <si>
    <t>LUANA MENDES ARAUJO</t>
  </si>
  <si>
    <t>ADRIANA CIRINO NEVES</t>
  </si>
  <si>
    <t>CASSIA ADELINA DA SILVA</t>
  </si>
  <si>
    <t>CHINTIA PAULA THEODORO</t>
  </si>
  <si>
    <t>DENISE DE FATIMA DOS SANTOS TEIXEIRA</t>
  </si>
  <si>
    <t>FABIANA DA SILVA BERNARDES LOPES</t>
  </si>
  <si>
    <t>JAQUELINE CRISTINA PEREIRA DE LIMA</t>
  </si>
  <si>
    <t>JULIANA NASCIMENTO</t>
  </si>
  <si>
    <t>LISLAINE VICENTE DOS SANTOS</t>
  </si>
  <si>
    <t>REGINA GONCALVES DA SILVA PEREIRA</t>
  </si>
  <si>
    <t>SANDRA SELMA CANDIDO</t>
  </si>
  <si>
    <t>TAINARA APARECIDA RAMOS SANTOS</t>
  </si>
  <si>
    <t>VIVIANE RODRIGUES FONGARI</t>
  </si>
  <si>
    <t>CELSO SANTOS DA SILVA</t>
  </si>
  <si>
    <t>MARCOS ANTONIO DA SILVA</t>
  </si>
  <si>
    <t>RICARDO DE SOUZA CAETANO</t>
  </si>
  <si>
    <t>MICHAEL JHONATAN GARCIA DE FREITAS</t>
  </si>
  <si>
    <t>ANA KLISSIA DE LIMA PERALTA COCA NOGUEIRA</t>
  </si>
  <si>
    <t>CRISTIANE FARDIN ROSENA DA COSTA</t>
  </si>
  <si>
    <t>DAIANE DE JESUS COSTA</t>
  </si>
  <si>
    <t>DALVA APARECIDA DELGADO DE OLIVEIRA</t>
  </si>
  <si>
    <t>DANIELA DOS SANTOS DE OLIVEIRA</t>
  </si>
  <si>
    <t>DIANA CRISTINA FREITAS LEITE</t>
  </si>
  <si>
    <t>ERICK EDUARDO DANTAS</t>
  </si>
  <si>
    <t>GILBERTO FERNANDES COSTA POMPEO</t>
  </si>
  <si>
    <t>GUSTAVO GABRIEL DE OLIVEIRA LUPO</t>
  </si>
  <si>
    <t>GUSTAVO GALBIATI CRESCENCIO</t>
  </si>
  <si>
    <t>JEFFERSON PERES NUNES</t>
  </si>
  <si>
    <t>MICHELLE CRISTINA DA SILVA ADAO</t>
  </si>
  <si>
    <t>NATIELLE PRADO MILANI OLIVEIRA</t>
  </si>
  <si>
    <t>TAMIRES RODRIGUES DE OLIVEIRA COSTA</t>
  </si>
  <si>
    <t>WESLEI DO NASCIMENTO DE SANTANA</t>
  </si>
  <si>
    <t>ANA JULIA LEITE SILVA</t>
  </si>
  <si>
    <t>ANA LIGIA LIMA RIBEIRO DE FARIA</t>
  </si>
  <si>
    <t>APARECIDA TOME DE FREITAS</t>
  </si>
  <si>
    <t>IVANILZA APARECIDA MAGNO</t>
  </si>
  <si>
    <t>JANAINA LOPES UBALDO</t>
  </si>
  <si>
    <t>KARINA ACIOLI DE OLIVEIRA</t>
  </si>
  <si>
    <t>KELLI CRISTINA DE SOUZA</t>
  </si>
  <si>
    <t>LEANDRA ESTEVES DE SOUZA SILVA</t>
  </si>
  <si>
    <t>LEVINA ROCHA DO NASCIMENTO</t>
  </si>
  <si>
    <t>VITORIA DIVINA DOS SANTOS FONTOURA</t>
  </si>
  <si>
    <t>DANIELI AGULHAO KLEIN</t>
  </si>
  <si>
    <t>JESSICA DE SOUZA</t>
  </si>
  <si>
    <t>KETLYN VITORIA GOMES BALDINI</t>
  </si>
  <si>
    <t>DOMINIQUE CRISTINA DOS SANTOS</t>
  </si>
  <si>
    <t>EMELY SHELLEY DE OLIVEIRA</t>
  </si>
  <si>
    <t>JONATHAN DOS SANTOS</t>
  </si>
  <si>
    <t>KAROLYNE PADUA DA SILVA</t>
  </si>
  <si>
    <t>SANDRIELL CORDEIRO DA SILVA</t>
  </si>
  <si>
    <t>AILTON ALVES DA CONCEICAO</t>
  </si>
  <si>
    <t>BRUNO HENRIQUE FRANCA DE CERQUEIRA</t>
  </si>
  <si>
    <t>ERICK BARBOSA FAUSTINO DOS SANTOS</t>
  </si>
  <si>
    <t>JOAO VITOR DOS SANTOS FONSECA</t>
  </si>
  <si>
    <t>TIAGO HENRIQUE LIMA DA COSTA</t>
  </si>
  <si>
    <t>DEISE DO NASCIMENTO</t>
  </si>
  <si>
    <t>EDENIZIA EVARISTO BISCAIA</t>
  </si>
  <si>
    <t>JESSICA DE FREITAS</t>
  </si>
  <si>
    <t>LUAN HENRIQUE PORTO DE CARVALHO</t>
  </si>
  <si>
    <t>ACACIO CARLOS LOPES JUNIOR</t>
  </si>
  <si>
    <t>ADRIANA GOMES ROCHA VIEIRA</t>
  </si>
  <si>
    <t>ADRIANA SEVERINO DA SILVA</t>
  </si>
  <si>
    <t>AGATHA BRUNA SOUZA CARVALHO</t>
  </si>
  <si>
    <t>ALEXIA EMILY MILIM</t>
  </si>
  <si>
    <t>ALICE LEIKO IHARA</t>
  </si>
  <si>
    <t>ALINE CRISTINA FERREIRA DOS SANTOS</t>
  </si>
  <si>
    <t>ALINE ROCHA SIMIONATO</t>
  </si>
  <si>
    <t>ALLINE COLTRE PEDROSO</t>
  </si>
  <si>
    <t>AMANDA CRISTINA NUNES PILOTO</t>
  </si>
  <si>
    <t>AMANDA MONTEIRO PANASSI</t>
  </si>
  <si>
    <t>AMANDA VIEIRA LOPES FERNANDES</t>
  </si>
  <si>
    <t>ANA MARIA JACINTO DA SILVA</t>
  </si>
  <si>
    <t>ANA PAULA MARTINS SCRAMIN</t>
  </si>
  <si>
    <t>ANA PAULA PEREIRA DA SILVA SALANDIN</t>
  </si>
  <si>
    <t>ANA PAULA RATAO GOMES</t>
  </si>
  <si>
    <t>ANDENILCE APARECIDA LIMA NOVAES</t>
  </si>
  <si>
    <t>ANDREA DELLA COLETTA GHIRALDELI OKAJIMA</t>
  </si>
  <si>
    <t>ANDREA FERNANDA RODRIGUES DE LIMA</t>
  </si>
  <si>
    <t>ANNE CAROLINE DIAS SALLES</t>
  </si>
  <si>
    <t>APARECIDA SCANFERLA RAMOS</t>
  </si>
  <si>
    <t>ARIANE VITORIA FRANCISQUINI DOS SANTOS</t>
  </si>
  <si>
    <t>ARIELLY ROCHA RODRIGUES</t>
  </si>
  <si>
    <t>BEATRIZ BIBIANO BARBARA</t>
  </si>
  <si>
    <t>BEATRIZ SANTOS CREMON</t>
  </si>
  <si>
    <t>BEATRIZ VITORIA GOMES DE ALMEIDA</t>
  </si>
  <si>
    <t>BRENDA CRISTINA ALVES BENTO VITORIO</t>
  </si>
  <si>
    <t>BRENDA ROCHA LIMA</t>
  </si>
  <si>
    <t>BRUNA EDUARDA PRADO LEAL</t>
  </si>
  <si>
    <t>BRUNA MELANIA PEREIRA GONCALVES</t>
  </si>
  <si>
    <t>BRUNA NATIELLE DUTRA SANTOS</t>
  </si>
  <si>
    <t>BRUNO CRISTHIAN LIBERATO DAVID</t>
  </si>
  <si>
    <t>CAMILA DA SILVA DA COSTA</t>
  </si>
  <si>
    <t>CAMILY VITORIA DOS SANTOS</t>
  </si>
  <si>
    <t>CARLA APARECIDA FERREIRA</t>
  </si>
  <si>
    <t>CAROLINE PEDRO DA SILVA</t>
  </si>
  <si>
    <t>CAROLINE POSSETI FAGUNDES DE OLIVEIRA</t>
  </si>
  <si>
    <t>CAROLINE VITORIA PESSOA DA SILVA</t>
  </si>
  <si>
    <t>CLAUDESLAINE SILVA SANTOS</t>
  </si>
  <si>
    <t>CLAUDIA DA GAMA DOS SANTOS</t>
  </si>
  <si>
    <t>CLAUDIA DE MATOS ANTONIO</t>
  </si>
  <si>
    <t>CLAUDIA PRISCILA PONTES DE ALMEIDA</t>
  </si>
  <si>
    <t>DAIANE RODRIGUES DE OLIVEIRA</t>
  </si>
  <si>
    <t>DANIELA DA SILVA JORGE</t>
  </si>
  <si>
    <t>DANIELE DE CARVALHO DA SILVA</t>
  </si>
  <si>
    <t>DEISE CRISTINA ALEXANDRE DE OLIVEIRA</t>
  </si>
  <si>
    <t>DIVANIR DOS SANTOS CARDOSO</t>
  </si>
  <si>
    <t>EDAGMAR CRISTINA GOMES PRADES</t>
  </si>
  <si>
    <t>EDILAINE DOS SANTOS BATISTA</t>
  </si>
  <si>
    <t>EDNAMAR FATIMA DOS SANTOS</t>
  </si>
  <si>
    <t>EDSON DE CARVALHO</t>
  </si>
  <si>
    <t>EDUARDA GONCALVES</t>
  </si>
  <si>
    <t>ELIANA BERGAMIM</t>
  </si>
  <si>
    <t>ELOISE CAMARGO MIGUEL</t>
  </si>
  <si>
    <t>EMILY CAMILLY NOGUEIRA ROQUE</t>
  </si>
  <si>
    <t>ERIKA PALMA DA SILVA</t>
  </si>
  <si>
    <t>FABIANA NEVES DE ALMEIDA</t>
  </si>
  <si>
    <t>FABIOLA BATISTA DA COSTA</t>
  </si>
  <si>
    <t>FERNANDA CRISTINA DA SILVA</t>
  </si>
  <si>
    <t>FERNANDA RODRIGUES MARTINS</t>
  </si>
  <si>
    <t>FRANCIANE CRISTINNE DE OLIVEIRA</t>
  </si>
  <si>
    <t>FRANCIANE RIBEIRO NASCIMENTO PIRES</t>
  </si>
  <si>
    <t>FRANCIELE APARECIDA SILVA</t>
  </si>
  <si>
    <t>FRANCIELLE SILVA MATIAS</t>
  </si>
  <si>
    <t>FRANCIELLE SOARES DE MELO CARDOSO</t>
  </si>
  <si>
    <t>GABRIELA DE OLIVEIRA PINATI</t>
  </si>
  <si>
    <t>GABRIELA DOS SANTOS FIORIN FELIPE</t>
  </si>
  <si>
    <t>GABRIELA MONIQUE DINIZ DUARTE</t>
  </si>
  <si>
    <t>GABRIELLY MARINHO DUARTE</t>
  </si>
  <si>
    <t>GLEIDE SANTOS DE JESUS OLIVEIRA</t>
  </si>
  <si>
    <t>GRAZIELA GANDOLFI LOPES</t>
  </si>
  <si>
    <t>INACIA MENDES DA SILVA</t>
  </si>
  <si>
    <t>INARA MACHADO AGOSTINHO</t>
  </si>
  <si>
    <t>ISABELLA RIBEIRO ARRUDA</t>
  </si>
  <si>
    <t>IVONE SILVA MULLER</t>
  </si>
  <si>
    <t>JAQUELINE AMARAL DE OLIVEIRA</t>
  </si>
  <si>
    <t>JENNIFER ULIAN FERREIRA</t>
  </si>
  <si>
    <t>JOAO CARLOS MANZINI NUNES</t>
  </si>
  <si>
    <t>JOSE APARECIDO ADAO</t>
  </si>
  <si>
    <t>JUDITE SOLERNO RODRIGUES</t>
  </si>
  <si>
    <t>JULIANA DE MOURA CAMPELO</t>
  </si>
  <si>
    <t>JULIANA MOREIRA SONMERS DA SILVA</t>
  </si>
  <si>
    <t>JURACI ELENO DA SILVA DOS SANTOS</t>
  </si>
  <si>
    <t>KARLA CRISTINA MOURA</t>
  </si>
  <si>
    <t>KAROLINE AMARAL ZIN</t>
  </si>
  <si>
    <t>LAISE TRIPOLONE GUELERE</t>
  </si>
  <si>
    <t>LARA VITORIA NOVAES</t>
  </si>
  <si>
    <t>LARISSA CAMARGO PEREIRA</t>
  </si>
  <si>
    <t>LARISSA KARLA DOS SANTOS</t>
  </si>
  <si>
    <t>LAURA RAFAELA VIEIRA DUTRA</t>
  </si>
  <si>
    <t>LAURIZA GABRIEL DE LIMA</t>
  </si>
  <si>
    <t>LEANDRA CRISTINA DOS SANTOS SOARES</t>
  </si>
  <si>
    <t>LELAINE ALVES DE OLIVEIRA BATISTA</t>
  </si>
  <si>
    <t>LEONARDO FERNANDES DA SILVA</t>
  </si>
  <si>
    <t>LETICIA FERNANDES DA SILVA</t>
  </si>
  <si>
    <t>LISRHA CRISTINA SOARES NOGUEIRA</t>
  </si>
  <si>
    <t>LORENA HERNANDEZ DOS SANTOS</t>
  </si>
  <si>
    <t>LUANA ARAUJO</t>
  </si>
  <si>
    <t>LUCIANA APARECIDA FELIX DOS REIS LEITE</t>
  </si>
  <si>
    <t>LUCIANA CASTOLDI PEREIRA</t>
  </si>
  <si>
    <t>LUCIANE MARI DA MATA OLIVEIRA</t>
  </si>
  <si>
    <t>LUCINEIA RANTICHIERI DA SILVEIRA</t>
  </si>
  <si>
    <t>LUCINEIDE DA SILVA SANTOS</t>
  </si>
  <si>
    <t>LYDIANY FERNANDES FRANCISCO SILVA</t>
  </si>
  <si>
    <t>MARIA DAILMA DOS SANTOS SILVA</t>
  </si>
  <si>
    <t>MARIA DE LOURDES PEREIRA DE SOUZA</t>
  </si>
  <si>
    <t>MARIA EDUARDA DE ALMEIDA EUGELMI</t>
  </si>
  <si>
    <t>MARIA EDUARDA RODRIGUES MESQUITA</t>
  </si>
  <si>
    <t>MARIA IRANEIDE PEREIRA</t>
  </si>
  <si>
    <t>MARIA JOSE DA SILVA DOS SANTOS</t>
  </si>
  <si>
    <t>MARIA LAUDECY CAMPOS</t>
  </si>
  <si>
    <t>MARIANA RODRIGUES DOS SANTOS</t>
  </si>
  <si>
    <t>MARIANE TEREZINHA SOUZA OLIVEIRA HENRIQUE</t>
  </si>
  <si>
    <t>MARIANE ZUGOLARO DE OLIVEIRA GROSSO</t>
  </si>
  <si>
    <t>MARILZA DE FATIMA SOARES</t>
  </si>
  <si>
    <t>MARINA GOMES DE LIMA CERQUEIRA</t>
  </si>
  <si>
    <t>MARISA COLLI SINHORINI</t>
  </si>
  <si>
    <t>MARLENE CARDOZO SERRANO</t>
  </si>
  <si>
    <t>MARLENE PIRES DE GUSMAO</t>
  </si>
  <si>
    <t>MICHELE NATALIA AZAMBUJA DA SILVA</t>
  </si>
  <si>
    <t>MILIANI MARCOLINO ZORZELA</t>
  </si>
  <si>
    <t>MIRELLA LORRANE ALMEIDA GOMES</t>
  </si>
  <si>
    <t>MIRELLI MARIA SIMON RAMOS</t>
  </si>
  <si>
    <t>MISLENE DIAS DUTRA</t>
  </si>
  <si>
    <t>MONIQUE DOS SANTOS RECOARO</t>
  </si>
  <si>
    <t>MONIQUE ESTEVO DA SILVA BOSCOLO</t>
  </si>
  <si>
    <t>NATALIA COSTA DE BARROS</t>
  </si>
  <si>
    <t>NATIELE ANTONIO DOS SANTOS MACEDO</t>
  </si>
  <si>
    <t>NICOLLY GODOY DE OLIVEIRA</t>
  </si>
  <si>
    <t>NICOLY MARQUES FANTINI</t>
  </si>
  <si>
    <t>NICOLY MOREIRA ESPERANCA</t>
  </si>
  <si>
    <t>NICOLY SUELLEM VILELA HIPOLITO</t>
  </si>
  <si>
    <t>NOEMIA VITORIA FERREIRA</t>
  </si>
  <si>
    <t>PAMELA STEPHANIE BATISTA CHAVES</t>
  </si>
  <si>
    <t>PATRICIA APARECIDA DE FREITAS SIQUEIRA</t>
  </si>
  <si>
    <t>PAULA CRISTINA ROCHA TACONI</t>
  </si>
  <si>
    <t>PHYLLIS EVILLYN SAMPAIO GREGORIO</t>
  </si>
  <si>
    <t>PRISCILA CAROLINE DOS SANTOS NEVES</t>
  </si>
  <si>
    <t>PRISCILA D ALEXANDRE CASSERE GRIJOTA</t>
  </si>
  <si>
    <t>PRISCILA DOS SANTOS GONCALVES</t>
  </si>
  <si>
    <t>PRISCILA REGINA ROCHA BAZANI</t>
  </si>
  <si>
    <t>RAFAEL DE SOUZA</t>
  </si>
  <si>
    <t>RAYSSA VITORIA DE PAULA</t>
  </si>
  <si>
    <t>REGIANE DE ARAUJO CARNEIRO</t>
  </si>
  <si>
    <t>ROSANE ROSALINA ALEXANDRE</t>
  </si>
  <si>
    <t>ROSANGELA APARECIDA LEONARDO</t>
  </si>
  <si>
    <t>ROSANGELA FIUZA DA CONCEICAO</t>
  </si>
  <si>
    <t>ROSIMEIRE APARECIDA FERREIRA DOS SANTOS</t>
  </si>
  <si>
    <t>ROSIMEIRE MORETTI DA SILVA DIAS</t>
  </si>
  <si>
    <t>ROSIMEIRE SOUZA SANTOS</t>
  </si>
  <si>
    <t>RUTE PEREIRA DOS SANTOS ALVARENGA</t>
  </si>
  <si>
    <t>SAMARA ELIZANDRA HABERMAN</t>
  </si>
  <si>
    <t>SANDRA REGINA MIGUEL</t>
  </si>
  <si>
    <t>SARA FERREIRA DA SILVA</t>
  </si>
  <si>
    <t>SELMA REGINA DE SOUZA CARDOSO</t>
  </si>
  <si>
    <t>SHIRLEY XAVIER FERREIRA DA SILVA</t>
  </si>
  <si>
    <t>SILVANA CRISTINA ALBINO FERREIRA DA COSTA DE MOURA</t>
  </si>
  <si>
    <t>SILVIA CRISTINA DE OLIVEIRA GONCALVES PRADES</t>
  </si>
  <si>
    <t>STEFANI HUBINGER DE OLIVEIRA</t>
  </si>
  <si>
    <t>STEFANY SILVA FERREIRA</t>
  </si>
  <si>
    <t>STEPHANIE CARDOZO DE SOUZA</t>
  </si>
  <si>
    <t>SUELEN CRISTINA BONFIM</t>
  </si>
  <si>
    <t>SUELLEN CRISTINA CAETANO DE SOUZA</t>
  </si>
  <si>
    <t>TATIANE DE ARAUJO ALVES CARNEIRO</t>
  </si>
  <si>
    <t>THAINA BELINELLO GOMES</t>
  </si>
  <si>
    <t>THAINA LETICIA CAMARGO</t>
  </si>
  <si>
    <t>THAMARA DOMINGOS ALMEIDA DA SILVA</t>
  </si>
  <si>
    <t>VALERIA DE SOUSA RODRIGUES</t>
  </si>
  <si>
    <t>VALERIA PEREIRA DA SILVA</t>
  </si>
  <si>
    <t>VALNICE PERMAGNANI</t>
  </si>
  <si>
    <t>VANESSA AMERICO DEVIDES</t>
  </si>
  <si>
    <t>VANESSA CAVALCANTE SEGURA RAYMUNDO</t>
  </si>
  <si>
    <t>VANESSA DE ARAUJO GOMES</t>
  </si>
  <si>
    <t>VANESSA DE JESUS CONTEL</t>
  </si>
  <si>
    <t>VANESSA FAVERO ZEN</t>
  </si>
  <si>
    <t>VANESSA RAQUEL DE LIMA SANTOS</t>
  </si>
  <si>
    <t>VANUZA MACIEL</t>
  </si>
  <si>
    <t>VONEIDE FERREIRA DA SILVA</t>
  </si>
  <si>
    <t>ADRIANA DA SILVA</t>
  </si>
  <si>
    <t>ADRIANE MATHIAS GONCALVES</t>
  </si>
  <si>
    <t>ALESSANDRA PEREIRA DE SOUSA</t>
  </si>
  <si>
    <t>ALEXANDRA OLIVEIRA DE AGUIAR</t>
  </si>
  <si>
    <t>ALIRIANE MARA TRINDADE</t>
  </si>
  <si>
    <t>ALMIR DA SILVA SOUZA</t>
  </si>
  <si>
    <t>AMANDA REGINA RODRIGUES</t>
  </si>
  <si>
    <t>ANA CAROLINE RIBEIRO DA SILVA</t>
  </si>
  <si>
    <t>ANA CLAUDIA DE SOUZA MATTOS</t>
  </si>
  <si>
    <t>ANA CLESIA CAPELA DA SILVA</t>
  </si>
  <si>
    <t>ANA PAULA FERREIRA LESSA DO ESPIRITO SANTO</t>
  </si>
  <si>
    <t>ANA ROSA DE OLIVEIRA AMARAL</t>
  </si>
  <si>
    <t>ANDREIA APARECIDA CONCEICAO SILVEIRA</t>
  </si>
  <si>
    <t>ANDREIA CRISTINA MARQUES CARVALHO</t>
  </si>
  <si>
    <t>ANDREIA DOS SANTOS DA SILVA</t>
  </si>
  <si>
    <t>ANDRESSA CAROLINE MUNIZ CAETANO</t>
  </si>
  <si>
    <t>ANGELICA APARECIDA PEREIRA SANTOS</t>
  </si>
  <si>
    <t>ANGELICA TRINDADE DOMINGUES DOS SANTOS</t>
  </si>
  <si>
    <t>APARECIDA REGINA EVANGELISTA CORACAO</t>
  </si>
  <si>
    <t>BEATRIZ PEREIRA</t>
  </si>
  <si>
    <t>BIANCA DE CARVALHO PEREIRA</t>
  </si>
  <si>
    <t>BIANCA DE FATIMA CAMARGO</t>
  </si>
  <si>
    <t>BIANCA GALLINA COSTA</t>
  </si>
  <si>
    <t>BRUNA CRISTINA RODRIGUES PEREIRA</t>
  </si>
  <si>
    <t>CARLA CRISTINA DE CARVALHO PEREIRA</t>
  </si>
  <si>
    <t>CECILIA FERNANDES</t>
  </si>
  <si>
    <t>CELIO APARECIDO MARTINS</t>
  </si>
  <si>
    <t>CLARICE MARIANO VENANCIO</t>
  </si>
  <si>
    <t>CLAUDETE SOUZA RIBEIRO</t>
  </si>
  <si>
    <t>CLEIDE VICENTE</t>
  </si>
  <si>
    <t>CLESIANE CAPELA DA SILVA</t>
  </si>
  <si>
    <t>CLEUZA ALVES DE OLIVEIRA</t>
  </si>
  <si>
    <t>DAIANA TEOFILO NUNES TOFOLI</t>
  </si>
  <si>
    <t>DAIANE APARECIDA SILVA DE ANDRADE</t>
  </si>
  <si>
    <t>DAIANE DE ASSIS SILVA</t>
  </si>
  <si>
    <t>DANIELA DOMINGUES VAZ</t>
  </si>
  <si>
    <t>DEBORA CRISTINA CORREA DE PAULA</t>
  </si>
  <si>
    <t>DILIA REGINA ANTUNES DOS SANTOS</t>
  </si>
  <si>
    <t>EDNALDA GALDINO PEREIRA</t>
  </si>
  <si>
    <t>EGUINALDA MARIA DA SILVA</t>
  </si>
  <si>
    <t>ELIANA GOUVEA</t>
  </si>
  <si>
    <t>ELIANA RODRIGUES DOS SANTOS</t>
  </si>
  <si>
    <t>ELIANE DOS SANTOS TOLEDO</t>
  </si>
  <si>
    <t>ELISANGELA GOMES GASIO PINTO</t>
  </si>
  <si>
    <t>ELISANGELA PEREIRA DOS REIS LIMA</t>
  </si>
  <si>
    <t>ELIZEU GOMES SANTOS</t>
  </si>
  <si>
    <t>ELOISA RODRIGUES BAPTISTA</t>
  </si>
  <si>
    <t>FABIANA APARECIDA DELBONE DINIZ</t>
  </si>
  <si>
    <t>FABIOLA APARECIDA RICARDO DO PRADO</t>
  </si>
  <si>
    <t>FANY GOMES LIMA COSTA</t>
  </si>
  <si>
    <t>FELIPE DA SILVA NASCIMENTO</t>
  </si>
  <si>
    <t>FELIPE OTAVIO DE OLIVEIRA AMANCIO</t>
  </si>
  <si>
    <t>FERNANDA SILVESTRE DE ALMEIDA</t>
  </si>
  <si>
    <t>GABRIELA AZZEM SOARES</t>
  </si>
  <si>
    <t>GABRIELA MENDES VAZ</t>
  </si>
  <si>
    <t>GENILDA LARISSA SANTOS DE ARRUDA</t>
  </si>
  <si>
    <t>GIOVANA APARECIDA RIBEIRO</t>
  </si>
  <si>
    <t>GISELIA GONCALVES</t>
  </si>
  <si>
    <t>GRAZIELE DA SILVA MARCONDES</t>
  </si>
  <si>
    <t>HELOISA OLIVEIRA GREGORIO</t>
  </si>
  <si>
    <t>HENRY FERNANDO VENANCIO DE OLIVEIRA</t>
  </si>
  <si>
    <t>HORTENCIA ALVES DE JESUS</t>
  </si>
  <si>
    <t>INARA THALIA ROCHA SOUZA</t>
  </si>
  <si>
    <t>INGLIT MARIZA MACHADO TEIXEIRA</t>
  </si>
  <si>
    <t>IVANILDA DA COSTA BARREIROS</t>
  </si>
  <si>
    <t>IVONE ROSA</t>
  </si>
  <si>
    <t>JANAINA APARECIDA GONCALVES MARTINS</t>
  </si>
  <si>
    <t>JANAINA MARIA DA SILVA PAULINO</t>
  </si>
  <si>
    <t>JANAINE CRISTINA ROSA</t>
  </si>
  <si>
    <t>JANETE APARECIDA CAMILLO DA SILVA</t>
  </si>
  <si>
    <t>JOICE CAROLINE DE PROENCA</t>
  </si>
  <si>
    <t>JOSENI DE ANDRADE</t>
  </si>
  <si>
    <t>JOSENILDE CRISTIANA DE ALMEIDA MARTIN</t>
  </si>
  <si>
    <t>JOSIANE CRISTINA ALBINO RODRIGUES</t>
  </si>
  <si>
    <t>JOSIANE CRUZ ROCHA</t>
  </si>
  <si>
    <t>JOYCE DA SILVA MARTINS</t>
  </si>
  <si>
    <t>JULIA GABRIELA DA SILVA</t>
  </si>
  <si>
    <t>JULIANA DA SILVA CARDOSO</t>
  </si>
  <si>
    <t>JUSSIMARA GOMES DE SOUZA</t>
  </si>
  <si>
    <t>KARINA TRINDADE DE FREITAS</t>
  </si>
  <si>
    <t>KATIA SILENE FERREIRA DE JESUS</t>
  </si>
  <si>
    <t>KELLY APARECIDA GOMES DA SILVA</t>
  </si>
  <si>
    <t>LAUREANA MARIA PAULINO</t>
  </si>
  <si>
    <t>LETICIA FERNANDA MATIAS</t>
  </si>
  <si>
    <t>LETICIA SUKERT ROCHA SANTOS</t>
  </si>
  <si>
    <t>LIDINALVA NERES DE SOUZA</t>
  </si>
  <si>
    <t>LOHANE CRISTINA CHIAMPI</t>
  </si>
  <si>
    <t>LUANA CRISTINA DA SILVA BATISTA</t>
  </si>
  <si>
    <t>LUANA FARIA RODRIGUES</t>
  </si>
  <si>
    <t>LUCIA CORREA DA SILVA</t>
  </si>
  <si>
    <t>LUCIA HELENA DE PAULA BARBOSA</t>
  </si>
  <si>
    <t>LUCIANA DE OLIVEIRA CRUZ</t>
  </si>
  <si>
    <t>LUCINEIDE CAMARGO DE ANDRADE</t>
  </si>
  <si>
    <t>LUIS HENRIQUE ALEXANDRE DE LIMA</t>
  </si>
  <si>
    <t>MARCIA JULIANA MIRANDA SILVA</t>
  </si>
  <si>
    <t>MARIA APARECIDA ARAUJO VENANCIO</t>
  </si>
  <si>
    <t>MARIA APARECIDA DA CRUZ SILVA</t>
  </si>
  <si>
    <t>MARIA DAS GRACAS RODRIGUES PRAZERES</t>
  </si>
  <si>
    <t>MARIA GERALDA AMARO FURTADO</t>
  </si>
  <si>
    <t>MARIA HELENA JOVENCIO ALBERTO</t>
  </si>
  <si>
    <t>MARIA HELENA MUNIZ MENDES</t>
  </si>
  <si>
    <t>MARIA JOSELIA DA SILVA</t>
  </si>
  <si>
    <t>MARIA LOURDES PELICIA</t>
  </si>
  <si>
    <t>MARIA LUCIA DE SOUZA BUENO</t>
  </si>
  <si>
    <t>MARIELE CRISTINA DA SILVA NUNES CORREA</t>
  </si>
  <si>
    <t>MARINA FERREIRA DOS SANTOS</t>
  </si>
  <si>
    <t>MILENA DE SOUSA GOMES OLIVEIRA</t>
  </si>
  <si>
    <t>MILENE LUCAS FELIZARDO DA SILVA</t>
  </si>
  <si>
    <t>MIRIAM CAROLINE SILVA LEME SOUZA</t>
  </si>
  <si>
    <t>MIRIAN MARIA DE JESUS SANTOS</t>
  </si>
  <si>
    <t>MONIQUE JACIARA DA SILVA</t>
  </si>
  <si>
    <t>NAIARA BEATRIZ FREITAS DOS SANTOS</t>
  </si>
  <si>
    <t>NIVANIA LUIZA DE OLIVEIRA GOMES</t>
  </si>
  <si>
    <t>PALOMA APARECIDA CARDOSO ANTUNES DA SILVA</t>
  </si>
  <si>
    <t>PAMELA CRISTINA DUARTE DE ARAUJO</t>
  </si>
  <si>
    <t>PAMELA DA SILVA BATISTA</t>
  </si>
  <si>
    <t>PAULA BERNARDO BARTOLOMEU</t>
  </si>
  <si>
    <t>PRISCILA BENEDITA FRANCO DOMINGUES</t>
  </si>
  <si>
    <t>PRISCILA BONFIM DA SILVA SIMOES</t>
  </si>
  <si>
    <t>RAMIELE PEIXOTO</t>
  </si>
  <si>
    <t>REGIANE APARECIDA SANTOS</t>
  </si>
  <si>
    <t>REGINALDO DA SILVA</t>
  </si>
  <si>
    <t>REINALDO CESAR MONZANO DA SILVA</t>
  </si>
  <si>
    <t>RENATA BENEDITA SOARES ARRUDA</t>
  </si>
  <si>
    <t>RENATA CRISTINA AMARAL</t>
  </si>
  <si>
    <t>ROBERTA APARECIDA DE PAULA DIAS</t>
  </si>
  <si>
    <t>ROBERTA FRANCIANE CUNHA CORREA</t>
  </si>
  <si>
    <t>ROSA MARIA DA SILVA</t>
  </si>
  <si>
    <t>ROSILENA APARECIDA FOGACA</t>
  </si>
  <si>
    <t>RUTE APARECIDA BISSARO</t>
  </si>
  <si>
    <t>RUTH GOMES GASIO</t>
  </si>
  <si>
    <t>SANDRA APARECIDA FERNANDES FUDOLI</t>
  </si>
  <si>
    <t>SARA CARINA DO CARMO FOGACA</t>
  </si>
  <si>
    <t>SERGIO RIBEIRO DOS SANTOS</t>
  </si>
  <si>
    <t>SILMARA DA ROSA</t>
  </si>
  <si>
    <t>SILVANA APARECIDA PONTES DE CARVALHO</t>
  </si>
  <si>
    <t>SILVIA ANDREIA FOGACA</t>
  </si>
  <si>
    <t>SILVIA CRISTINA CHIAMPI</t>
  </si>
  <si>
    <t>SILVIA DE LOURDES JORGE</t>
  </si>
  <si>
    <t>SILVIA ELAINE DE ANDRADE BERTOLUCCI</t>
  </si>
  <si>
    <t>SILVIA HELENA DE OLIVEIRA BOVOLENTA</t>
  </si>
  <si>
    <t>SILVIA REGINA CORREA ANGELO</t>
  </si>
  <si>
    <t>SIMONE CRISTINA AUGUSTO</t>
  </si>
  <si>
    <t>SIMONE DE FREITAS</t>
  </si>
  <si>
    <t>SONIA MARIA GONCALVES DE ANDRADE</t>
  </si>
  <si>
    <t>TAINARA APARECIDA LEONEL DOS SANTOS FURQUIM</t>
  </si>
  <si>
    <t>TAMIRES APARECIDA DA CUNHA REIS</t>
  </si>
  <si>
    <t>TAMIRES RENATA MENDES PEREIRA</t>
  </si>
  <si>
    <t>TATIANE CRISTINA DA COSTA MARIANO</t>
  </si>
  <si>
    <t>TATIANE MARIA DE FREITAS</t>
  </si>
  <si>
    <t>VALDETE CAETANO GALHARDO</t>
  </si>
  <si>
    <t>VALDIRENE MOURA BALBINO SILVA</t>
  </si>
  <si>
    <t>VALERIA CRISTINA DE OLIVEIRA FERNANDES</t>
  </si>
  <si>
    <t>VALQUIRIA LIMA DOS SANTOS RAMOS</t>
  </si>
  <si>
    <t>VANESSA APARECIDA MOREIRA OLIVEIRA</t>
  </si>
  <si>
    <t>VITORIA CAROLINE RONCALLI CAPELUPPI</t>
  </si>
  <si>
    <t>WALDENICE EPHIGENIO ROSA DOS SANTOS</t>
  </si>
  <si>
    <t>ZELITA PEREIRA DE SOUZA</t>
  </si>
  <si>
    <t>SANDRA APARECIDA RODRIGUES</t>
  </si>
  <si>
    <t>VITORIA FERREIRA DE ANDRADE</t>
  </si>
  <si>
    <t>LEONARDO NUNES BLANC MENDES</t>
  </si>
  <si>
    <t>LOURDES ALVES</t>
  </si>
  <si>
    <t>POLIANA FERNANDA ALVES DE SOUZA</t>
  </si>
  <si>
    <t>ROSECLEIA MOREIRA SIMONETTI</t>
  </si>
  <si>
    <t>VICTOR EDUARDO ALVES MIRANDA</t>
  </si>
  <si>
    <t>EM PROF DIRCE SPÍNOLA NAJAS</t>
  </si>
  <si>
    <t>CEI FÁTIMA HAMUD NAKAD</t>
  </si>
  <si>
    <t>CEI PULCINA MOUTINHO GONCALVES</t>
  </si>
  <si>
    <t>CEI MARIA BRUDER CAMARGO</t>
  </si>
  <si>
    <t>EM PROF IZABEL BRANCO</t>
  </si>
  <si>
    <t>CEI ENRIQUETA TERENCE</t>
  </si>
  <si>
    <t>EM PROF NAYR BORGES PENTEADO</t>
  </si>
  <si>
    <t>CEI DIONÍSIA MIRAGAIA CARMINE</t>
  </si>
  <si>
    <t>TRANSPORTE</t>
  </si>
  <si>
    <t>CEI ANTHERO DOS SANTOS</t>
  </si>
  <si>
    <t>CEI MARIA DEVECHIO MIGLIORINI</t>
  </si>
  <si>
    <t>CEI BELLA CLARK SOARES</t>
  </si>
  <si>
    <t>EM PROF GENI LEITE DA SILVA</t>
  </si>
  <si>
    <t>CEI APARECIDA CLAURIA BEARARI BENASSE</t>
  </si>
  <si>
    <t>EM PROF LUCIANO AUGUSTO CANELLAS</t>
  </si>
  <si>
    <t>CEI ANA SOUTO TREVISAN</t>
  </si>
  <si>
    <t>CEI PROF MARIA CECÍLIA DE LIMA J. MARONI</t>
  </si>
  <si>
    <t>EM PROF JOSÉ SEBASTIAO VASQUES CALCADA</t>
  </si>
  <si>
    <t>EM ROBERTO CLARK</t>
  </si>
  <si>
    <t>EM PROF LUCINDA ARAÚJO PEREIRA GIAMPIETRO</t>
  </si>
  <si>
    <t>EM PROF LEONOR CHAIM CURY</t>
  </si>
  <si>
    <t>SUPERVISÃO</t>
  </si>
  <si>
    <t>EM PROF DARIO ÂNGELO TANTIN</t>
  </si>
  <si>
    <t>EM PROF YVONNE MIRAGAIA PERUZZO</t>
  </si>
  <si>
    <t>EM PROF ADELINA BERNADETTE DOS SANTOS PACITTI</t>
  </si>
  <si>
    <t>EM PROF TEREZINHA BOMBONATTI</t>
  </si>
  <si>
    <t>EM PROF RUTH PINTAO LOT</t>
  </si>
  <si>
    <t>HORESTE SPADATTO CENTRO EDUCACAO INFANTIL</t>
  </si>
  <si>
    <t>CEI ROBERTO DOMINGOS ANDREUCCI</t>
  </si>
  <si>
    <t>SANTO CALORI CEI</t>
  </si>
  <si>
    <t>TEREZA ROSA SANTOS SOUZA CENTRO DE EDUCACAO INFANTIL</t>
  </si>
  <si>
    <t>LEONOR BICUDO VINZEZZOTTO PROFESSORA EMEFI</t>
  </si>
  <si>
    <t>JUSSIARA APARECIDA PEREIRA DELGADO CEI</t>
  </si>
  <si>
    <t>JOSE LUIZ AMAT CENTRO DE EDUCACAO INFANTIL</t>
  </si>
  <si>
    <t>JONAS ALVES DE ARAUJO PROFESSOR EMEF</t>
  </si>
  <si>
    <t>DIRCE APARECIDA SARTORI SILVEIRA PROFESSORA EMEFI</t>
  </si>
  <si>
    <t>RAFAELA CRISTINA FRANCISCO BENATO CEI</t>
  </si>
  <si>
    <t>ARLETTE VILAS BOAS ARMELIN PROFA CENTRO DE EDUCACAO INFANTIL</t>
  </si>
  <si>
    <t>ROSEMARY CASSETARI RIBEIRO PROFESSORA CEI</t>
  </si>
  <si>
    <t>TRANSPORTE ESCOLAR</t>
  </si>
  <si>
    <t>NAIR FERNANDES LEITE VAZ CEI</t>
  </si>
  <si>
    <t>JOSE ANTONIO SARTORI PROF EMEF</t>
  </si>
  <si>
    <t>JESUMINA DOMENE DAL FARRA PROFESSORA EMEFI</t>
  </si>
  <si>
    <t>RUY AMADO PIOZZI CENTRO DE ED INFANTIL</t>
  </si>
  <si>
    <t>JOAO QUEIROZ MARQUES PROF CEI</t>
  </si>
  <si>
    <t>ENCARREGADOS</t>
  </si>
  <si>
    <t>FRANCISCO FERRARI MARINS ESCRITOR PROFESSOR EMEF</t>
  </si>
  <si>
    <t>AMERICO VIRGINIO DOS SANTOS PROFESSOR EMEF</t>
  </si>
  <si>
    <t>ESCOLA DO MEIO AMBIENTE</t>
  </si>
  <si>
    <t>CLAUDEVAL LUCIANO DA SILVA CENTRO DE EDUCACAO INFANTIL</t>
  </si>
  <si>
    <t>MARIA DE LOURDES TORRES SADERNBERG CENTRO EDUCACAO INFANTIL</t>
  </si>
  <si>
    <t>HERNANI DONATO EMEFI</t>
  </si>
  <si>
    <t>IDA ROSA PILAN DELL OMO CRECHE MUNICIPAL</t>
  </si>
  <si>
    <t>RAUL TORRES EMEFEI</t>
  </si>
  <si>
    <t>CARDOSO DE ALMEIDA DR EMEF</t>
  </si>
  <si>
    <t>JOAO ROSSETO EMEI JTO A CRECHE</t>
  </si>
  <si>
    <t>RAFAEL DE MOURA CAMPOS EMEF</t>
  </si>
  <si>
    <t>MARIA JACOMINO VENDITO PROFESSORA EMEFI</t>
  </si>
  <si>
    <t>LUIZA CAMPOS AVELLAR PIRES PROFESSORA CEI</t>
  </si>
  <si>
    <t>CRIANCA FELIZ CRECHE BERCARIO EMEI</t>
  </si>
  <si>
    <t>PAULO GUIMARAES PROFESSOR EMEF</t>
  </si>
  <si>
    <t>ANTENOR SERRA EMEF</t>
  </si>
  <si>
    <t>EMEFI PROF LYGIA CAMARGO PARDINI</t>
  </si>
  <si>
    <t>ELZA JUDITH CARMELO TORRES PROFESSRA EMEFI</t>
  </si>
  <si>
    <t>ELDA MOSCOGLIATO PROFESSORA EMEF</t>
  </si>
  <si>
    <t>MARISA MARGARIDA BASSO SCOTTI PROFESSA CEI</t>
  </si>
  <si>
    <t>JOAO MARIA DE ARAUJO JUNIOR DR EMEF</t>
  </si>
  <si>
    <t>ANGELINO DE OLIVEIRA EMEF</t>
  </si>
  <si>
    <t>MOZART MORAIS PROFESSOR EMEFI</t>
  </si>
  <si>
    <t>LUIZ TACITO VIRGINIO DOS SANTOS PROFESSOR EMEF</t>
  </si>
  <si>
    <t>ROMUALDO JOSE BALESTRIM CEI</t>
  </si>
  <si>
    <t>AIDA HELOISA AVILA PROFA CEI</t>
  </si>
  <si>
    <t>LUIZ CARLOS ARANHA PACHECO PROFESSOR EMEFI</t>
  </si>
  <si>
    <t>MARTINHO NOGUEIRA PROFESSOR EMEF</t>
  </si>
  <si>
    <t>TEREZINHA PAES SECCO PROFESSORA EMEFI</t>
  </si>
  <si>
    <t>NAIR PERES SARTORI PROFESSORA EMEE</t>
  </si>
  <si>
    <t>NAIR AMARAL PROFESSORA EMEFI</t>
  </si>
  <si>
    <t>FRANCISCO GUEDELHA PROFESSOR EMEF</t>
  </si>
  <si>
    <t>SECRETARIA MUNICIPAL DE EDUCACAO</t>
  </si>
  <si>
    <t>MERENDA ESCOLAR</t>
  </si>
  <si>
    <t>JUREMA RAMOS CORDEIRO PROFESSORA CEI</t>
  </si>
  <si>
    <t>FUNEAS - HOSP. REG. DO NORTE PIONEIRO - HRNP - PLATINA</t>
  </si>
  <si>
    <t>FUNEAS - HOSP. REGIONAL IVAIPORA - HRIV - IVAIPORA</t>
  </si>
  <si>
    <t>FUNEAS - HOSP. REG. TELEMACO BORBA - HRTB - TELEMACO BORBA</t>
  </si>
  <si>
    <t>TRIB. DE JUSTIÇA PR/REGIÃO DE PONTA GROSSA - TELEMACO BORBA (FORUM CENTRAL)</t>
  </si>
  <si>
    <t>TRIB. DE JUSTIÇA PR/REGIÃO PONTA GROSSA - TELEMACO BORBA</t>
  </si>
  <si>
    <t>ASSISTENTE DE DP BASE</t>
  </si>
  <si>
    <t>PROFISSIONAL DE APOIO ESCOLAR</t>
  </si>
  <si>
    <t>PROFISSIONAL DE APOIO ESCOLAR - COM ACUMULO DE FUNÇÃO</t>
  </si>
  <si>
    <t>AGENTE DE HIGIENIZAÇÃO - INSALUBRIDADE 40%</t>
  </si>
  <si>
    <t>S/ SUPERVISOR</t>
  </si>
  <si>
    <t>CODIGO</t>
  </si>
  <si>
    <t>ADMISSAO</t>
  </si>
  <si>
    <t>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</si>
</sst>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0"/>
      <name val="Arial"/>
    </font>
    <font>
      <sz val="10"/>
      <name val="Arial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8"/>
      <name val="Arial"/>
      <family val="2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u/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3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3" borderId="0" xfId="1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1" fontId="3" fillId="0" borderId="0" xfId="0" applyNumberFormat="1" applyFont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0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9" formatCode="dd/mm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65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93D79-19FD-41FD-9BE6-EF4486FE9985}" name="TCC" displayName="TCC" ref="B1:E349" totalsRowShown="0">
  <autoFilter ref="B1:E349" xr:uid="{0D093D79-19FD-41FD-9BE6-EF4486FE9985}"/>
  <sortState xmlns:xlrd2="http://schemas.microsoft.com/office/spreadsheetml/2017/richdata2" ref="B2:E346">
    <sortCondition ref="C1:C346"/>
  </sortState>
  <tableColumns count="4">
    <tableColumn id="1" xr3:uid="{0AE675EB-5B0B-4C06-96E9-0FBE454D3005}" name="CENTRO" dataDxfId="3"/>
    <tableColumn id="5" xr3:uid="{2C48BEB1-7FC2-4239-BD91-8C2AFC19F8E4}" name="DEPARTAMENTO" dataDxfId="2"/>
    <tableColumn id="2" xr3:uid="{3E835C0A-376F-47C3-BE0B-9908FCAC25CB}" name="LOCAL" dataDxfId="1"/>
    <tableColumn id="3" xr3:uid="{0CCBE0F3-1526-4A3A-BD29-5347A27E8E27}" name="SUPERVISOR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47F66-E9A6-4EF8-82DA-933119B82F72}" name="TED" displayName="TED" ref="A1:K2307" totalsRowShown="0" headerRowDxfId="19" dataDxfId="17" headerRowBorderDxfId="18" tableBorderDxfId="16" totalsRowBorderDxfId="15">
  <autoFilter ref="A1:K2307" xr:uid="{48247F66-E9A6-4EF8-82DA-933119B82F72}"/>
  <sortState xmlns:xlrd2="http://schemas.microsoft.com/office/spreadsheetml/2017/richdata2" ref="A67:K630">
    <sortCondition ref="C1:C1947"/>
  </sortState>
  <tableColumns count="11">
    <tableColumn id="1" xr3:uid="{39475761-35ED-4DB2-94B4-6CE2868BF171}" name="CODIGO" dataDxfId="14"/>
    <tableColumn id="2" xr3:uid="{CE7A692B-112C-44F7-B0C1-1F03AA9D116E}" name="NOME" dataDxfId="13"/>
    <tableColumn id="9" xr3:uid="{878C719D-F118-410C-A854-08FE2264FCC4}" name="SUPERVISOR" dataDxfId="12">
      <calculatedColumnFormula>IFERROR(VLOOKUP(TED[[#This Row],[CENTRO]],'CENTRO DE CUSTO'!B:E,4,FALSE)," ")</calculatedColumnFormula>
    </tableColumn>
    <tableColumn id="12" xr3:uid="{ED2C437E-8223-4F3F-9D75-5639406B0C02}" name="DPTO" dataDxfId="11"/>
    <tableColumn id="3" xr3:uid="{55D1BB9C-0B24-40D6-AF67-06C67B7D5420}" name="CENTRO" dataDxfId="10"/>
    <tableColumn id="4" xr3:uid="{6E6318C5-57D7-4E82-87D9-8717AC681094}" name="LOCAL" dataDxfId="9"/>
    <tableColumn id="5" xr3:uid="{0A2453B8-81F1-453C-9401-684EAD81B94C}" name="HORAS MÊS" dataDxfId="8"/>
    <tableColumn id="6" xr3:uid="{273654C6-293F-41F3-BEE0-C4872105482A}" name="ADMISSAO" dataDxfId="7"/>
    <tableColumn id="7" xr3:uid="{91785E65-BCF7-477B-B187-1C8D304F015A}" name="CARGO" dataDxfId="6"/>
    <tableColumn id="10" xr3:uid="{C5920855-1E78-4AA7-9C6D-CD0E8B2D5DC5}" name="STATUS" dataDxfId="5">
      <calculatedColumnFormula>IF(OR(TED[[#This Row],[SITUACAO]]=1,TED[[#This Row],[SITUACAO]]=9,TED[[#This Row],[SITUACAO]]=18),"ATIVO","AFASTADO")</calculatedColumnFormula>
    </tableColumn>
    <tableColumn id="8" xr3:uid="{578145A8-D9EC-4983-BB8D-5D0C03DE6048}" name="SITUACAO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17BE-313C-4BCD-A1B0-09F09E078A9A}">
  <dimension ref="B1:E1354"/>
  <sheetViews>
    <sheetView showGridLines="0" zoomScale="85" zoomScaleNormal="85" workbookViewId="0">
      <selection activeCell="D9" sqref="D9"/>
    </sheetView>
  </sheetViews>
  <sheetFormatPr defaultRowHeight="15.6" x14ac:dyDescent="0.25"/>
  <cols>
    <col min="1" max="1" width="2" customWidth="1"/>
    <col min="2" max="2" width="14.44140625" style="3" bestFit="1" customWidth="1"/>
    <col min="3" max="3" width="23.33203125" style="3" bestFit="1" customWidth="1"/>
    <col min="4" max="4" width="96.33203125" style="4" bestFit="1" customWidth="1"/>
    <col min="5" max="5" width="23" style="5" bestFit="1" customWidth="1"/>
    <col min="6" max="6" width="3" customWidth="1"/>
  </cols>
  <sheetData>
    <row r="1" spans="2:5" x14ac:dyDescent="0.25">
      <c r="B1" s="1" t="s">
        <v>924</v>
      </c>
      <c r="C1" s="1" t="s">
        <v>926</v>
      </c>
      <c r="D1" s="1" t="s">
        <v>925</v>
      </c>
      <c r="E1" s="5" t="s">
        <v>923</v>
      </c>
    </row>
    <row r="2" spans="2:5" x14ac:dyDescent="0.25">
      <c r="B2" s="17">
        <v>28000</v>
      </c>
      <c r="C2" s="17">
        <v>28</v>
      </c>
      <c r="D2" s="2" t="s">
        <v>2021</v>
      </c>
      <c r="E2" s="5" t="s">
        <v>2213</v>
      </c>
    </row>
    <row r="3" spans="2:5" x14ac:dyDescent="0.25">
      <c r="B3" s="14">
        <v>76000</v>
      </c>
      <c r="C3" s="15">
        <v>76</v>
      </c>
      <c r="D3" s="6" t="s">
        <v>1898</v>
      </c>
      <c r="E3" s="5" t="s">
        <v>1997</v>
      </c>
    </row>
    <row r="4" spans="2:5" x14ac:dyDescent="0.25">
      <c r="B4" s="14">
        <v>76001</v>
      </c>
      <c r="C4" s="15">
        <v>76</v>
      </c>
      <c r="D4" s="6" t="s">
        <v>1899</v>
      </c>
      <c r="E4" s="5" t="s">
        <v>1997</v>
      </c>
    </row>
    <row r="5" spans="2:5" x14ac:dyDescent="0.25">
      <c r="B5" s="7">
        <v>87200</v>
      </c>
      <c r="C5" s="8">
        <v>87</v>
      </c>
      <c r="D5" s="2" t="s">
        <v>599</v>
      </c>
      <c r="E5" s="5" t="s">
        <v>2208</v>
      </c>
    </row>
    <row r="6" spans="2:5" x14ac:dyDescent="0.25">
      <c r="B6" s="7">
        <v>87481</v>
      </c>
      <c r="C6" s="8">
        <v>87</v>
      </c>
      <c r="D6" s="2" t="s">
        <v>613</v>
      </c>
      <c r="E6" s="5" t="s">
        <v>2208</v>
      </c>
    </row>
    <row r="7" spans="2:5" x14ac:dyDescent="0.25">
      <c r="B7" s="15">
        <v>87127</v>
      </c>
      <c r="C7" s="18">
        <v>87</v>
      </c>
      <c r="D7" s="19" t="s">
        <v>576</v>
      </c>
      <c r="E7" s="5" t="s">
        <v>2211</v>
      </c>
    </row>
    <row r="8" spans="2:5" x14ac:dyDescent="0.25">
      <c r="B8" s="15">
        <v>87015</v>
      </c>
      <c r="C8" s="18">
        <v>87</v>
      </c>
      <c r="D8" s="19" t="s">
        <v>32</v>
      </c>
      <c r="E8" s="5" t="s">
        <v>2211</v>
      </c>
    </row>
    <row r="9" spans="2:5" x14ac:dyDescent="0.25">
      <c r="B9" s="15">
        <v>87016</v>
      </c>
      <c r="C9" s="18">
        <v>87</v>
      </c>
      <c r="D9" s="19" t="s">
        <v>36</v>
      </c>
      <c r="E9" s="5" t="s">
        <v>2211</v>
      </c>
    </row>
    <row r="10" spans="2:5" x14ac:dyDescent="0.25">
      <c r="B10" s="15">
        <v>87022</v>
      </c>
      <c r="C10" s="18">
        <v>87</v>
      </c>
      <c r="D10" s="19" t="s">
        <v>59</v>
      </c>
      <c r="E10" s="5" t="s">
        <v>2211</v>
      </c>
    </row>
    <row r="11" spans="2:5" x14ac:dyDescent="0.25">
      <c r="B11" s="15">
        <v>87025</v>
      </c>
      <c r="C11" s="18">
        <v>87</v>
      </c>
      <c r="D11" s="19" t="s">
        <v>73</v>
      </c>
      <c r="E11" s="5" t="s">
        <v>2211</v>
      </c>
    </row>
    <row r="12" spans="2:5" x14ac:dyDescent="0.25">
      <c r="B12" s="15">
        <v>87027</v>
      </c>
      <c r="C12" s="18">
        <v>87</v>
      </c>
      <c r="D12" s="19" t="s">
        <v>81</v>
      </c>
      <c r="E12" s="5" t="s">
        <v>2211</v>
      </c>
    </row>
    <row r="13" spans="2:5" x14ac:dyDescent="0.25">
      <c r="B13" s="15">
        <v>87037</v>
      </c>
      <c r="C13" s="18">
        <v>87</v>
      </c>
      <c r="D13" s="19" t="s">
        <v>123</v>
      </c>
      <c r="E13" s="5" t="s">
        <v>2211</v>
      </c>
    </row>
    <row r="14" spans="2:5" x14ac:dyDescent="0.25">
      <c r="B14" s="15">
        <v>87044</v>
      </c>
      <c r="C14" s="18">
        <v>87</v>
      </c>
      <c r="D14" s="19" t="s">
        <v>161</v>
      </c>
      <c r="E14" s="5" t="s">
        <v>2211</v>
      </c>
    </row>
    <row r="15" spans="2:5" x14ac:dyDescent="0.25">
      <c r="B15" s="15">
        <v>87004</v>
      </c>
      <c r="C15" s="18">
        <v>87</v>
      </c>
      <c r="D15" s="19" t="s">
        <v>6</v>
      </c>
      <c r="E15" s="5" t="s">
        <v>2211</v>
      </c>
    </row>
    <row r="16" spans="2:5" x14ac:dyDescent="0.25">
      <c r="B16" s="15">
        <v>87003</v>
      </c>
      <c r="C16" s="18">
        <v>87</v>
      </c>
      <c r="D16" s="19" t="s">
        <v>2</v>
      </c>
      <c r="E16" s="5" t="s">
        <v>2211</v>
      </c>
    </row>
    <row r="17" spans="2:5" x14ac:dyDescent="0.25">
      <c r="B17" s="15">
        <v>87056</v>
      </c>
      <c r="C17" s="18">
        <v>87</v>
      </c>
      <c r="D17" s="19" t="s">
        <v>218</v>
      </c>
      <c r="E17" s="5" t="s">
        <v>2211</v>
      </c>
    </row>
    <row r="18" spans="2:5" x14ac:dyDescent="0.25">
      <c r="B18" s="15">
        <v>87060</v>
      </c>
      <c r="C18" s="18">
        <v>87</v>
      </c>
      <c r="D18" s="19" t="s">
        <v>240</v>
      </c>
      <c r="E18" s="5" t="s">
        <v>2211</v>
      </c>
    </row>
    <row r="19" spans="2:5" x14ac:dyDescent="0.25">
      <c r="B19" s="15">
        <v>87062</v>
      </c>
      <c r="C19" s="18">
        <v>87</v>
      </c>
      <c r="D19" s="19" t="s">
        <v>252</v>
      </c>
      <c r="E19" s="5" t="s">
        <v>2211</v>
      </c>
    </row>
    <row r="20" spans="2:5" x14ac:dyDescent="0.25">
      <c r="B20" s="15">
        <v>87068</v>
      </c>
      <c r="C20" s="18">
        <v>87</v>
      </c>
      <c r="D20" s="19" t="s">
        <v>288</v>
      </c>
      <c r="E20" s="5" t="s">
        <v>2211</v>
      </c>
    </row>
    <row r="21" spans="2:5" x14ac:dyDescent="0.25">
      <c r="B21" s="15">
        <v>87069</v>
      </c>
      <c r="C21" s="18">
        <v>87</v>
      </c>
      <c r="D21" s="19" t="s">
        <v>293</v>
      </c>
      <c r="E21" s="5" t="s">
        <v>2211</v>
      </c>
    </row>
    <row r="22" spans="2:5" x14ac:dyDescent="0.25">
      <c r="B22" s="15">
        <v>87072</v>
      </c>
      <c r="C22" s="18">
        <v>87</v>
      </c>
      <c r="D22" s="19" t="s">
        <v>304</v>
      </c>
      <c r="E22" s="5" t="s">
        <v>2211</v>
      </c>
    </row>
    <row r="23" spans="2:5" x14ac:dyDescent="0.25">
      <c r="B23" s="15">
        <v>87076</v>
      </c>
      <c r="C23" s="18">
        <v>87</v>
      </c>
      <c r="D23" s="19" t="s">
        <v>324</v>
      </c>
      <c r="E23" s="5" t="s">
        <v>2211</v>
      </c>
    </row>
    <row r="24" spans="2:5" x14ac:dyDescent="0.25">
      <c r="B24" s="15">
        <v>87093</v>
      </c>
      <c r="C24" s="18">
        <v>87</v>
      </c>
      <c r="D24" s="19" t="s">
        <v>412</v>
      </c>
      <c r="E24" s="5" t="s">
        <v>2211</v>
      </c>
    </row>
    <row r="25" spans="2:5" x14ac:dyDescent="0.25">
      <c r="B25" s="15">
        <v>87096</v>
      </c>
      <c r="C25" s="18">
        <v>87</v>
      </c>
      <c r="D25" s="19" t="s">
        <v>426</v>
      </c>
      <c r="E25" s="5" t="s">
        <v>2211</v>
      </c>
    </row>
    <row r="26" spans="2:5" x14ac:dyDescent="0.25">
      <c r="B26" s="15">
        <v>87098</v>
      </c>
      <c r="C26" s="18">
        <v>87</v>
      </c>
      <c r="D26" s="19" t="s">
        <v>435</v>
      </c>
      <c r="E26" s="5" t="s">
        <v>2211</v>
      </c>
    </row>
    <row r="27" spans="2:5" x14ac:dyDescent="0.25">
      <c r="B27" s="15">
        <v>87100</v>
      </c>
      <c r="C27" s="18">
        <v>87</v>
      </c>
      <c r="D27" s="19" t="s">
        <v>448</v>
      </c>
      <c r="E27" s="5" t="s">
        <v>2211</v>
      </c>
    </row>
    <row r="28" spans="2:5" x14ac:dyDescent="0.25">
      <c r="B28" s="15">
        <v>87112</v>
      </c>
      <c r="C28" s="18">
        <v>87</v>
      </c>
      <c r="D28" s="19" t="s">
        <v>514</v>
      </c>
      <c r="E28" s="5" t="s">
        <v>2211</v>
      </c>
    </row>
    <row r="29" spans="2:5" x14ac:dyDescent="0.25">
      <c r="B29" s="15">
        <v>87122</v>
      </c>
      <c r="C29" s="18">
        <v>87</v>
      </c>
      <c r="D29" s="19" t="s">
        <v>560</v>
      </c>
      <c r="E29" s="5" t="s">
        <v>2211</v>
      </c>
    </row>
    <row r="30" spans="2:5" x14ac:dyDescent="0.25">
      <c r="B30" s="15">
        <v>87123</v>
      </c>
      <c r="C30" s="18">
        <v>87</v>
      </c>
      <c r="D30" s="19" t="s">
        <v>563</v>
      </c>
      <c r="E30" s="5" t="s">
        <v>2211</v>
      </c>
    </row>
    <row r="31" spans="2:5" x14ac:dyDescent="0.25">
      <c r="B31" s="15">
        <v>87124</v>
      </c>
      <c r="C31" s="18">
        <v>87</v>
      </c>
      <c r="D31" s="19" t="s">
        <v>572</v>
      </c>
      <c r="E31" s="5" t="s">
        <v>2211</v>
      </c>
    </row>
    <row r="32" spans="2:5" x14ac:dyDescent="0.25">
      <c r="B32" s="7">
        <v>87130</v>
      </c>
      <c r="C32" s="8">
        <v>87</v>
      </c>
      <c r="D32" s="2" t="s">
        <v>589</v>
      </c>
      <c r="E32" s="5" t="s">
        <v>2210</v>
      </c>
    </row>
    <row r="33" spans="2:5" x14ac:dyDescent="0.25">
      <c r="B33" s="7">
        <v>87482</v>
      </c>
      <c r="C33" s="8">
        <v>87</v>
      </c>
      <c r="D33" s="2" t="s">
        <v>626</v>
      </c>
      <c r="E33" s="5" t="s">
        <v>2210</v>
      </c>
    </row>
    <row r="34" spans="2:5" x14ac:dyDescent="0.25">
      <c r="B34" s="7">
        <v>87019</v>
      </c>
      <c r="C34" s="8">
        <v>87</v>
      </c>
      <c r="D34" s="2" t="s">
        <v>47</v>
      </c>
      <c r="E34" s="5" t="s">
        <v>2210</v>
      </c>
    </row>
    <row r="35" spans="2:5" x14ac:dyDescent="0.25">
      <c r="B35" s="7">
        <v>87024</v>
      </c>
      <c r="C35" s="8">
        <v>87</v>
      </c>
      <c r="D35" s="2" t="s">
        <v>70</v>
      </c>
      <c r="E35" s="5" t="s">
        <v>2210</v>
      </c>
    </row>
    <row r="36" spans="2:5" x14ac:dyDescent="0.25">
      <c r="B36" s="7">
        <v>87026</v>
      </c>
      <c r="C36" s="8">
        <v>87</v>
      </c>
      <c r="D36" s="2" t="s">
        <v>76</v>
      </c>
      <c r="E36" s="5" t="s">
        <v>2210</v>
      </c>
    </row>
    <row r="37" spans="2:5" x14ac:dyDescent="0.25">
      <c r="B37" s="7">
        <v>87032</v>
      </c>
      <c r="C37" s="8">
        <v>87</v>
      </c>
      <c r="D37" s="2" t="s">
        <v>98</v>
      </c>
      <c r="E37" s="5" t="s">
        <v>2210</v>
      </c>
    </row>
    <row r="38" spans="2:5" x14ac:dyDescent="0.25">
      <c r="B38" s="7">
        <v>87484</v>
      </c>
      <c r="C38" s="8">
        <v>87</v>
      </c>
      <c r="D38" s="2" t="s">
        <v>631</v>
      </c>
      <c r="E38" s="5" t="s">
        <v>2210</v>
      </c>
    </row>
    <row r="39" spans="2:5" x14ac:dyDescent="0.25">
      <c r="B39" s="7">
        <v>87038</v>
      </c>
      <c r="C39" s="8">
        <v>87</v>
      </c>
      <c r="D39" s="2" t="s">
        <v>128</v>
      </c>
      <c r="E39" s="5" t="s">
        <v>2210</v>
      </c>
    </row>
    <row r="40" spans="2:5" x14ac:dyDescent="0.25">
      <c r="B40" s="7">
        <v>87041</v>
      </c>
      <c r="C40" s="8">
        <v>87</v>
      </c>
      <c r="D40" s="2" t="s">
        <v>140</v>
      </c>
      <c r="E40" s="5" t="s">
        <v>2210</v>
      </c>
    </row>
    <row r="41" spans="2:5" x14ac:dyDescent="0.25">
      <c r="B41" s="7">
        <v>87046</v>
      </c>
      <c r="C41" s="8">
        <v>87</v>
      </c>
      <c r="D41" s="2" t="s">
        <v>170</v>
      </c>
      <c r="E41" s="5" t="s">
        <v>2210</v>
      </c>
    </row>
    <row r="42" spans="2:5" x14ac:dyDescent="0.25">
      <c r="B42" s="7">
        <v>87051</v>
      </c>
      <c r="C42" s="8">
        <v>87</v>
      </c>
      <c r="D42" s="2" t="s">
        <v>199</v>
      </c>
      <c r="E42" s="5" t="s">
        <v>2210</v>
      </c>
    </row>
    <row r="43" spans="2:5" x14ac:dyDescent="0.25">
      <c r="B43" s="7">
        <v>87054</v>
      </c>
      <c r="C43" s="8">
        <v>87</v>
      </c>
      <c r="D43" s="2" t="s">
        <v>209</v>
      </c>
      <c r="E43" s="5" t="s">
        <v>2210</v>
      </c>
    </row>
    <row r="44" spans="2:5" x14ac:dyDescent="0.25">
      <c r="B44" s="7">
        <v>87055</v>
      </c>
      <c r="C44" s="8">
        <v>87</v>
      </c>
      <c r="D44" s="2" t="s">
        <v>213</v>
      </c>
      <c r="E44" s="5" t="s">
        <v>2210</v>
      </c>
    </row>
    <row r="45" spans="2:5" x14ac:dyDescent="0.25">
      <c r="B45" s="7">
        <v>87057</v>
      </c>
      <c r="C45" s="8">
        <v>87</v>
      </c>
      <c r="D45" s="2" t="s">
        <v>224</v>
      </c>
      <c r="E45" s="5" t="s">
        <v>2210</v>
      </c>
    </row>
    <row r="46" spans="2:5" x14ac:dyDescent="0.25">
      <c r="B46" s="7">
        <v>87067</v>
      </c>
      <c r="C46" s="8">
        <v>87</v>
      </c>
      <c r="D46" s="2" t="s">
        <v>278</v>
      </c>
      <c r="E46" s="5" t="s">
        <v>2210</v>
      </c>
    </row>
    <row r="47" spans="2:5" x14ac:dyDescent="0.25">
      <c r="B47" s="7">
        <v>87071</v>
      </c>
      <c r="C47" s="8">
        <v>87</v>
      </c>
      <c r="D47" s="2" t="s">
        <v>299</v>
      </c>
      <c r="E47" s="5" t="s">
        <v>2210</v>
      </c>
    </row>
    <row r="48" spans="2:5" x14ac:dyDescent="0.25">
      <c r="B48" s="7">
        <v>87077</v>
      </c>
      <c r="C48" s="8">
        <v>87</v>
      </c>
      <c r="D48" s="2" t="s">
        <v>330</v>
      </c>
      <c r="E48" s="5" t="s">
        <v>2210</v>
      </c>
    </row>
    <row r="49" spans="2:5" x14ac:dyDescent="0.25">
      <c r="B49" s="7">
        <v>87078</v>
      </c>
      <c r="C49" s="8">
        <v>87</v>
      </c>
      <c r="D49" s="2" t="s">
        <v>337</v>
      </c>
      <c r="E49" s="5" t="s">
        <v>2210</v>
      </c>
    </row>
    <row r="50" spans="2:5" x14ac:dyDescent="0.25">
      <c r="B50" s="7">
        <v>87081</v>
      </c>
      <c r="C50" s="8">
        <v>87</v>
      </c>
      <c r="D50" s="2" t="s">
        <v>353</v>
      </c>
      <c r="E50" s="5" t="s">
        <v>2210</v>
      </c>
    </row>
    <row r="51" spans="2:5" x14ac:dyDescent="0.25">
      <c r="B51" s="7">
        <v>87086</v>
      </c>
      <c r="C51" s="8">
        <v>87</v>
      </c>
      <c r="D51" s="2" t="s">
        <v>376</v>
      </c>
      <c r="E51" s="5" t="s">
        <v>2210</v>
      </c>
    </row>
    <row r="52" spans="2:5" x14ac:dyDescent="0.25">
      <c r="B52" s="7">
        <v>87089</v>
      </c>
      <c r="C52" s="8">
        <v>87</v>
      </c>
      <c r="D52" s="2" t="s">
        <v>391</v>
      </c>
      <c r="E52" s="5" t="s">
        <v>2210</v>
      </c>
    </row>
    <row r="53" spans="2:5" x14ac:dyDescent="0.25">
      <c r="B53" s="7">
        <v>87101</v>
      </c>
      <c r="C53" s="8">
        <v>87</v>
      </c>
      <c r="D53" s="2" t="s">
        <v>451</v>
      </c>
      <c r="E53" s="5" t="s">
        <v>2210</v>
      </c>
    </row>
    <row r="54" spans="2:5" x14ac:dyDescent="0.25">
      <c r="B54" s="7">
        <v>87105</v>
      </c>
      <c r="C54" s="8">
        <v>87</v>
      </c>
      <c r="D54" s="2" t="s">
        <v>473</v>
      </c>
      <c r="E54" s="5" t="s">
        <v>2210</v>
      </c>
    </row>
    <row r="55" spans="2:5" x14ac:dyDescent="0.25">
      <c r="B55" s="7">
        <v>87106</v>
      </c>
      <c r="C55" s="8">
        <v>87</v>
      </c>
      <c r="D55" s="2" t="s">
        <v>477</v>
      </c>
      <c r="E55" s="5" t="s">
        <v>2210</v>
      </c>
    </row>
    <row r="56" spans="2:5" x14ac:dyDescent="0.25">
      <c r="B56" s="7">
        <v>87107</v>
      </c>
      <c r="C56" s="8">
        <v>87</v>
      </c>
      <c r="D56" s="2" t="s">
        <v>484</v>
      </c>
      <c r="E56" s="5" t="s">
        <v>2210</v>
      </c>
    </row>
    <row r="57" spans="2:5" x14ac:dyDescent="0.25">
      <c r="B57" s="7">
        <v>87110</v>
      </c>
      <c r="C57" s="8">
        <v>87</v>
      </c>
      <c r="D57" s="2" t="s">
        <v>502</v>
      </c>
      <c r="E57" s="5" t="s">
        <v>2210</v>
      </c>
    </row>
    <row r="58" spans="2:5" x14ac:dyDescent="0.25">
      <c r="B58" s="7">
        <v>87006</v>
      </c>
      <c r="C58" s="8">
        <v>87</v>
      </c>
      <c r="D58" s="2" t="s">
        <v>9</v>
      </c>
      <c r="E58" s="5" t="s">
        <v>2209</v>
      </c>
    </row>
    <row r="59" spans="2:5" x14ac:dyDescent="0.25">
      <c r="B59" s="7">
        <v>87013</v>
      </c>
      <c r="C59" s="8">
        <v>87</v>
      </c>
      <c r="D59" s="2" t="s">
        <v>25</v>
      </c>
      <c r="E59" s="5" t="s">
        <v>2209</v>
      </c>
    </row>
    <row r="60" spans="2:5" x14ac:dyDescent="0.25">
      <c r="B60" s="7">
        <v>87014</v>
      </c>
      <c r="C60" s="8">
        <v>87</v>
      </c>
      <c r="D60" s="2" t="s">
        <v>29</v>
      </c>
      <c r="E60" s="5" t="s">
        <v>2209</v>
      </c>
    </row>
    <row r="61" spans="2:5" x14ac:dyDescent="0.25">
      <c r="B61" s="7">
        <v>87021</v>
      </c>
      <c r="C61" s="8">
        <v>87</v>
      </c>
      <c r="D61" s="2" t="s">
        <v>55</v>
      </c>
      <c r="E61" s="5" t="s">
        <v>2209</v>
      </c>
    </row>
    <row r="62" spans="2:5" x14ac:dyDescent="0.25">
      <c r="B62" s="7">
        <v>87034</v>
      </c>
      <c r="C62" s="8">
        <v>87</v>
      </c>
      <c r="D62" s="2" t="s">
        <v>106</v>
      </c>
      <c r="E62" s="5" t="s">
        <v>2209</v>
      </c>
    </row>
    <row r="63" spans="2:5" x14ac:dyDescent="0.25">
      <c r="B63" s="7">
        <v>87040</v>
      </c>
      <c r="C63" s="8">
        <v>87</v>
      </c>
      <c r="D63" s="2" t="s">
        <v>136</v>
      </c>
      <c r="E63" s="5" t="s">
        <v>2209</v>
      </c>
    </row>
    <row r="64" spans="2:5" x14ac:dyDescent="0.25">
      <c r="B64" s="7">
        <v>87042</v>
      </c>
      <c r="C64" s="8">
        <v>87</v>
      </c>
      <c r="D64" s="2" t="s">
        <v>151</v>
      </c>
      <c r="E64" s="5" t="s">
        <v>2209</v>
      </c>
    </row>
    <row r="65" spans="2:5" x14ac:dyDescent="0.25">
      <c r="B65" s="7">
        <v>87047</v>
      </c>
      <c r="C65" s="8">
        <v>87</v>
      </c>
      <c r="D65" s="2" t="s">
        <v>181</v>
      </c>
      <c r="E65" s="5" t="s">
        <v>2209</v>
      </c>
    </row>
    <row r="66" spans="2:5" x14ac:dyDescent="0.25">
      <c r="B66" s="7">
        <v>87049</v>
      </c>
      <c r="C66" s="8">
        <v>87</v>
      </c>
      <c r="D66" s="2" t="s">
        <v>187</v>
      </c>
      <c r="E66" s="5" t="s">
        <v>2209</v>
      </c>
    </row>
    <row r="67" spans="2:5" x14ac:dyDescent="0.25">
      <c r="B67" s="7">
        <v>87053</v>
      </c>
      <c r="C67" s="8">
        <v>87</v>
      </c>
      <c r="D67" s="2" t="s">
        <v>207</v>
      </c>
      <c r="E67" s="5" t="s">
        <v>2209</v>
      </c>
    </row>
    <row r="68" spans="2:5" x14ac:dyDescent="0.25">
      <c r="B68" s="7">
        <v>87063</v>
      </c>
      <c r="C68" s="8">
        <v>87</v>
      </c>
      <c r="D68" s="2" t="s">
        <v>256</v>
      </c>
      <c r="E68" s="5" t="s">
        <v>2209</v>
      </c>
    </row>
    <row r="69" spans="2:5" x14ac:dyDescent="0.25">
      <c r="B69" s="7">
        <v>87066</v>
      </c>
      <c r="C69" s="8">
        <v>87</v>
      </c>
      <c r="D69" s="2" t="s">
        <v>272</v>
      </c>
      <c r="E69" s="5" t="s">
        <v>2209</v>
      </c>
    </row>
    <row r="70" spans="2:5" x14ac:dyDescent="0.25">
      <c r="B70" s="7">
        <v>87073</v>
      </c>
      <c r="C70" s="8">
        <v>87</v>
      </c>
      <c r="D70" s="2" t="s">
        <v>309</v>
      </c>
      <c r="E70" s="5" t="s">
        <v>2209</v>
      </c>
    </row>
    <row r="71" spans="2:5" x14ac:dyDescent="0.25">
      <c r="B71" s="7">
        <v>87079</v>
      </c>
      <c r="C71" s="8">
        <v>87</v>
      </c>
      <c r="D71" s="2" t="s">
        <v>340</v>
      </c>
      <c r="E71" s="5" t="s">
        <v>2209</v>
      </c>
    </row>
    <row r="72" spans="2:5" x14ac:dyDescent="0.25">
      <c r="B72" s="7">
        <v>87080</v>
      </c>
      <c r="C72" s="8">
        <v>87</v>
      </c>
      <c r="D72" s="2" t="s">
        <v>347</v>
      </c>
      <c r="E72" s="5" t="s">
        <v>2209</v>
      </c>
    </row>
    <row r="73" spans="2:5" x14ac:dyDescent="0.25">
      <c r="B73" s="7">
        <v>87082</v>
      </c>
      <c r="C73" s="8">
        <v>87</v>
      </c>
      <c r="D73" s="2" t="s">
        <v>359</v>
      </c>
      <c r="E73" s="5" t="s">
        <v>2209</v>
      </c>
    </row>
    <row r="74" spans="2:5" x14ac:dyDescent="0.25">
      <c r="B74" s="7">
        <v>87085</v>
      </c>
      <c r="C74" s="8">
        <v>87</v>
      </c>
      <c r="D74" s="2" t="s">
        <v>370</v>
      </c>
      <c r="E74" s="5" t="s">
        <v>2209</v>
      </c>
    </row>
    <row r="75" spans="2:5" x14ac:dyDescent="0.25">
      <c r="B75" s="7">
        <v>87095</v>
      </c>
      <c r="C75" s="8">
        <v>87</v>
      </c>
      <c r="D75" s="2" t="s">
        <v>421</v>
      </c>
      <c r="E75" s="5" t="s">
        <v>2209</v>
      </c>
    </row>
    <row r="76" spans="2:5" x14ac:dyDescent="0.25">
      <c r="B76" s="7">
        <v>87097</v>
      </c>
      <c r="C76" s="8">
        <v>87</v>
      </c>
      <c r="D76" s="2" t="s">
        <v>430</v>
      </c>
      <c r="E76" s="5" t="s">
        <v>2209</v>
      </c>
    </row>
    <row r="77" spans="2:5" x14ac:dyDescent="0.25">
      <c r="B77" s="7">
        <v>87099</v>
      </c>
      <c r="C77" s="8">
        <v>87</v>
      </c>
      <c r="D77" s="2" t="s">
        <v>443</v>
      </c>
      <c r="E77" s="5" t="s">
        <v>2209</v>
      </c>
    </row>
    <row r="78" spans="2:5" x14ac:dyDescent="0.25">
      <c r="B78" s="7">
        <v>87108</v>
      </c>
      <c r="C78" s="8">
        <v>87</v>
      </c>
      <c r="D78" s="2" t="s">
        <v>491</v>
      </c>
      <c r="E78" s="5" t="s">
        <v>2209</v>
      </c>
    </row>
    <row r="79" spans="2:5" x14ac:dyDescent="0.25">
      <c r="B79" s="7">
        <v>87131</v>
      </c>
      <c r="C79" s="8">
        <v>87</v>
      </c>
      <c r="D79" s="2" t="s">
        <v>592</v>
      </c>
      <c r="E79" s="5" t="s">
        <v>2209</v>
      </c>
    </row>
    <row r="80" spans="2:5" x14ac:dyDescent="0.25">
      <c r="B80" s="7">
        <v>87116</v>
      </c>
      <c r="C80" s="8">
        <v>87</v>
      </c>
      <c r="D80" s="2" t="s">
        <v>534</v>
      </c>
      <c r="E80" s="5" t="s">
        <v>2209</v>
      </c>
    </row>
    <row r="81" spans="2:5" x14ac:dyDescent="0.25">
      <c r="B81" s="7">
        <v>87120</v>
      </c>
      <c r="C81" s="8">
        <v>87</v>
      </c>
      <c r="D81" s="2" t="s">
        <v>554</v>
      </c>
      <c r="E81" s="5" t="s">
        <v>2209</v>
      </c>
    </row>
    <row r="82" spans="2:5" x14ac:dyDescent="0.25">
      <c r="B82" s="7">
        <v>87007</v>
      </c>
      <c r="C82" s="8">
        <v>87</v>
      </c>
      <c r="D82" s="2" t="s">
        <v>12</v>
      </c>
      <c r="E82" s="5" t="s">
        <v>2810</v>
      </c>
    </row>
    <row r="83" spans="2:5" x14ac:dyDescent="0.25">
      <c r="B83" s="7">
        <v>87009</v>
      </c>
      <c r="C83" s="8">
        <v>87</v>
      </c>
      <c r="D83" s="2" t="s">
        <v>14</v>
      </c>
      <c r="E83" s="5" t="s">
        <v>2810</v>
      </c>
    </row>
    <row r="84" spans="2:5" x14ac:dyDescent="0.25">
      <c r="B84" s="7">
        <v>87023</v>
      </c>
      <c r="C84" s="8">
        <v>87</v>
      </c>
      <c r="D84" s="2" t="s">
        <v>65</v>
      </c>
      <c r="E84" s="5" t="s">
        <v>2810</v>
      </c>
    </row>
    <row r="85" spans="2:5" x14ac:dyDescent="0.25">
      <c r="B85" s="7">
        <v>87028</v>
      </c>
      <c r="C85" s="8">
        <v>87</v>
      </c>
      <c r="D85" s="2" t="s">
        <v>84</v>
      </c>
      <c r="E85" s="5" t="s">
        <v>2810</v>
      </c>
    </row>
    <row r="86" spans="2:5" x14ac:dyDescent="0.25">
      <c r="B86" s="7">
        <v>87029</v>
      </c>
      <c r="C86" s="8">
        <v>87</v>
      </c>
      <c r="D86" s="2" t="s">
        <v>86</v>
      </c>
      <c r="E86" s="5" t="s">
        <v>2810</v>
      </c>
    </row>
    <row r="87" spans="2:5" x14ac:dyDescent="0.25">
      <c r="B87" s="7">
        <v>87030</v>
      </c>
      <c r="C87" s="8">
        <v>87</v>
      </c>
      <c r="D87" s="2" t="s">
        <v>88</v>
      </c>
      <c r="E87" s="5" t="s">
        <v>2810</v>
      </c>
    </row>
    <row r="88" spans="2:5" x14ac:dyDescent="0.25">
      <c r="B88" s="7">
        <v>87035</v>
      </c>
      <c r="C88" s="8">
        <v>87</v>
      </c>
      <c r="D88" s="2" t="s">
        <v>109</v>
      </c>
      <c r="E88" s="5" t="s">
        <v>2810</v>
      </c>
    </row>
    <row r="89" spans="2:5" x14ac:dyDescent="0.25">
      <c r="B89" s="7">
        <v>87036</v>
      </c>
      <c r="C89" s="8">
        <v>87</v>
      </c>
      <c r="D89" s="2" t="s">
        <v>112</v>
      </c>
      <c r="E89" s="5" t="s">
        <v>2810</v>
      </c>
    </row>
    <row r="90" spans="2:5" x14ac:dyDescent="0.25">
      <c r="B90" s="7">
        <v>87039</v>
      </c>
      <c r="C90" s="8">
        <v>87</v>
      </c>
      <c r="D90" s="2" t="s">
        <v>131</v>
      </c>
      <c r="E90" s="5" t="s">
        <v>2810</v>
      </c>
    </row>
    <row r="91" spans="2:5" x14ac:dyDescent="0.25">
      <c r="B91" s="7">
        <v>87483</v>
      </c>
      <c r="C91" s="8">
        <v>87</v>
      </c>
      <c r="D91" s="2" t="s">
        <v>629</v>
      </c>
      <c r="E91" s="5" t="s">
        <v>2810</v>
      </c>
    </row>
    <row r="92" spans="2:5" x14ac:dyDescent="0.25">
      <c r="B92" s="7">
        <v>87043</v>
      </c>
      <c r="C92" s="8">
        <v>87</v>
      </c>
      <c r="D92" s="2" t="s">
        <v>154</v>
      </c>
      <c r="E92" s="5" t="s">
        <v>2810</v>
      </c>
    </row>
    <row r="93" spans="2:5" x14ac:dyDescent="0.25">
      <c r="B93" s="7">
        <v>87045</v>
      </c>
      <c r="C93" s="8">
        <v>87</v>
      </c>
      <c r="D93" s="2" t="s">
        <v>166</v>
      </c>
      <c r="E93" s="5" t="s">
        <v>2810</v>
      </c>
    </row>
    <row r="94" spans="2:5" x14ac:dyDescent="0.25">
      <c r="B94" s="7">
        <v>87058</v>
      </c>
      <c r="C94" s="8">
        <v>87</v>
      </c>
      <c r="D94" s="2" t="s">
        <v>231</v>
      </c>
      <c r="E94" s="5" t="s">
        <v>2810</v>
      </c>
    </row>
    <row r="95" spans="2:5" x14ac:dyDescent="0.25">
      <c r="B95" s="7">
        <v>87059</v>
      </c>
      <c r="C95" s="8">
        <v>87</v>
      </c>
      <c r="D95" s="2" t="s">
        <v>235</v>
      </c>
      <c r="E95" s="5" t="s">
        <v>2810</v>
      </c>
    </row>
    <row r="96" spans="2:5" x14ac:dyDescent="0.25">
      <c r="B96" s="7">
        <v>87065</v>
      </c>
      <c r="C96" s="8">
        <v>87</v>
      </c>
      <c r="D96" s="2" t="s">
        <v>267</v>
      </c>
      <c r="E96" s="5" t="s">
        <v>2810</v>
      </c>
    </row>
    <row r="97" spans="2:5" x14ac:dyDescent="0.25">
      <c r="B97" s="7">
        <v>87087</v>
      </c>
      <c r="C97" s="8">
        <v>87</v>
      </c>
      <c r="D97" s="2" t="s">
        <v>381</v>
      </c>
      <c r="E97" s="5" t="s">
        <v>2810</v>
      </c>
    </row>
    <row r="98" spans="2:5" x14ac:dyDescent="0.25">
      <c r="B98" s="7">
        <v>87088</v>
      </c>
      <c r="C98" s="8">
        <v>87</v>
      </c>
      <c r="D98" s="2" t="s">
        <v>384</v>
      </c>
      <c r="E98" s="5" t="s">
        <v>2810</v>
      </c>
    </row>
    <row r="99" spans="2:5" x14ac:dyDescent="0.25">
      <c r="B99" s="7">
        <v>87092</v>
      </c>
      <c r="C99" s="8">
        <v>87</v>
      </c>
      <c r="D99" s="2" t="s">
        <v>405</v>
      </c>
      <c r="E99" s="5" t="s">
        <v>2810</v>
      </c>
    </row>
    <row r="100" spans="2:5" x14ac:dyDescent="0.25">
      <c r="B100" s="7">
        <v>87094</v>
      </c>
      <c r="C100" s="8">
        <v>87</v>
      </c>
      <c r="D100" s="2" t="s">
        <v>417</v>
      </c>
      <c r="E100" s="5" t="s">
        <v>2810</v>
      </c>
    </row>
    <row r="101" spans="2:5" x14ac:dyDescent="0.25">
      <c r="B101" s="7">
        <v>87102</v>
      </c>
      <c r="C101" s="8">
        <v>87</v>
      </c>
      <c r="D101" s="2" t="s">
        <v>455</v>
      </c>
      <c r="E101" s="5" t="s">
        <v>2810</v>
      </c>
    </row>
    <row r="102" spans="2:5" x14ac:dyDescent="0.25">
      <c r="B102" s="7">
        <v>87103</v>
      </c>
      <c r="C102" s="8">
        <v>87</v>
      </c>
      <c r="D102" s="2" t="s">
        <v>459</v>
      </c>
      <c r="E102" s="5" t="s">
        <v>2810</v>
      </c>
    </row>
    <row r="103" spans="2:5" x14ac:dyDescent="0.25">
      <c r="B103" s="7">
        <v>87104</v>
      </c>
      <c r="C103" s="8">
        <v>87</v>
      </c>
      <c r="D103" s="2" t="s">
        <v>467</v>
      </c>
      <c r="E103" s="5" t="s">
        <v>2810</v>
      </c>
    </row>
    <row r="104" spans="2:5" x14ac:dyDescent="0.25">
      <c r="B104" s="7">
        <v>87129</v>
      </c>
      <c r="C104" s="8">
        <v>87</v>
      </c>
      <c r="D104" s="2" t="s">
        <v>582</v>
      </c>
      <c r="E104" s="5" t="s">
        <v>2810</v>
      </c>
    </row>
    <row r="105" spans="2:5" x14ac:dyDescent="0.25">
      <c r="B105" s="7">
        <v>87111</v>
      </c>
      <c r="C105" s="8">
        <v>87</v>
      </c>
      <c r="D105" s="2" t="s">
        <v>506</v>
      </c>
      <c r="E105" s="5" t="s">
        <v>2810</v>
      </c>
    </row>
    <row r="106" spans="2:5" x14ac:dyDescent="0.25">
      <c r="B106" s="7">
        <v>87128</v>
      </c>
      <c r="C106" s="8">
        <v>87</v>
      </c>
      <c r="D106" s="2" t="s">
        <v>580</v>
      </c>
      <c r="E106" s="5" t="s">
        <v>2810</v>
      </c>
    </row>
    <row r="107" spans="2:5" x14ac:dyDescent="0.25">
      <c r="B107" s="7">
        <v>87115</v>
      </c>
      <c r="C107" s="8">
        <v>87</v>
      </c>
      <c r="D107" s="2" t="s">
        <v>528</v>
      </c>
      <c r="E107" s="5" t="s">
        <v>2810</v>
      </c>
    </row>
    <row r="108" spans="2:5" x14ac:dyDescent="0.25">
      <c r="B108" s="7">
        <v>87118</v>
      </c>
      <c r="C108" s="8">
        <v>87</v>
      </c>
      <c r="D108" s="2" t="s">
        <v>544</v>
      </c>
      <c r="E108" s="5" t="s">
        <v>2810</v>
      </c>
    </row>
    <row r="109" spans="2:5" x14ac:dyDescent="0.25">
      <c r="B109" s="7">
        <v>87121</v>
      </c>
      <c r="C109" s="8">
        <v>87</v>
      </c>
      <c r="D109" s="2" t="s">
        <v>557</v>
      </c>
      <c r="E109" s="5" t="s">
        <v>2810</v>
      </c>
    </row>
    <row r="110" spans="2:5" x14ac:dyDescent="0.25">
      <c r="B110" s="7">
        <v>87011</v>
      </c>
      <c r="C110" s="8">
        <v>87</v>
      </c>
      <c r="D110" s="2" t="s">
        <v>18</v>
      </c>
      <c r="E110" s="5" t="s">
        <v>922</v>
      </c>
    </row>
    <row r="111" spans="2:5" x14ac:dyDescent="0.25">
      <c r="B111" s="7">
        <v>87012</v>
      </c>
      <c r="C111" s="8">
        <v>87</v>
      </c>
      <c r="D111" s="2" t="s">
        <v>22</v>
      </c>
      <c r="E111" s="5" t="s">
        <v>922</v>
      </c>
    </row>
    <row r="112" spans="2:5" x14ac:dyDescent="0.25">
      <c r="B112" s="7">
        <v>87017</v>
      </c>
      <c r="C112" s="8">
        <v>87</v>
      </c>
      <c r="D112" s="2" t="s">
        <v>39</v>
      </c>
      <c r="E112" s="5" t="s">
        <v>922</v>
      </c>
    </row>
    <row r="113" spans="2:5" x14ac:dyDescent="0.25">
      <c r="B113" s="7">
        <v>87018</v>
      </c>
      <c r="C113" s="8">
        <v>87</v>
      </c>
      <c r="D113" s="2" t="s">
        <v>42</v>
      </c>
      <c r="E113" s="5" t="s">
        <v>922</v>
      </c>
    </row>
    <row r="114" spans="2:5" x14ac:dyDescent="0.25">
      <c r="B114" s="7">
        <v>87031</v>
      </c>
      <c r="C114" s="8">
        <v>87</v>
      </c>
      <c r="D114" s="2" t="s">
        <v>94</v>
      </c>
      <c r="E114" s="5" t="s">
        <v>922</v>
      </c>
    </row>
    <row r="115" spans="2:5" x14ac:dyDescent="0.25">
      <c r="B115" s="7">
        <v>87033</v>
      </c>
      <c r="C115" s="8">
        <v>87</v>
      </c>
      <c r="D115" s="2" t="s">
        <v>103</v>
      </c>
      <c r="E115" s="5" t="s">
        <v>922</v>
      </c>
    </row>
    <row r="116" spans="2:5" x14ac:dyDescent="0.25">
      <c r="B116" s="7">
        <v>87020</v>
      </c>
      <c r="C116" s="8">
        <v>87</v>
      </c>
      <c r="D116" s="2" t="s">
        <v>51</v>
      </c>
      <c r="E116" s="5" t="s">
        <v>922</v>
      </c>
    </row>
    <row r="117" spans="2:5" x14ac:dyDescent="0.25">
      <c r="B117" s="7">
        <v>87048</v>
      </c>
      <c r="C117" s="8">
        <v>87</v>
      </c>
      <c r="D117" s="2" t="s">
        <v>184</v>
      </c>
      <c r="E117" s="5" t="s">
        <v>922</v>
      </c>
    </row>
    <row r="118" spans="2:5" x14ac:dyDescent="0.25">
      <c r="B118" s="7">
        <v>87050</v>
      </c>
      <c r="C118" s="8">
        <v>87</v>
      </c>
      <c r="D118" s="2" t="s">
        <v>194</v>
      </c>
      <c r="E118" s="5" t="s">
        <v>922</v>
      </c>
    </row>
    <row r="119" spans="2:5" x14ac:dyDescent="0.25">
      <c r="B119" s="7">
        <v>87052</v>
      </c>
      <c r="C119" s="8">
        <v>87</v>
      </c>
      <c r="D119" s="2" t="s">
        <v>204</v>
      </c>
      <c r="E119" s="5" t="s">
        <v>922</v>
      </c>
    </row>
    <row r="120" spans="2:5" x14ac:dyDescent="0.25">
      <c r="B120" s="7">
        <v>87061</v>
      </c>
      <c r="C120" s="8">
        <v>87</v>
      </c>
      <c r="D120" s="2" t="s">
        <v>247</v>
      </c>
      <c r="E120" s="5" t="s">
        <v>922</v>
      </c>
    </row>
    <row r="121" spans="2:5" x14ac:dyDescent="0.25">
      <c r="B121" s="7">
        <v>87064</v>
      </c>
      <c r="C121" s="8">
        <v>87</v>
      </c>
      <c r="D121" s="2" t="s">
        <v>263</v>
      </c>
      <c r="E121" s="5" t="s">
        <v>922</v>
      </c>
    </row>
    <row r="122" spans="2:5" x14ac:dyDescent="0.25">
      <c r="B122" s="7">
        <v>87070</v>
      </c>
      <c r="C122" s="8">
        <v>87</v>
      </c>
      <c r="D122" s="2" t="s">
        <v>296</v>
      </c>
      <c r="E122" s="5" t="s">
        <v>922</v>
      </c>
    </row>
    <row r="123" spans="2:5" x14ac:dyDescent="0.25">
      <c r="B123" s="7">
        <v>87074</v>
      </c>
      <c r="C123" s="8">
        <v>87</v>
      </c>
      <c r="D123" s="2" t="s">
        <v>315</v>
      </c>
      <c r="E123" s="5" t="s">
        <v>922</v>
      </c>
    </row>
    <row r="124" spans="2:5" x14ac:dyDescent="0.25">
      <c r="B124" s="7">
        <v>87075</v>
      </c>
      <c r="C124" s="8">
        <v>87</v>
      </c>
      <c r="D124" s="2" t="s">
        <v>319</v>
      </c>
      <c r="E124" s="5" t="s">
        <v>922</v>
      </c>
    </row>
    <row r="125" spans="2:5" x14ac:dyDescent="0.25">
      <c r="B125" s="7">
        <v>87083</v>
      </c>
      <c r="C125" s="8">
        <v>87</v>
      </c>
      <c r="D125" s="2" t="s">
        <v>364</v>
      </c>
      <c r="E125" s="5" t="s">
        <v>922</v>
      </c>
    </row>
    <row r="126" spans="2:5" x14ac:dyDescent="0.25">
      <c r="B126" s="7">
        <v>87084</v>
      </c>
      <c r="C126" s="8">
        <v>87</v>
      </c>
      <c r="D126" s="2" t="s">
        <v>367</v>
      </c>
      <c r="E126" s="5" t="s">
        <v>922</v>
      </c>
    </row>
    <row r="127" spans="2:5" x14ac:dyDescent="0.25">
      <c r="B127" s="7">
        <v>87090</v>
      </c>
      <c r="C127" s="8">
        <v>87</v>
      </c>
      <c r="D127" s="2" t="s">
        <v>395</v>
      </c>
      <c r="E127" s="5" t="s">
        <v>922</v>
      </c>
    </row>
    <row r="128" spans="2:5" x14ac:dyDescent="0.25">
      <c r="B128" s="7">
        <v>87091</v>
      </c>
      <c r="C128" s="8">
        <v>87</v>
      </c>
      <c r="D128" s="2" t="s">
        <v>399</v>
      </c>
      <c r="E128" s="5" t="s">
        <v>922</v>
      </c>
    </row>
    <row r="129" spans="2:5" x14ac:dyDescent="0.25">
      <c r="B129" s="7">
        <v>87109</v>
      </c>
      <c r="C129" s="8">
        <v>87</v>
      </c>
      <c r="D129" s="2" t="s">
        <v>496</v>
      </c>
      <c r="E129" s="5" t="s">
        <v>922</v>
      </c>
    </row>
    <row r="130" spans="2:5" x14ac:dyDescent="0.25">
      <c r="B130" s="7">
        <v>87113</v>
      </c>
      <c r="C130" s="8">
        <v>87</v>
      </c>
      <c r="D130" s="2" t="s">
        <v>519</v>
      </c>
      <c r="E130" s="5" t="s">
        <v>922</v>
      </c>
    </row>
    <row r="131" spans="2:5" x14ac:dyDescent="0.25">
      <c r="B131" s="7">
        <v>87114</v>
      </c>
      <c r="C131" s="8">
        <v>87</v>
      </c>
      <c r="D131" s="2" t="s">
        <v>524</v>
      </c>
      <c r="E131" s="5" t="s">
        <v>922</v>
      </c>
    </row>
    <row r="132" spans="2:5" x14ac:dyDescent="0.25">
      <c r="B132" s="7">
        <v>87117</v>
      </c>
      <c r="C132" s="8">
        <v>87</v>
      </c>
      <c r="D132" s="2" t="s">
        <v>540</v>
      </c>
      <c r="E132" s="5" t="s">
        <v>922</v>
      </c>
    </row>
    <row r="133" spans="2:5" x14ac:dyDescent="0.25">
      <c r="B133" s="7">
        <v>87119</v>
      </c>
      <c r="C133" s="8">
        <v>87</v>
      </c>
      <c r="D133" s="2" t="s">
        <v>550</v>
      </c>
      <c r="E133" s="5" t="s">
        <v>922</v>
      </c>
    </row>
    <row r="134" spans="2:5" x14ac:dyDescent="0.25">
      <c r="B134" s="14">
        <v>92000</v>
      </c>
      <c r="C134" s="15">
        <v>92</v>
      </c>
      <c r="D134" s="6" t="s">
        <v>1900</v>
      </c>
      <c r="E134" s="5" t="s">
        <v>1998</v>
      </c>
    </row>
    <row r="135" spans="2:5" x14ac:dyDescent="0.25">
      <c r="B135" s="14">
        <v>96000</v>
      </c>
      <c r="C135" s="15">
        <v>96</v>
      </c>
      <c r="D135" s="6" t="s">
        <v>1901</v>
      </c>
      <c r="E135" s="5" t="s">
        <v>1999</v>
      </c>
    </row>
    <row r="136" spans="2:5" x14ac:dyDescent="0.25">
      <c r="B136" s="14">
        <v>101002</v>
      </c>
      <c r="C136" s="15">
        <v>101</v>
      </c>
      <c r="D136" s="6" t="s">
        <v>1903</v>
      </c>
      <c r="E136" s="5" t="s">
        <v>2003</v>
      </c>
    </row>
    <row r="137" spans="2:5" x14ac:dyDescent="0.25">
      <c r="B137" s="14">
        <v>101003</v>
      </c>
      <c r="C137" s="15">
        <v>101</v>
      </c>
      <c r="D137" s="6" t="s">
        <v>1904</v>
      </c>
      <c r="E137" s="5" t="s">
        <v>2003</v>
      </c>
    </row>
    <row r="138" spans="2:5" x14ac:dyDescent="0.25">
      <c r="B138" s="14">
        <v>101004</v>
      </c>
      <c r="C138" s="15">
        <v>101</v>
      </c>
      <c r="D138" s="6" t="s">
        <v>1905</v>
      </c>
      <c r="E138" s="5" t="s">
        <v>2003</v>
      </c>
    </row>
    <row r="139" spans="2:5" x14ac:dyDescent="0.25">
      <c r="B139" s="14">
        <v>101006</v>
      </c>
      <c r="C139" s="15">
        <v>101</v>
      </c>
      <c r="D139" s="6" t="s">
        <v>1907</v>
      </c>
      <c r="E139" s="5" t="s">
        <v>2003</v>
      </c>
    </row>
    <row r="140" spans="2:5" x14ac:dyDescent="0.25">
      <c r="B140" s="14">
        <v>101007</v>
      </c>
      <c r="C140" s="15">
        <v>101</v>
      </c>
      <c r="D140" s="6" t="s">
        <v>1908</v>
      </c>
      <c r="E140" s="5" t="s">
        <v>2003</v>
      </c>
    </row>
    <row r="141" spans="2:5" x14ac:dyDescent="0.25">
      <c r="B141" s="14">
        <v>101009</v>
      </c>
      <c r="C141" s="15">
        <v>101</v>
      </c>
      <c r="D141" s="6" t="s">
        <v>1910</v>
      </c>
      <c r="E141" s="5" t="s">
        <v>2003</v>
      </c>
    </row>
    <row r="142" spans="2:5" x14ac:dyDescent="0.25">
      <c r="B142" s="14">
        <v>101001</v>
      </c>
      <c r="C142" s="15">
        <v>101</v>
      </c>
      <c r="D142" s="6" t="s">
        <v>1902</v>
      </c>
      <c r="E142" s="5" t="s">
        <v>2004</v>
      </c>
    </row>
    <row r="143" spans="2:5" x14ac:dyDescent="0.25">
      <c r="B143" s="14">
        <v>101005</v>
      </c>
      <c r="C143" s="15">
        <v>101</v>
      </c>
      <c r="D143" s="6" t="s">
        <v>1906</v>
      </c>
      <c r="E143" s="5" t="s">
        <v>2004</v>
      </c>
    </row>
    <row r="144" spans="2:5" x14ac:dyDescent="0.25">
      <c r="B144" s="14">
        <v>101008</v>
      </c>
      <c r="C144" s="15">
        <v>101</v>
      </c>
      <c r="D144" s="6" t="s">
        <v>1909</v>
      </c>
      <c r="E144" s="5" t="s">
        <v>2004</v>
      </c>
    </row>
    <row r="145" spans="2:5" x14ac:dyDescent="0.25">
      <c r="B145" s="14">
        <v>101010</v>
      </c>
      <c r="C145" s="15">
        <v>101</v>
      </c>
      <c r="D145" s="6" t="s">
        <v>1911</v>
      </c>
      <c r="E145" s="5" t="s">
        <v>2004</v>
      </c>
    </row>
    <row r="146" spans="2:5" x14ac:dyDescent="0.25">
      <c r="B146" s="14">
        <v>101011</v>
      </c>
      <c r="C146" s="15">
        <v>101</v>
      </c>
      <c r="D146" s="6" t="s">
        <v>1912</v>
      </c>
      <c r="E146" s="5" t="s">
        <v>2004</v>
      </c>
    </row>
    <row r="147" spans="2:5" x14ac:dyDescent="0.25">
      <c r="B147" s="14">
        <v>101012</v>
      </c>
      <c r="C147" s="15">
        <v>101</v>
      </c>
      <c r="D147" s="6" t="s">
        <v>1913</v>
      </c>
      <c r="E147" s="5" t="s">
        <v>2004</v>
      </c>
    </row>
    <row r="148" spans="2:5" x14ac:dyDescent="0.25">
      <c r="B148" s="14">
        <v>229021</v>
      </c>
      <c r="C148" s="15">
        <v>229</v>
      </c>
      <c r="D148" s="6" t="s">
        <v>1914</v>
      </c>
      <c r="E148" s="5" t="s">
        <v>2000</v>
      </c>
    </row>
    <row r="149" spans="2:5" x14ac:dyDescent="0.25">
      <c r="B149" s="14">
        <v>229023</v>
      </c>
      <c r="C149" s="15">
        <v>229</v>
      </c>
      <c r="D149" s="6" t="s">
        <v>1915</v>
      </c>
      <c r="E149" s="5" t="s">
        <v>2000</v>
      </c>
    </row>
    <row r="150" spans="2:5" x14ac:dyDescent="0.25">
      <c r="B150" s="14">
        <v>229024</v>
      </c>
      <c r="C150" s="15">
        <v>229</v>
      </c>
      <c r="D150" s="6" t="s">
        <v>1916</v>
      </c>
      <c r="E150" s="5" t="s">
        <v>2000</v>
      </c>
    </row>
    <row r="151" spans="2:5" x14ac:dyDescent="0.25">
      <c r="B151" s="14">
        <v>229025</v>
      </c>
      <c r="C151" s="15">
        <v>229</v>
      </c>
      <c r="D151" s="6" t="s">
        <v>1917</v>
      </c>
      <c r="E151" s="5" t="s">
        <v>2000</v>
      </c>
    </row>
    <row r="152" spans="2:5" x14ac:dyDescent="0.25">
      <c r="B152" s="14">
        <v>229026</v>
      </c>
      <c r="C152" s="15">
        <v>229</v>
      </c>
      <c r="D152" s="6" t="s">
        <v>1918</v>
      </c>
      <c r="E152" s="5" t="s">
        <v>2000</v>
      </c>
    </row>
    <row r="153" spans="2:5" x14ac:dyDescent="0.25">
      <c r="B153" s="14">
        <v>229027</v>
      </c>
      <c r="C153" s="15">
        <v>229</v>
      </c>
      <c r="D153" s="6" t="s">
        <v>1919</v>
      </c>
      <c r="E153" s="5" t="s">
        <v>2000</v>
      </c>
    </row>
    <row r="154" spans="2:5" x14ac:dyDescent="0.25">
      <c r="B154" s="14">
        <v>229028</v>
      </c>
      <c r="C154" s="15">
        <v>229</v>
      </c>
      <c r="D154" s="6" t="s">
        <v>1920</v>
      </c>
      <c r="E154" s="5" t="s">
        <v>2000</v>
      </c>
    </row>
    <row r="155" spans="2:5" x14ac:dyDescent="0.25">
      <c r="B155" s="14">
        <v>229029</v>
      </c>
      <c r="C155" s="15">
        <v>229</v>
      </c>
      <c r="D155" s="6" t="s">
        <v>1921</v>
      </c>
      <c r="E155" s="5" t="s">
        <v>2000</v>
      </c>
    </row>
    <row r="156" spans="2:5" x14ac:dyDescent="0.25">
      <c r="B156" s="14">
        <v>229030</v>
      </c>
      <c r="C156" s="15">
        <v>229</v>
      </c>
      <c r="D156" s="6" t="s">
        <v>1922</v>
      </c>
      <c r="E156" s="5" t="s">
        <v>2000</v>
      </c>
    </row>
    <row r="157" spans="2:5" x14ac:dyDescent="0.25">
      <c r="B157" s="14">
        <v>229031</v>
      </c>
      <c r="C157" s="15">
        <v>229</v>
      </c>
      <c r="D157" s="6" t="s">
        <v>1923</v>
      </c>
      <c r="E157" s="5" t="s">
        <v>2000</v>
      </c>
    </row>
    <row r="158" spans="2:5" x14ac:dyDescent="0.25">
      <c r="B158" s="14">
        <v>229032</v>
      </c>
      <c r="C158" s="15">
        <v>229</v>
      </c>
      <c r="D158" s="6" t="s">
        <v>1924</v>
      </c>
      <c r="E158" s="5" t="s">
        <v>2000</v>
      </c>
    </row>
    <row r="159" spans="2:5" x14ac:dyDescent="0.25">
      <c r="B159" s="14">
        <v>229033</v>
      </c>
      <c r="C159" s="15">
        <v>229</v>
      </c>
      <c r="D159" s="6" t="s">
        <v>1925</v>
      </c>
      <c r="E159" s="5" t="s">
        <v>2000</v>
      </c>
    </row>
    <row r="160" spans="2:5" x14ac:dyDescent="0.25">
      <c r="B160" s="14">
        <v>229034</v>
      </c>
      <c r="C160" s="15">
        <v>229</v>
      </c>
      <c r="D160" s="6" t="s">
        <v>1926</v>
      </c>
      <c r="E160" s="5" t="s">
        <v>2000</v>
      </c>
    </row>
    <row r="161" spans="2:5" x14ac:dyDescent="0.25">
      <c r="B161" s="14">
        <v>229035</v>
      </c>
      <c r="C161" s="15">
        <v>229</v>
      </c>
      <c r="D161" s="6" t="s">
        <v>1927</v>
      </c>
      <c r="E161" s="5" t="s">
        <v>2000</v>
      </c>
    </row>
    <row r="162" spans="2:5" x14ac:dyDescent="0.25">
      <c r="B162" s="14">
        <v>229036</v>
      </c>
      <c r="C162" s="15">
        <v>229</v>
      </c>
      <c r="D162" s="6" t="s">
        <v>1928</v>
      </c>
      <c r="E162" s="5" t="s">
        <v>2000</v>
      </c>
    </row>
    <row r="163" spans="2:5" x14ac:dyDescent="0.25">
      <c r="B163" s="14">
        <v>229037</v>
      </c>
      <c r="C163" s="15">
        <v>229</v>
      </c>
      <c r="D163" s="6" t="s">
        <v>1929</v>
      </c>
      <c r="E163" s="5" t="s">
        <v>2000</v>
      </c>
    </row>
    <row r="164" spans="2:5" x14ac:dyDescent="0.25">
      <c r="B164" s="14">
        <v>229038</v>
      </c>
      <c r="C164" s="15">
        <v>229</v>
      </c>
      <c r="D164" s="6" t="s">
        <v>1930</v>
      </c>
      <c r="E164" s="5" t="s">
        <v>2000</v>
      </c>
    </row>
    <row r="165" spans="2:5" x14ac:dyDescent="0.25">
      <c r="B165" s="14">
        <v>229039</v>
      </c>
      <c r="C165" s="15">
        <v>229</v>
      </c>
      <c r="D165" s="6" t="s">
        <v>1931</v>
      </c>
      <c r="E165" s="5" t="s">
        <v>2000</v>
      </c>
    </row>
    <row r="166" spans="2:5" x14ac:dyDescent="0.25">
      <c r="B166" s="14">
        <v>229040</v>
      </c>
      <c r="C166" s="15">
        <v>229</v>
      </c>
      <c r="D166" s="6" t="s">
        <v>1932</v>
      </c>
      <c r="E166" s="5" t="s">
        <v>2000</v>
      </c>
    </row>
    <row r="167" spans="2:5" x14ac:dyDescent="0.25">
      <c r="B167" s="14">
        <v>229041</v>
      </c>
      <c r="C167" s="15">
        <v>229</v>
      </c>
      <c r="D167" s="6" t="s">
        <v>1933</v>
      </c>
      <c r="E167" s="5" t="s">
        <v>2000</v>
      </c>
    </row>
    <row r="168" spans="2:5" x14ac:dyDescent="0.25">
      <c r="B168" s="14">
        <v>229042</v>
      </c>
      <c r="C168" s="15">
        <v>229</v>
      </c>
      <c r="D168" s="6" t="s">
        <v>1934</v>
      </c>
      <c r="E168" s="5" t="s">
        <v>2000</v>
      </c>
    </row>
    <row r="169" spans="2:5" x14ac:dyDescent="0.25">
      <c r="B169" s="14">
        <v>229043</v>
      </c>
      <c r="C169" s="15">
        <v>229</v>
      </c>
      <c r="D169" s="6" t="s">
        <v>1935</v>
      </c>
      <c r="E169" s="5" t="s">
        <v>2000</v>
      </c>
    </row>
    <row r="170" spans="2:5" x14ac:dyDescent="0.25">
      <c r="B170" s="14">
        <v>231000</v>
      </c>
      <c r="C170" s="15">
        <v>231</v>
      </c>
      <c r="D170" s="6" t="s">
        <v>1936</v>
      </c>
      <c r="E170" s="5" t="s">
        <v>2212</v>
      </c>
    </row>
    <row r="171" spans="2:5" x14ac:dyDescent="0.25">
      <c r="B171" s="14">
        <v>231001</v>
      </c>
      <c r="C171" s="15">
        <v>231</v>
      </c>
      <c r="D171" s="6" t="s">
        <v>1937</v>
      </c>
      <c r="E171" s="5" t="s">
        <v>2212</v>
      </c>
    </row>
    <row r="172" spans="2:5" x14ac:dyDescent="0.25">
      <c r="B172" s="14">
        <v>231002</v>
      </c>
      <c r="C172" s="15">
        <v>231</v>
      </c>
      <c r="D172" s="6" t="s">
        <v>1938</v>
      </c>
      <c r="E172" s="5" t="s">
        <v>2212</v>
      </c>
    </row>
    <row r="173" spans="2:5" x14ac:dyDescent="0.25">
      <c r="B173" s="14">
        <v>231003</v>
      </c>
      <c r="C173" s="15">
        <v>231</v>
      </c>
      <c r="D173" s="6" t="s">
        <v>1939</v>
      </c>
      <c r="E173" s="5" t="s">
        <v>2212</v>
      </c>
    </row>
    <row r="174" spans="2:5" x14ac:dyDescent="0.25">
      <c r="B174" s="14">
        <v>231004</v>
      </c>
      <c r="C174" s="15">
        <v>231</v>
      </c>
      <c r="D174" s="6" t="s">
        <v>1940</v>
      </c>
      <c r="E174" s="5" t="s">
        <v>2212</v>
      </c>
    </row>
    <row r="175" spans="2:5" x14ac:dyDescent="0.25">
      <c r="B175" s="14">
        <v>231005</v>
      </c>
      <c r="C175" s="15">
        <v>231</v>
      </c>
      <c r="D175" s="6" t="s">
        <v>1941</v>
      </c>
      <c r="E175" s="5" t="s">
        <v>2212</v>
      </c>
    </row>
    <row r="176" spans="2:5" x14ac:dyDescent="0.25">
      <c r="B176" s="14">
        <v>231006</v>
      </c>
      <c r="C176" s="15">
        <v>231</v>
      </c>
      <c r="D176" s="6" t="s">
        <v>1942</v>
      </c>
      <c r="E176" s="5" t="s">
        <v>2212</v>
      </c>
    </row>
    <row r="177" spans="2:5" x14ac:dyDescent="0.25">
      <c r="B177" s="14">
        <v>231007</v>
      </c>
      <c r="C177" s="15">
        <v>231</v>
      </c>
      <c r="D177" s="6" t="s">
        <v>1943</v>
      </c>
      <c r="E177" s="5" t="s">
        <v>2212</v>
      </c>
    </row>
    <row r="178" spans="2:5" x14ac:dyDescent="0.25">
      <c r="B178" s="14">
        <v>231008</v>
      </c>
      <c r="C178" s="15">
        <v>231</v>
      </c>
      <c r="D178" s="6" t="s">
        <v>1944</v>
      </c>
      <c r="E178" s="5" t="s">
        <v>2212</v>
      </c>
    </row>
    <row r="179" spans="2:5" x14ac:dyDescent="0.25">
      <c r="B179" s="14">
        <v>231009</v>
      </c>
      <c r="C179" s="15">
        <v>231</v>
      </c>
      <c r="D179" s="6" t="s">
        <v>1945</v>
      </c>
      <c r="E179" s="5" t="s">
        <v>2212</v>
      </c>
    </row>
    <row r="180" spans="2:5" x14ac:dyDescent="0.25">
      <c r="B180" s="14">
        <v>231010</v>
      </c>
      <c r="C180" s="15">
        <v>231</v>
      </c>
      <c r="D180" s="6" t="s">
        <v>1946</v>
      </c>
      <c r="E180" s="5" t="s">
        <v>2212</v>
      </c>
    </row>
    <row r="181" spans="2:5" x14ac:dyDescent="0.25">
      <c r="B181" s="14">
        <v>231011</v>
      </c>
      <c r="C181" s="15">
        <v>231</v>
      </c>
      <c r="D181" s="6" t="s">
        <v>1947</v>
      </c>
      <c r="E181" s="5" t="s">
        <v>2212</v>
      </c>
    </row>
    <row r="182" spans="2:5" x14ac:dyDescent="0.25">
      <c r="B182" s="14">
        <v>231012</v>
      </c>
      <c r="C182" s="15">
        <v>231</v>
      </c>
      <c r="D182" s="6" t="s">
        <v>1948</v>
      </c>
      <c r="E182" s="5" t="s">
        <v>2212</v>
      </c>
    </row>
    <row r="183" spans="2:5" x14ac:dyDescent="0.25">
      <c r="B183" s="14">
        <v>231013</v>
      </c>
      <c r="C183" s="15">
        <v>231</v>
      </c>
      <c r="D183" s="6" t="s">
        <v>1949</v>
      </c>
      <c r="E183" s="5" t="s">
        <v>2212</v>
      </c>
    </row>
    <row r="184" spans="2:5" x14ac:dyDescent="0.25">
      <c r="B184" s="14">
        <v>231014</v>
      </c>
      <c r="C184" s="15">
        <v>231</v>
      </c>
      <c r="D184" s="6" t="s">
        <v>1950</v>
      </c>
      <c r="E184" s="5" t="s">
        <v>2212</v>
      </c>
    </row>
    <row r="185" spans="2:5" x14ac:dyDescent="0.25">
      <c r="B185" s="14">
        <v>231015</v>
      </c>
      <c r="C185" s="15">
        <v>231</v>
      </c>
      <c r="D185" s="6" t="s">
        <v>1951</v>
      </c>
      <c r="E185" s="5" t="s">
        <v>2212</v>
      </c>
    </row>
    <row r="186" spans="2:5" x14ac:dyDescent="0.25">
      <c r="B186" s="14">
        <v>231016</v>
      </c>
      <c r="C186" s="15">
        <v>231</v>
      </c>
      <c r="D186" s="6" t="s">
        <v>1952</v>
      </c>
      <c r="E186" s="5" t="s">
        <v>2212</v>
      </c>
    </row>
    <row r="187" spans="2:5" x14ac:dyDescent="0.25">
      <c r="B187" s="14">
        <v>231017</v>
      </c>
      <c r="C187" s="15">
        <v>231</v>
      </c>
      <c r="D187" s="6" t="s">
        <v>1953</v>
      </c>
      <c r="E187" s="5" t="s">
        <v>2212</v>
      </c>
    </row>
    <row r="188" spans="2:5" x14ac:dyDescent="0.25">
      <c r="B188" s="14">
        <v>231018</v>
      </c>
      <c r="C188" s="15">
        <v>231</v>
      </c>
      <c r="D188" s="6" t="s">
        <v>1954</v>
      </c>
      <c r="E188" s="5" t="s">
        <v>2212</v>
      </c>
    </row>
    <row r="189" spans="2:5" x14ac:dyDescent="0.25">
      <c r="B189" s="14">
        <v>231019</v>
      </c>
      <c r="C189" s="15">
        <v>231</v>
      </c>
      <c r="D189" s="6" t="s">
        <v>1955</v>
      </c>
      <c r="E189" s="5" t="s">
        <v>2212</v>
      </c>
    </row>
    <row r="190" spans="2:5" x14ac:dyDescent="0.25">
      <c r="B190" s="14">
        <v>231020</v>
      </c>
      <c r="C190" s="15">
        <v>231</v>
      </c>
      <c r="D190" s="6" t="s">
        <v>1956</v>
      </c>
      <c r="E190" s="5" t="s">
        <v>2212</v>
      </c>
    </row>
    <row r="191" spans="2:5" x14ac:dyDescent="0.25">
      <c r="B191" s="14">
        <v>231021</v>
      </c>
      <c r="C191" s="15">
        <v>231</v>
      </c>
      <c r="D191" s="6" t="s">
        <v>1957</v>
      </c>
      <c r="E191" s="5" t="s">
        <v>2212</v>
      </c>
    </row>
    <row r="192" spans="2:5" x14ac:dyDescent="0.25">
      <c r="B192" s="14">
        <v>231022</v>
      </c>
      <c r="C192" s="15">
        <v>231</v>
      </c>
      <c r="D192" s="6" t="s">
        <v>1958</v>
      </c>
      <c r="E192" s="5" t="s">
        <v>2212</v>
      </c>
    </row>
    <row r="193" spans="2:5" x14ac:dyDescent="0.25">
      <c r="B193" s="14">
        <v>231023</v>
      </c>
      <c r="C193" s="15">
        <v>231</v>
      </c>
      <c r="D193" s="6" t="s">
        <v>1959</v>
      </c>
      <c r="E193" s="5" t="s">
        <v>2212</v>
      </c>
    </row>
    <row r="194" spans="2:5" x14ac:dyDescent="0.25">
      <c r="B194" s="14">
        <v>231024</v>
      </c>
      <c r="C194" s="15">
        <v>231</v>
      </c>
      <c r="D194" s="6" t="s">
        <v>1960</v>
      </c>
      <c r="E194" s="5" t="s">
        <v>2212</v>
      </c>
    </row>
    <row r="195" spans="2:5" x14ac:dyDescent="0.25">
      <c r="B195" s="14">
        <v>231025</v>
      </c>
      <c r="C195" s="15">
        <v>231</v>
      </c>
      <c r="D195" s="6" t="s">
        <v>1961</v>
      </c>
      <c r="E195" s="5" t="s">
        <v>2212</v>
      </c>
    </row>
    <row r="196" spans="2:5" x14ac:dyDescent="0.25">
      <c r="B196" s="14">
        <v>231026</v>
      </c>
      <c r="C196" s="15">
        <v>231</v>
      </c>
      <c r="D196" s="6" t="s">
        <v>1962</v>
      </c>
      <c r="E196" s="5" t="s">
        <v>2212</v>
      </c>
    </row>
    <row r="197" spans="2:5" x14ac:dyDescent="0.25">
      <c r="B197" s="14">
        <v>231027</v>
      </c>
      <c r="C197" s="15">
        <v>231</v>
      </c>
      <c r="D197" s="6" t="s">
        <v>1963</v>
      </c>
      <c r="E197" s="5" t="s">
        <v>2212</v>
      </c>
    </row>
    <row r="198" spans="2:5" x14ac:dyDescent="0.25">
      <c r="B198" s="14">
        <v>231028</v>
      </c>
      <c r="C198" s="15">
        <v>231</v>
      </c>
      <c r="D198" s="6" t="s">
        <v>1964</v>
      </c>
      <c r="E198" s="5" t="s">
        <v>2212</v>
      </c>
    </row>
    <row r="199" spans="2:5" x14ac:dyDescent="0.25">
      <c r="B199" s="14">
        <v>231029</v>
      </c>
      <c r="C199" s="15">
        <v>231</v>
      </c>
      <c r="D199" s="6" t="s">
        <v>1965</v>
      </c>
      <c r="E199" s="5" t="s">
        <v>2212</v>
      </c>
    </row>
    <row r="200" spans="2:5" x14ac:dyDescent="0.25">
      <c r="B200" s="14">
        <v>258000</v>
      </c>
      <c r="C200" s="15">
        <v>258</v>
      </c>
      <c r="D200" s="6" t="s">
        <v>1905</v>
      </c>
      <c r="E200" s="5" t="s">
        <v>2004</v>
      </c>
    </row>
    <row r="201" spans="2:5" x14ac:dyDescent="0.25">
      <c r="B201" s="7">
        <v>269122</v>
      </c>
      <c r="C201" s="7">
        <v>269</v>
      </c>
      <c r="D201" s="2" t="s">
        <v>635</v>
      </c>
      <c r="E201" s="5" t="s">
        <v>2208</v>
      </c>
    </row>
    <row r="202" spans="2:5" x14ac:dyDescent="0.25">
      <c r="B202" s="15">
        <v>269213</v>
      </c>
      <c r="C202" s="15">
        <v>269</v>
      </c>
      <c r="D202" s="19" t="s">
        <v>858</v>
      </c>
      <c r="E202" s="5" t="s">
        <v>2211</v>
      </c>
    </row>
    <row r="203" spans="2:5" x14ac:dyDescent="0.25">
      <c r="B203" s="15">
        <v>269220</v>
      </c>
      <c r="C203" s="15">
        <v>269</v>
      </c>
      <c r="D203" s="19" t="s">
        <v>871</v>
      </c>
      <c r="E203" s="5" t="s">
        <v>2211</v>
      </c>
    </row>
    <row r="204" spans="2:5" x14ac:dyDescent="0.25">
      <c r="B204" s="15">
        <v>269221</v>
      </c>
      <c r="C204" s="15">
        <v>269</v>
      </c>
      <c r="D204" s="19" t="s">
        <v>873</v>
      </c>
      <c r="E204" s="5" t="s">
        <v>2211</v>
      </c>
    </row>
    <row r="205" spans="2:5" x14ac:dyDescent="0.25">
      <c r="B205" s="15">
        <v>269223</v>
      </c>
      <c r="C205" s="15">
        <v>269</v>
      </c>
      <c r="D205" s="19" t="s">
        <v>876</v>
      </c>
      <c r="E205" s="5" t="s">
        <v>2211</v>
      </c>
    </row>
    <row r="206" spans="2:5" x14ac:dyDescent="0.25">
      <c r="B206" s="15">
        <v>269228</v>
      </c>
      <c r="C206" s="15">
        <v>269</v>
      </c>
      <c r="D206" s="19" t="s">
        <v>885</v>
      </c>
      <c r="E206" s="5" t="s">
        <v>2211</v>
      </c>
    </row>
    <row r="207" spans="2:5" x14ac:dyDescent="0.25">
      <c r="B207" s="15">
        <v>269231</v>
      </c>
      <c r="C207" s="15">
        <v>269</v>
      </c>
      <c r="D207" s="19" t="s">
        <v>892</v>
      </c>
      <c r="E207" s="5" t="s">
        <v>2211</v>
      </c>
    </row>
    <row r="208" spans="2:5" x14ac:dyDescent="0.25">
      <c r="B208" s="15">
        <v>269241</v>
      </c>
      <c r="C208" s="15">
        <v>269</v>
      </c>
      <c r="D208" s="19" t="s">
        <v>913</v>
      </c>
      <c r="E208" s="5" t="s">
        <v>2211</v>
      </c>
    </row>
    <row r="209" spans="2:5" x14ac:dyDescent="0.25">
      <c r="B209" s="15">
        <v>269200</v>
      </c>
      <c r="C209" s="15">
        <v>269</v>
      </c>
      <c r="D209" s="19" t="s">
        <v>829</v>
      </c>
      <c r="E209" s="5" t="s">
        <v>2211</v>
      </c>
    </row>
    <row r="210" spans="2:5" x14ac:dyDescent="0.25">
      <c r="B210" s="15">
        <v>269210</v>
      </c>
      <c r="C210" s="15">
        <v>269</v>
      </c>
      <c r="D210" s="19" t="s">
        <v>851</v>
      </c>
      <c r="E210" s="5" t="s">
        <v>2211</v>
      </c>
    </row>
    <row r="211" spans="2:5" x14ac:dyDescent="0.25">
      <c r="B211" s="15">
        <v>269209</v>
      </c>
      <c r="C211" s="15">
        <v>269</v>
      </c>
      <c r="D211" s="19" t="s">
        <v>849</v>
      </c>
      <c r="E211" s="5" t="s">
        <v>2211</v>
      </c>
    </row>
    <row r="212" spans="2:5" x14ac:dyDescent="0.25">
      <c r="B212" s="15">
        <v>269138</v>
      </c>
      <c r="C212" s="15">
        <v>269</v>
      </c>
      <c r="D212" s="19" t="s">
        <v>675</v>
      </c>
      <c r="E212" s="5" t="s">
        <v>2211</v>
      </c>
    </row>
    <row r="213" spans="2:5" x14ac:dyDescent="0.25">
      <c r="B213" s="15">
        <v>269144</v>
      </c>
      <c r="C213" s="15">
        <v>269</v>
      </c>
      <c r="D213" s="19" t="s">
        <v>688</v>
      </c>
      <c r="E213" s="5" t="s">
        <v>2211</v>
      </c>
    </row>
    <row r="214" spans="2:5" x14ac:dyDescent="0.25">
      <c r="B214" s="15">
        <v>269204</v>
      </c>
      <c r="C214" s="15">
        <v>269</v>
      </c>
      <c r="D214" s="19" t="s">
        <v>838</v>
      </c>
      <c r="E214" s="5" t="s">
        <v>2211</v>
      </c>
    </row>
    <row r="215" spans="2:5" x14ac:dyDescent="0.25">
      <c r="B215" s="15">
        <v>269153</v>
      </c>
      <c r="C215" s="15">
        <v>269</v>
      </c>
      <c r="D215" s="19" t="s">
        <v>709</v>
      </c>
      <c r="E215" s="5" t="s">
        <v>2211</v>
      </c>
    </row>
    <row r="216" spans="2:5" x14ac:dyDescent="0.25">
      <c r="B216" s="15">
        <v>269205</v>
      </c>
      <c r="C216" s="15">
        <v>269</v>
      </c>
      <c r="D216" s="19" t="s">
        <v>840</v>
      </c>
      <c r="E216" s="5" t="s">
        <v>2211</v>
      </c>
    </row>
    <row r="217" spans="2:5" x14ac:dyDescent="0.25">
      <c r="B217" s="15">
        <v>269206</v>
      </c>
      <c r="C217" s="15">
        <v>269</v>
      </c>
      <c r="D217" s="19" t="s">
        <v>842</v>
      </c>
      <c r="E217" s="5" t="s">
        <v>2211</v>
      </c>
    </row>
    <row r="218" spans="2:5" x14ac:dyDescent="0.25">
      <c r="B218" s="15">
        <v>269207</v>
      </c>
      <c r="C218" s="15">
        <v>269</v>
      </c>
      <c r="D218" s="19" t="s">
        <v>845</v>
      </c>
      <c r="E218" s="5" t="s">
        <v>2211</v>
      </c>
    </row>
    <row r="219" spans="2:5" x14ac:dyDescent="0.25">
      <c r="B219" s="15">
        <v>269165</v>
      </c>
      <c r="C219" s="15">
        <v>269</v>
      </c>
      <c r="D219" s="19" t="s">
        <v>740</v>
      </c>
      <c r="E219" s="5" t="s">
        <v>2211</v>
      </c>
    </row>
    <row r="220" spans="2:5" x14ac:dyDescent="0.25">
      <c r="B220" s="15">
        <v>269185</v>
      </c>
      <c r="C220" s="15">
        <v>269</v>
      </c>
      <c r="D220" s="19" t="s">
        <v>791</v>
      </c>
      <c r="E220" s="5" t="s">
        <v>2211</v>
      </c>
    </row>
    <row r="221" spans="2:5" x14ac:dyDescent="0.25">
      <c r="B221" s="7">
        <v>269199</v>
      </c>
      <c r="C221" s="7">
        <v>269</v>
      </c>
      <c r="D221" s="2" t="s">
        <v>827</v>
      </c>
      <c r="E221" s="5" t="s">
        <v>2211</v>
      </c>
    </row>
    <row r="222" spans="2:5" x14ac:dyDescent="0.25">
      <c r="B222" s="7">
        <v>269201</v>
      </c>
      <c r="C222" s="7">
        <v>269</v>
      </c>
      <c r="D222" s="2" t="s">
        <v>831</v>
      </c>
      <c r="E222" s="5" t="s">
        <v>2211</v>
      </c>
    </row>
    <row r="223" spans="2:5" x14ac:dyDescent="0.25">
      <c r="B223" s="7">
        <v>269202</v>
      </c>
      <c r="C223" s="7">
        <v>269</v>
      </c>
      <c r="D223" s="2" t="s">
        <v>834</v>
      </c>
      <c r="E223" s="5" t="s">
        <v>2211</v>
      </c>
    </row>
    <row r="224" spans="2:5" x14ac:dyDescent="0.25">
      <c r="B224" s="7">
        <v>269196</v>
      </c>
      <c r="C224" s="7">
        <v>269</v>
      </c>
      <c r="D224" s="2" t="s">
        <v>818</v>
      </c>
      <c r="E224" s="5" t="s">
        <v>2211</v>
      </c>
    </row>
    <row r="225" spans="2:5" x14ac:dyDescent="0.25">
      <c r="B225" s="7">
        <v>269208</v>
      </c>
      <c r="C225" s="7">
        <v>269</v>
      </c>
      <c r="D225" s="2" t="s">
        <v>848</v>
      </c>
      <c r="E225" s="5" t="s">
        <v>2211</v>
      </c>
    </row>
    <row r="226" spans="2:5" x14ac:dyDescent="0.25">
      <c r="B226" s="7">
        <v>269198</v>
      </c>
      <c r="C226" s="7">
        <v>269</v>
      </c>
      <c r="D226" s="2" t="s">
        <v>824</v>
      </c>
      <c r="E226" s="5" t="s">
        <v>2211</v>
      </c>
    </row>
    <row r="227" spans="2:5" x14ac:dyDescent="0.25">
      <c r="B227" s="7">
        <v>269217</v>
      </c>
      <c r="C227" s="7">
        <v>269</v>
      </c>
      <c r="D227" s="2" t="s">
        <v>865</v>
      </c>
      <c r="E227" s="5" t="s">
        <v>2210</v>
      </c>
    </row>
    <row r="228" spans="2:5" x14ac:dyDescent="0.25">
      <c r="B228" s="7">
        <v>269222</v>
      </c>
      <c r="C228" s="7">
        <v>269</v>
      </c>
      <c r="D228" s="2" t="s">
        <v>874</v>
      </c>
      <c r="E228" s="5" t="s">
        <v>2210</v>
      </c>
    </row>
    <row r="229" spans="2:5" x14ac:dyDescent="0.25">
      <c r="B229" s="7">
        <v>269226</v>
      </c>
      <c r="C229" s="7">
        <v>269</v>
      </c>
      <c r="D229" s="2" t="s">
        <v>881</v>
      </c>
      <c r="E229" s="5" t="s">
        <v>2210</v>
      </c>
    </row>
    <row r="230" spans="2:5" x14ac:dyDescent="0.25">
      <c r="B230" s="7">
        <v>269230</v>
      </c>
      <c r="C230" s="7">
        <v>269</v>
      </c>
      <c r="D230" s="2" t="s">
        <v>890</v>
      </c>
      <c r="E230" s="5" t="s">
        <v>2210</v>
      </c>
    </row>
    <row r="231" spans="2:5" x14ac:dyDescent="0.25">
      <c r="B231" s="7">
        <v>269232</v>
      </c>
      <c r="C231" s="7">
        <v>269</v>
      </c>
      <c r="D231" s="2" t="s">
        <v>894</v>
      </c>
      <c r="E231" s="5" t="s">
        <v>2210</v>
      </c>
    </row>
    <row r="232" spans="2:5" x14ac:dyDescent="0.25">
      <c r="B232" s="7">
        <v>269240</v>
      </c>
      <c r="C232" s="7">
        <v>269</v>
      </c>
      <c r="D232" s="2" t="s">
        <v>911</v>
      </c>
      <c r="E232" s="5" t="s">
        <v>2210</v>
      </c>
    </row>
    <row r="233" spans="2:5" x14ac:dyDescent="0.25">
      <c r="B233" s="7">
        <v>269238</v>
      </c>
      <c r="C233" s="7">
        <v>269</v>
      </c>
      <c r="D233" s="2" t="s">
        <v>906</v>
      </c>
      <c r="E233" s="5" t="s">
        <v>2210</v>
      </c>
    </row>
    <row r="234" spans="2:5" x14ac:dyDescent="0.25">
      <c r="B234" s="7">
        <v>269123</v>
      </c>
      <c r="C234" s="7">
        <v>269</v>
      </c>
      <c r="D234" s="2" t="s">
        <v>640</v>
      </c>
      <c r="E234" s="5" t="s">
        <v>2210</v>
      </c>
    </row>
    <row r="235" spans="2:5" x14ac:dyDescent="0.25">
      <c r="B235" s="7">
        <v>269129</v>
      </c>
      <c r="C235" s="7">
        <v>269</v>
      </c>
      <c r="D235" s="2" t="s">
        <v>653</v>
      </c>
      <c r="E235" s="5" t="s">
        <v>2210</v>
      </c>
    </row>
    <row r="236" spans="2:5" x14ac:dyDescent="0.25">
      <c r="B236" s="7">
        <v>269137</v>
      </c>
      <c r="C236" s="7">
        <v>269</v>
      </c>
      <c r="D236" s="2" t="s">
        <v>673</v>
      </c>
      <c r="E236" s="5" t="s">
        <v>2210</v>
      </c>
    </row>
    <row r="237" spans="2:5" x14ac:dyDescent="0.25">
      <c r="B237" s="7">
        <v>269141</v>
      </c>
      <c r="C237" s="7">
        <v>269</v>
      </c>
      <c r="D237" s="2" t="s">
        <v>680</v>
      </c>
      <c r="E237" s="5" t="s">
        <v>2210</v>
      </c>
    </row>
    <row r="238" spans="2:5" x14ac:dyDescent="0.25">
      <c r="B238" s="7">
        <v>269142</v>
      </c>
      <c r="C238" s="7">
        <v>269</v>
      </c>
      <c r="D238" s="2" t="s">
        <v>682</v>
      </c>
      <c r="E238" s="5" t="s">
        <v>2210</v>
      </c>
    </row>
    <row r="239" spans="2:5" x14ac:dyDescent="0.25">
      <c r="B239" s="7">
        <v>269156</v>
      </c>
      <c r="C239" s="7">
        <v>269</v>
      </c>
      <c r="D239" s="2" t="s">
        <v>717</v>
      </c>
      <c r="E239" s="5" t="s">
        <v>2210</v>
      </c>
    </row>
    <row r="240" spans="2:5" x14ac:dyDescent="0.25">
      <c r="B240" s="7">
        <v>269152</v>
      </c>
      <c r="C240" s="7">
        <v>269</v>
      </c>
      <c r="D240" s="2" t="s">
        <v>706</v>
      </c>
      <c r="E240" s="5" t="s">
        <v>2210</v>
      </c>
    </row>
    <row r="241" spans="2:5" x14ac:dyDescent="0.25">
      <c r="B241" s="7">
        <v>269164</v>
      </c>
      <c r="C241" s="7">
        <v>269</v>
      </c>
      <c r="D241" s="2" t="s">
        <v>737</v>
      </c>
      <c r="E241" s="5" t="s">
        <v>2210</v>
      </c>
    </row>
    <row r="242" spans="2:5" x14ac:dyDescent="0.25">
      <c r="B242" s="7">
        <v>269125</v>
      </c>
      <c r="C242" s="7">
        <v>269</v>
      </c>
      <c r="D242" s="2" t="s">
        <v>644</v>
      </c>
      <c r="E242" s="5" t="s">
        <v>2210</v>
      </c>
    </row>
    <row r="243" spans="2:5" x14ac:dyDescent="0.25">
      <c r="B243" s="7">
        <v>269168</v>
      </c>
      <c r="C243" s="7">
        <v>269</v>
      </c>
      <c r="D243" s="2" t="s">
        <v>748</v>
      </c>
      <c r="E243" s="5" t="s">
        <v>2210</v>
      </c>
    </row>
    <row r="244" spans="2:5" x14ac:dyDescent="0.25">
      <c r="B244" s="7">
        <v>269175</v>
      </c>
      <c r="C244" s="7">
        <v>269</v>
      </c>
      <c r="D244" s="2" t="s">
        <v>765</v>
      </c>
      <c r="E244" s="5" t="s">
        <v>2210</v>
      </c>
    </row>
    <row r="245" spans="2:5" x14ac:dyDescent="0.25">
      <c r="B245" s="7">
        <v>269179</v>
      </c>
      <c r="C245" s="7">
        <v>269</v>
      </c>
      <c r="D245" s="2" t="s">
        <v>776</v>
      </c>
      <c r="E245" s="5" t="s">
        <v>2210</v>
      </c>
    </row>
    <row r="246" spans="2:5" x14ac:dyDescent="0.25">
      <c r="B246" s="7">
        <v>269161</v>
      </c>
      <c r="C246" s="7">
        <v>269</v>
      </c>
      <c r="D246" s="2" t="s">
        <v>730</v>
      </c>
      <c r="E246" s="5" t="s">
        <v>2210</v>
      </c>
    </row>
    <row r="247" spans="2:5" x14ac:dyDescent="0.25">
      <c r="B247" s="7">
        <v>269132</v>
      </c>
      <c r="C247" s="7">
        <v>269</v>
      </c>
      <c r="D247" s="2" t="s">
        <v>660</v>
      </c>
      <c r="E247" s="5" t="s">
        <v>2210</v>
      </c>
    </row>
    <row r="248" spans="2:5" x14ac:dyDescent="0.25">
      <c r="B248" s="7">
        <v>269166</v>
      </c>
      <c r="C248" s="7">
        <v>269</v>
      </c>
      <c r="D248" s="2" t="s">
        <v>742</v>
      </c>
      <c r="E248" s="5" t="s">
        <v>2210</v>
      </c>
    </row>
    <row r="249" spans="2:5" x14ac:dyDescent="0.25">
      <c r="B249" s="7">
        <v>269183</v>
      </c>
      <c r="C249" s="7">
        <v>269</v>
      </c>
      <c r="D249" s="2" t="s">
        <v>787</v>
      </c>
      <c r="E249" s="5" t="s">
        <v>2210</v>
      </c>
    </row>
    <row r="250" spans="2:5" x14ac:dyDescent="0.25">
      <c r="B250" s="7">
        <v>269155</v>
      </c>
      <c r="C250" s="7">
        <v>269</v>
      </c>
      <c r="D250" s="2" t="s">
        <v>715</v>
      </c>
      <c r="E250" s="5" t="s">
        <v>2210</v>
      </c>
    </row>
    <row r="251" spans="2:5" x14ac:dyDescent="0.25">
      <c r="B251" s="7">
        <v>269162</v>
      </c>
      <c r="C251" s="7">
        <v>269</v>
      </c>
      <c r="D251" s="2" t="s">
        <v>733</v>
      </c>
      <c r="E251" s="5" t="s">
        <v>2210</v>
      </c>
    </row>
    <row r="252" spans="2:5" x14ac:dyDescent="0.25">
      <c r="B252" s="7">
        <v>269211</v>
      </c>
      <c r="C252" s="7">
        <v>269</v>
      </c>
      <c r="D252" s="2" t="s">
        <v>854</v>
      </c>
      <c r="E252" s="5" t="s">
        <v>2209</v>
      </c>
    </row>
    <row r="253" spans="2:5" x14ac:dyDescent="0.25">
      <c r="B253" s="7">
        <v>269218</v>
      </c>
      <c r="C253" s="7">
        <v>269</v>
      </c>
      <c r="D253" s="2" t="s">
        <v>867</v>
      </c>
      <c r="E253" s="5" t="s">
        <v>2209</v>
      </c>
    </row>
    <row r="254" spans="2:5" x14ac:dyDescent="0.25">
      <c r="B254" s="7">
        <v>269219</v>
      </c>
      <c r="C254" s="7">
        <v>269</v>
      </c>
      <c r="D254" s="2" t="s">
        <v>869</v>
      </c>
      <c r="E254" s="5" t="s">
        <v>2209</v>
      </c>
    </row>
    <row r="255" spans="2:5" x14ac:dyDescent="0.25">
      <c r="B255" s="7">
        <v>269227</v>
      </c>
      <c r="C255" s="7">
        <v>269</v>
      </c>
      <c r="D255" s="2" t="s">
        <v>883</v>
      </c>
      <c r="E255" s="5" t="s">
        <v>2209</v>
      </c>
    </row>
    <row r="256" spans="2:5" x14ac:dyDescent="0.25">
      <c r="B256" s="7">
        <v>269234</v>
      </c>
      <c r="C256" s="7">
        <v>269</v>
      </c>
      <c r="D256" s="2" t="s">
        <v>898</v>
      </c>
      <c r="E256" s="5" t="s">
        <v>2209</v>
      </c>
    </row>
    <row r="257" spans="2:5" x14ac:dyDescent="0.25">
      <c r="B257" s="7">
        <v>269243</v>
      </c>
      <c r="C257" s="7">
        <v>269</v>
      </c>
      <c r="D257" s="2" t="s">
        <v>917</v>
      </c>
      <c r="E257" s="5" t="s">
        <v>2209</v>
      </c>
    </row>
    <row r="258" spans="2:5" x14ac:dyDescent="0.25">
      <c r="B258" s="7">
        <v>269126</v>
      </c>
      <c r="C258" s="7">
        <v>269</v>
      </c>
      <c r="D258" s="2" t="s">
        <v>646</v>
      </c>
      <c r="E258" s="5" t="s">
        <v>2209</v>
      </c>
    </row>
    <row r="259" spans="2:5" x14ac:dyDescent="0.25">
      <c r="B259" s="7">
        <v>269131</v>
      </c>
      <c r="C259" s="7">
        <v>269</v>
      </c>
      <c r="D259" s="2" t="s">
        <v>659</v>
      </c>
      <c r="E259" s="5" t="s">
        <v>2209</v>
      </c>
    </row>
    <row r="260" spans="2:5" x14ac:dyDescent="0.25">
      <c r="B260" s="7">
        <v>269134</v>
      </c>
      <c r="C260" s="7">
        <v>269</v>
      </c>
      <c r="D260" s="2" t="s">
        <v>665</v>
      </c>
      <c r="E260" s="5" t="s">
        <v>2209</v>
      </c>
    </row>
    <row r="261" spans="2:5" x14ac:dyDescent="0.25">
      <c r="B261" s="7">
        <v>269140</v>
      </c>
      <c r="C261" s="7">
        <v>269</v>
      </c>
      <c r="D261" s="2" t="s">
        <v>678</v>
      </c>
      <c r="E261" s="5" t="s">
        <v>2209</v>
      </c>
    </row>
    <row r="262" spans="2:5" x14ac:dyDescent="0.25">
      <c r="B262" s="7">
        <v>269146</v>
      </c>
      <c r="C262" s="7">
        <v>269</v>
      </c>
      <c r="D262" s="2" t="s">
        <v>693</v>
      </c>
      <c r="E262" s="5" t="s">
        <v>2209</v>
      </c>
    </row>
    <row r="263" spans="2:5" x14ac:dyDescent="0.25">
      <c r="B263" s="7">
        <v>269151</v>
      </c>
      <c r="C263" s="7">
        <v>269</v>
      </c>
      <c r="D263" s="2" t="s">
        <v>705</v>
      </c>
      <c r="E263" s="5" t="s">
        <v>2209</v>
      </c>
    </row>
    <row r="264" spans="2:5" x14ac:dyDescent="0.25">
      <c r="B264" s="7">
        <v>269157</v>
      </c>
      <c r="C264" s="7">
        <v>269</v>
      </c>
      <c r="D264" s="2" t="s">
        <v>720</v>
      </c>
      <c r="E264" s="5" t="s">
        <v>2209</v>
      </c>
    </row>
    <row r="265" spans="2:5" x14ac:dyDescent="0.25">
      <c r="B265" s="7">
        <v>269188</v>
      </c>
      <c r="C265" s="7">
        <v>269</v>
      </c>
      <c r="D265" s="2" t="s">
        <v>799</v>
      </c>
      <c r="E265" s="5" t="s">
        <v>2209</v>
      </c>
    </row>
    <row r="266" spans="2:5" x14ac:dyDescent="0.25">
      <c r="B266" s="7">
        <v>269167</v>
      </c>
      <c r="C266" s="7">
        <v>269</v>
      </c>
      <c r="D266" s="2" t="s">
        <v>745</v>
      </c>
      <c r="E266" s="5" t="s">
        <v>2209</v>
      </c>
    </row>
    <row r="267" spans="2:5" x14ac:dyDescent="0.25">
      <c r="B267" s="7">
        <v>269170</v>
      </c>
      <c r="C267" s="7">
        <v>269</v>
      </c>
      <c r="D267" s="2" t="s">
        <v>754</v>
      </c>
      <c r="E267" s="5" t="s">
        <v>2209</v>
      </c>
    </row>
    <row r="268" spans="2:5" x14ac:dyDescent="0.25">
      <c r="B268" s="7">
        <v>269174</v>
      </c>
      <c r="C268" s="7">
        <v>269</v>
      </c>
      <c r="D268" s="2" t="s">
        <v>762</v>
      </c>
      <c r="E268" s="5" t="s">
        <v>2209</v>
      </c>
    </row>
    <row r="269" spans="2:5" x14ac:dyDescent="0.25">
      <c r="B269" s="7">
        <v>269186</v>
      </c>
      <c r="C269" s="7">
        <v>269</v>
      </c>
      <c r="D269" s="2" t="s">
        <v>794</v>
      </c>
      <c r="E269" s="5" t="s">
        <v>2209</v>
      </c>
    </row>
    <row r="270" spans="2:5" x14ac:dyDescent="0.25">
      <c r="B270" s="7">
        <v>269130</v>
      </c>
      <c r="C270" s="7">
        <v>269</v>
      </c>
      <c r="D270" s="2" t="s">
        <v>656</v>
      </c>
      <c r="E270" s="5" t="s">
        <v>2209</v>
      </c>
    </row>
    <row r="271" spans="2:5" x14ac:dyDescent="0.25">
      <c r="B271" s="7">
        <v>269169</v>
      </c>
      <c r="C271" s="7">
        <v>269</v>
      </c>
      <c r="D271" s="2" t="s">
        <v>751</v>
      </c>
      <c r="E271" s="5" t="s">
        <v>2209</v>
      </c>
    </row>
    <row r="272" spans="2:5" x14ac:dyDescent="0.25">
      <c r="B272" s="7">
        <v>269135</v>
      </c>
      <c r="C272" s="7">
        <v>269</v>
      </c>
      <c r="D272" s="2" t="s">
        <v>668</v>
      </c>
      <c r="E272" s="5" t="s">
        <v>2209</v>
      </c>
    </row>
    <row r="273" spans="2:5" x14ac:dyDescent="0.25">
      <c r="B273" s="7">
        <v>269187</v>
      </c>
      <c r="C273" s="7">
        <v>269</v>
      </c>
      <c r="D273" s="2" t="s">
        <v>797</v>
      </c>
      <c r="E273" s="5" t="s">
        <v>2209</v>
      </c>
    </row>
    <row r="274" spans="2:5" x14ac:dyDescent="0.25">
      <c r="B274" s="7">
        <v>269192</v>
      </c>
      <c r="C274" s="7">
        <v>269</v>
      </c>
      <c r="D274" s="2" t="s">
        <v>810</v>
      </c>
      <c r="E274" s="5" t="s">
        <v>2209</v>
      </c>
    </row>
    <row r="275" spans="2:5" x14ac:dyDescent="0.25">
      <c r="B275" s="7">
        <v>269195</v>
      </c>
      <c r="C275" s="7">
        <v>269</v>
      </c>
      <c r="D275" s="2" t="s">
        <v>816</v>
      </c>
      <c r="E275" s="5" t="s">
        <v>2209</v>
      </c>
    </row>
    <row r="276" spans="2:5" x14ac:dyDescent="0.25">
      <c r="B276" s="7">
        <v>269212</v>
      </c>
      <c r="C276" s="7">
        <v>269</v>
      </c>
      <c r="D276" s="2" t="s">
        <v>856</v>
      </c>
      <c r="E276" s="5" t="s">
        <v>2810</v>
      </c>
    </row>
    <row r="277" spans="2:5" x14ac:dyDescent="0.25">
      <c r="B277" s="7">
        <v>269229</v>
      </c>
      <c r="C277" s="7">
        <v>269</v>
      </c>
      <c r="D277" s="2" t="s">
        <v>888</v>
      </c>
      <c r="E277" s="5" t="s">
        <v>2810</v>
      </c>
    </row>
    <row r="278" spans="2:5" x14ac:dyDescent="0.25">
      <c r="B278" s="7">
        <v>269215</v>
      </c>
      <c r="C278" s="7">
        <v>269</v>
      </c>
      <c r="D278" s="2" t="s">
        <v>862</v>
      </c>
      <c r="E278" s="5" t="s">
        <v>2810</v>
      </c>
    </row>
    <row r="279" spans="2:5" x14ac:dyDescent="0.25">
      <c r="B279" s="7">
        <v>269235</v>
      </c>
      <c r="C279" s="7">
        <v>269</v>
      </c>
      <c r="D279" s="2" t="s">
        <v>900</v>
      </c>
      <c r="E279" s="5" t="s">
        <v>2810</v>
      </c>
    </row>
    <row r="280" spans="2:5" x14ac:dyDescent="0.25">
      <c r="B280" s="7">
        <v>269239</v>
      </c>
      <c r="C280" s="7">
        <v>269</v>
      </c>
      <c r="D280" s="2" t="s">
        <v>908</v>
      </c>
      <c r="E280" s="5" t="s">
        <v>2810</v>
      </c>
    </row>
    <row r="281" spans="2:5" x14ac:dyDescent="0.25">
      <c r="B281" s="7">
        <v>269242</v>
      </c>
      <c r="C281" s="7">
        <v>269</v>
      </c>
      <c r="D281" s="2" t="s">
        <v>915</v>
      </c>
      <c r="E281" s="5" t="s">
        <v>2810</v>
      </c>
    </row>
    <row r="282" spans="2:5" x14ac:dyDescent="0.25">
      <c r="B282" s="7">
        <v>269249</v>
      </c>
      <c r="C282" s="7">
        <v>269</v>
      </c>
      <c r="D282" s="2" t="s">
        <v>921</v>
      </c>
      <c r="E282" s="5" t="s">
        <v>2810</v>
      </c>
    </row>
    <row r="283" spans="2:5" x14ac:dyDescent="0.25">
      <c r="B283" s="7">
        <v>269127</v>
      </c>
      <c r="C283" s="7">
        <v>269</v>
      </c>
      <c r="D283" s="2" t="s">
        <v>648</v>
      </c>
      <c r="E283" s="5" t="s">
        <v>2810</v>
      </c>
    </row>
    <row r="284" spans="2:5" x14ac:dyDescent="0.25">
      <c r="B284" s="7">
        <v>269128</v>
      </c>
      <c r="C284" s="7">
        <v>269</v>
      </c>
      <c r="D284" s="2" t="s">
        <v>651</v>
      </c>
      <c r="E284" s="5" t="s">
        <v>2810</v>
      </c>
    </row>
    <row r="285" spans="2:5" x14ac:dyDescent="0.25">
      <c r="B285" s="7">
        <v>269203</v>
      </c>
      <c r="C285" s="7">
        <v>269</v>
      </c>
      <c r="D285" s="2" t="s">
        <v>836</v>
      </c>
      <c r="E285" s="5" t="s">
        <v>2810</v>
      </c>
    </row>
    <row r="286" spans="2:5" x14ac:dyDescent="0.25">
      <c r="B286" s="7">
        <v>269143</v>
      </c>
      <c r="C286" s="7">
        <v>269</v>
      </c>
      <c r="D286" s="2" t="s">
        <v>685</v>
      </c>
      <c r="E286" s="5" t="s">
        <v>2810</v>
      </c>
    </row>
    <row r="287" spans="2:5" x14ac:dyDescent="0.25">
      <c r="B287" s="7">
        <v>269149</v>
      </c>
      <c r="C287" s="7">
        <v>269</v>
      </c>
      <c r="D287" s="2" t="s">
        <v>701</v>
      </c>
      <c r="E287" s="5" t="s">
        <v>2810</v>
      </c>
    </row>
    <row r="288" spans="2:5" x14ac:dyDescent="0.25">
      <c r="B288" s="7">
        <v>269177</v>
      </c>
      <c r="C288" s="7">
        <v>269</v>
      </c>
      <c r="D288" s="2" t="s">
        <v>771</v>
      </c>
      <c r="E288" s="5" t="s">
        <v>2810</v>
      </c>
    </row>
    <row r="289" spans="2:5" x14ac:dyDescent="0.25">
      <c r="B289" s="7">
        <v>269178</v>
      </c>
      <c r="C289" s="7">
        <v>269</v>
      </c>
      <c r="D289" s="2" t="s">
        <v>773</v>
      </c>
      <c r="E289" s="5" t="s">
        <v>2810</v>
      </c>
    </row>
    <row r="290" spans="2:5" x14ac:dyDescent="0.25">
      <c r="B290" s="7">
        <v>269182</v>
      </c>
      <c r="C290" s="7">
        <v>269</v>
      </c>
      <c r="D290" s="2" t="s">
        <v>784</v>
      </c>
      <c r="E290" s="5" t="s">
        <v>2810</v>
      </c>
    </row>
    <row r="291" spans="2:5" x14ac:dyDescent="0.25">
      <c r="B291" s="7">
        <v>269124</v>
      </c>
      <c r="C291" s="7">
        <v>269</v>
      </c>
      <c r="D291" s="2" t="s">
        <v>642</v>
      </c>
      <c r="E291" s="5" t="s">
        <v>2810</v>
      </c>
    </row>
    <row r="292" spans="2:5" x14ac:dyDescent="0.25">
      <c r="B292" s="7">
        <v>269160</v>
      </c>
      <c r="C292" s="7">
        <v>269</v>
      </c>
      <c r="D292" s="2" t="s">
        <v>727</v>
      </c>
      <c r="E292" s="5" t="s">
        <v>2810</v>
      </c>
    </row>
    <row r="293" spans="2:5" x14ac:dyDescent="0.25">
      <c r="B293" s="7">
        <v>269190</v>
      </c>
      <c r="C293" s="7">
        <v>269</v>
      </c>
      <c r="D293" s="2" t="s">
        <v>804</v>
      </c>
      <c r="E293" s="5" t="s">
        <v>2810</v>
      </c>
    </row>
    <row r="294" spans="2:5" x14ac:dyDescent="0.25">
      <c r="B294" s="7">
        <v>269197</v>
      </c>
      <c r="C294" s="7">
        <v>269</v>
      </c>
      <c r="D294" s="2" t="s">
        <v>820</v>
      </c>
      <c r="E294" s="5" t="s">
        <v>2810</v>
      </c>
    </row>
    <row r="295" spans="2:5" x14ac:dyDescent="0.25">
      <c r="B295" s="7">
        <v>269150</v>
      </c>
      <c r="C295" s="7">
        <v>269</v>
      </c>
      <c r="D295" s="2" t="s">
        <v>703</v>
      </c>
      <c r="E295" s="5" t="s">
        <v>2810</v>
      </c>
    </row>
    <row r="296" spans="2:5" x14ac:dyDescent="0.25">
      <c r="B296" s="7">
        <v>269158</v>
      </c>
      <c r="C296" s="7">
        <v>269</v>
      </c>
      <c r="D296" s="2" t="s">
        <v>723</v>
      </c>
      <c r="E296" s="5" t="s">
        <v>2810</v>
      </c>
    </row>
    <row r="297" spans="2:5" x14ac:dyDescent="0.25">
      <c r="B297" s="7">
        <v>269176</v>
      </c>
      <c r="C297" s="7">
        <v>269</v>
      </c>
      <c r="D297" s="2" t="s">
        <v>768</v>
      </c>
      <c r="E297" s="5" t="s">
        <v>2810</v>
      </c>
    </row>
    <row r="298" spans="2:5" x14ac:dyDescent="0.25">
      <c r="B298" s="7">
        <v>269191</v>
      </c>
      <c r="C298" s="7">
        <v>269</v>
      </c>
      <c r="D298" s="2" t="s">
        <v>807</v>
      </c>
      <c r="E298" s="5" t="s">
        <v>2810</v>
      </c>
    </row>
    <row r="299" spans="2:5" x14ac:dyDescent="0.25">
      <c r="B299" s="7">
        <v>269147</v>
      </c>
      <c r="C299" s="7">
        <v>269</v>
      </c>
      <c r="D299" s="2" t="s">
        <v>696</v>
      </c>
      <c r="E299" s="5" t="s">
        <v>2810</v>
      </c>
    </row>
    <row r="300" spans="2:5" x14ac:dyDescent="0.25">
      <c r="B300" s="7">
        <v>269214</v>
      </c>
      <c r="C300" s="7">
        <v>269</v>
      </c>
      <c r="D300" s="2" t="s">
        <v>860</v>
      </c>
      <c r="E300" s="5" t="s">
        <v>922</v>
      </c>
    </row>
    <row r="301" spans="2:5" x14ac:dyDescent="0.25">
      <c r="B301" s="7">
        <v>269216</v>
      </c>
      <c r="C301" s="7">
        <v>269</v>
      </c>
      <c r="D301" s="2" t="s">
        <v>863</v>
      </c>
      <c r="E301" s="5" t="s">
        <v>922</v>
      </c>
    </row>
    <row r="302" spans="2:5" x14ac:dyDescent="0.25">
      <c r="B302" s="7">
        <v>269224</v>
      </c>
      <c r="C302" s="7">
        <v>269</v>
      </c>
      <c r="D302" s="2" t="s">
        <v>878</v>
      </c>
      <c r="E302" s="5" t="s">
        <v>922</v>
      </c>
    </row>
    <row r="303" spans="2:5" x14ac:dyDescent="0.25">
      <c r="B303" s="7">
        <v>269225</v>
      </c>
      <c r="C303" s="7">
        <v>269</v>
      </c>
      <c r="D303" s="2" t="s">
        <v>880</v>
      </c>
      <c r="E303" s="5" t="s">
        <v>922</v>
      </c>
    </row>
    <row r="304" spans="2:5" x14ac:dyDescent="0.25">
      <c r="B304" s="7">
        <v>269233</v>
      </c>
      <c r="C304" s="7">
        <v>269</v>
      </c>
      <c r="D304" s="2" t="s">
        <v>896</v>
      </c>
      <c r="E304" s="5" t="s">
        <v>922</v>
      </c>
    </row>
    <row r="305" spans="2:5" x14ac:dyDescent="0.25">
      <c r="B305" s="7">
        <v>269236</v>
      </c>
      <c r="C305" s="7">
        <v>269</v>
      </c>
      <c r="D305" s="2" t="s">
        <v>902</v>
      </c>
      <c r="E305" s="5" t="s">
        <v>922</v>
      </c>
    </row>
    <row r="306" spans="2:5" x14ac:dyDescent="0.25">
      <c r="B306" s="7">
        <v>269237</v>
      </c>
      <c r="C306" s="7">
        <v>269</v>
      </c>
      <c r="D306" s="2" t="s">
        <v>904</v>
      </c>
      <c r="E306" s="5" t="s">
        <v>922</v>
      </c>
    </row>
    <row r="307" spans="2:5" x14ac:dyDescent="0.25">
      <c r="B307" s="7">
        <v>269244</v>
      </c>
      <c r="C307" s="7">
        <v>269</v>
      </c>
      <c r="D307" s="2" t="s">
        <v>919</v>
      </c>
      <c r="E307" s="5" t="s">
        <v>922</v>
      </c>
    </row>
    <row r="308" spans="2:5" x14ac:dyDescent="0.25">
      <c r="B308" s="7">
        <v>269133</v>
      </c>
      <c r="C308" s="7">
        <v>269</v>
      </c>
      <c r="D308" s="2" t="s">
        <v>663</v>
      </c>
      <c r="E308" s="5" t="s">
        <v>922</v>
      </c>
    </row>
    <row r="309" spans="2:5" x14ac:dyDescent="0.25">
      <c r="B309" s="7">
        <v>269136</v>
      </c>
      <c r="C309" s="7">
        <v>269</v>
      </c>
      <c r="D309" s="2" t="s">
        <v>670</v>
      </c>
      <c r="E309" s="5" t="s">
        <v>922</v>
      </c>
    </row>
    <row r="310" spans="2:5" x14ac:dyDescent="0.25">
      <c r="B310" s="7">
        <v>269139</v>
      </c>
      <c r="C310" s="7">
        <v>269</v>
      </c>
      <c r="D310" s="2" t="s">
        <v>676</v>
      </c>
      <c r="E310" s="5" t="s">
        <v>922</v>
      </c>
    </row>
    <row r="311" spans="2:5" x14ac:dyDescent="0.25">
      <c r="B311" s="7">
        <v>269159</v>
      </c>
      <c r="C311" s="7">
        <v>269</v>
      </c>
      <c r="D311" s="2" t="s">
        <v>725</v>
      </c>
      <c r="E311" s="5" t="s">
        <v>922</v>
      </c>
    </row>
    <row r="312" spans="2:5" x14ac:dyDescent="0.25">
      <c r="B312" s="7">
        <v>269145</v>
      </c>
      <c r="C312" s="7">
        <v>269</v>
      </c>
      <c r="D312" s="2" t="s">
        <v>690</v>
      </c>
      <c r="E312" s="5" t="s">
        <v>922</v>
      </c>
    </row>
    <row r="313" spans="2:5" x14ac:dyDescent="0.25">
      <c r="B313" s="7">
        <v>269154</v>
      </c>
      <c r="C313" s="7">
        <v>269</v>
      </c>
      <c r="D313" s="2" t="s">
        <v>713</v>
      </c>
      <c r="E313" s="5" t="s">
        <v>922</v>
      </c>
    </row>
    <row r="314" spans="2:5" x14ac:dyDescent="0.25">
      <c r="B314" s="7">
        <v>269163</v>
      </c>
      <c r="C314" s="7">
        <v>269</v>
      </c>
      <c r="D314" s="2" t="s">
        <v>735</v>
      </c>
      <c r="E314" s="5" t="s">
        <v>922</v>
      </c>
    </row>
    <row r="315" spans="2:5" x14ac:dyDescent="0.25">
      <c r="B315" s="7">
        <v>269172</v>
      </c>
      <c r="C315" s="7">
        <v>269</v>
      </c>
      <c r="D315" s="2" t="s">
        <v>758</v>
      </c>
      <c r="E315" s="5" t="s">
        <v>922</v>
      </c>
    </row>
    <row r="316" spans="2:5" x14ac:dyDescent="0.25">
      <c r="B316" s="7">
        <v>269173</v>
      </c>
      <c r="C316" s="7">
        <v>269</v>
      </c>
      <c r="D316" s="2" t="s">
        <v>760</v>
      </c>
      <c r="E316" s="5" t="s">
        <v>922</v>
      </c>
    </row>
    <row r="317" spans="2:5" x14ac:dyDescent="0.25">
      <c r="B317" s="7">
        <v>269180</v>
      </c>
      <c r="C317" s="7">
        <v>269</v>
      </c>
      <c r="D317" s="2" t="s">
        <v>778</v>
      </c>
      <c r="E317" s="5" t="s">
        <v>922</v>
      </c>
    </row>
    <row r="318" spans="2:5" x14ac:dyDescent="0.25">
      <c r="B318" s="7">
        <v>269181</v>
      </c>
      <c r="C318" s="7">
        <v>269</v>
      </c>
      <c r="D318" s="2" t="s">
        <v>781</v>
      </c>
      <c r="E318" s="5" t="s">
        <v>922</v>
      </c>
    </row>
    <row r="319" spans="2:5" x14ac:dyDescent="0.25">
      <c r="B319" s="7">
        <v>269171</v>
      </c>
      <c r="C319" s="7">
        <v>269</v>
      </c>
      <c r="D319" s="2" t="s">
        <v>756</v>
      </c>
      <c r="E319" s="5" t="s">
        <v>922</v>
      </c>
    </row>
    <row r="320" spans="2:5" x14ac:dyDescent="0.25">
      <c r="B320" s="7">
        <v>269184</v>
      </c>
      <c r="C320" s="7">
        <v>269</v>
      </c>
      <c r="D320" s="2" t="s">
        <v>789</v>
      </c>
      <c r="E320" s="5" t="s">
        <v>922</v>
      </c>
    </row>
    <row r="321" spans="2:5" x14ac:dyDescent="0.25">
      <c r="B321" s="7">
        <v>269189</v>
      </c>
      <c r="C321" s="7">
        <v>269</v>
      </c>
      <c r="D321" s="2" t="s">
        <v>801</v>
      </c>
      <c r="E321" s="5" t="s">
        <v>922</v>
      </c>
    </row>
    <row r="322" spans="2:5" x14ac:dyDescent="0.25">
      <c r="B322" s="7">
        <v>269193</v>
      </c>
      <c r="C322" s="7">
        <v>269</v>
      </c>
      <c r="D322" s="2" t="s">
        <v>812</v>
      </c>
      <c r="E322" s="5" t="s">
        <v>922</v>
      </c>
    </row>
    <row r="323" spans="2:5" x14ac:dyDescent="0.25">
      <c r="B323" s="7">
        <v>269194</v>
      </c>
      <c r="C323" s="7">
        <v>269</v>
      </c>
      <c r="D323" s="2" t="s">
        <v>814</v>
      </c>
      <c r="E323" s="5" t="s">
        <v>922</v>
      </c>
    </row>
    <row r="324" spans="2:5" x14ac:dyDescent="0.25">
      <c r="B324" s="7">
        <v>269148</v>
      </c>
      <c r="C324" s="7">
        <v>269</v>
      </c>
      <c r="D324" s="2" t="s">
        <v>699</v>
      </c>
      <c r="E324" s="5" t="s">
        <v>922</v>
      </c>
    </row>
    <row r="325" spans="2:5" x14ac:dyDescent="0.25">
      <c r="B325" s="14">
        <v>279000</v>
      </c>
      <c r="C325" s="15">
        <v>279</v>
      </c>
      <c r="D325" s="6" t="s">
        <v>1966</v>
      </c>
      <c r="E325" s="5" t="s">
        <v>2001</v>
      </c>
    </row>
    <row r="326" spans="2:5" x14ac:dyDescent="0.25">
      <c r="B326" s="14">
        <v>279001</v>
      </c>
      <c r="C326" s="15">
        <v>279</v>
      </c>
      <c r="D326" s="6" t="s">
        <v>1967</v>
      </c>
      <c r="E326" s="5" t="s">
        <v>2001</v>
      </c>
    </row>
    <row r="327" spans="2:5" x14ac:dyDescent="0.25">
      <c r="B327" s="14">
        <v>286000</v>
      </c>
      <c r="C327" s="15">
        <v>286</v>
      </c>
      <c r="D327" s="6" t="s">
        <v>1968</v>
      </c>
      <c r="E327" s="5" t="s">
        <v>2207</v>
      </c>
    </row>
    <row r="328" spans="2:5" x14ac:dyDescent="0.25">
      <c r="B328" s="14">
        <v>286006</v>
      </c>
      <c r="C328" s="15">
        <v>286</v>
      </c>
      <c r="D328" s="6" t="s">
        <v>1973</v>
      </c>
      <c r="E328" s="5" t="s">
        <v>2207</v>
      </c>
    </row>
    <row r="329" spans="2:5" x14ac:dyDescent="0.25">
      <c r="B329" s="14">
        <v>286007</v>
      </c>
      <c r="C329" s="15">
        <v>286</v>
      </c>
      <c r="D329" s="6" t="s">
        <v>1974</v>
      </c>
      <c r="E329" s="5" t="s">
        <v>2207</v>
      </c>
    </row>
    <row r="330" spans="2:5" x14ac:dyDescent="0.25">
      <c r="B330" s="14">
        <v>286008</v>
      </c>
      <c r="C330" s="15">
        <v>286</v>
      </c>
      <c r="D330" s="6" t="s">
        <v>1975</v>
      </c>
      <c r="E330" s="5" t="s">
        <v>2207</v>
      </c>
    </row>
    <row r="331" spans="2:5" x14ac:dyDescent="0.25">
      <c r="B331" s="14">
        <v>286010</v>
      </c>
      <c r="C331" s="15">
        <v>286</v>
      </c>
      <c r="D331" s="6" t="s">
        <v>1977</v>
      </c>
      <c r="E331" s="5" t="s">
        <v>2207</v>
      </c>
    </row>
    <row r="332" spans="2:5" x14ac:dyDescent="0.25">
      <c r="B332" s="14">
        <v>286011</v>
      </c>
      <c r="C332" s="15">
        <v>286</v>
      </c>
      <c r="D332" s="6" t="s">
        <v>1978</v>
      </c>
      <c r="E332" s="5" t="s">
        <v>2207</v>
      </c>
    </row>
    <row r="333" spans="2:5" x14ac:dyDescent="0.25">
      <c r="B333" s="14">
        <v>286012</v>
      </c>
      <c r="C333" s="15">
        <v>286</v>
      </c>
      <c r="D333" s="6" t="s">
        <v>1979</v>
      </c>
      <c r="E333" s="5" t="s">
        <v>2207</v>
      </c>
    </row>
    <row r="334" spans="2:5" x14ac:dyDescent="0.25">
      <c r="B334" s="14">
        <v>286013</v>
      </c>
      <c r="C334" s="15">
        <v>286</v>
      </c>
      <c r="D334" s="6" t="s">
        <v>1980</v>
      </c>
      <c r="E334" s="5" t="s">
        <v>2207</v>
      </c>
    </row>
    <row r="335" spans="2:5" x14ac:dyDescent="0.25">
      <c r="B335" s="14">
        <v>286018</v>
      </c>
      <c r="C335" s="15">
        <v>286</v>
      </c>
      <c r="D335" s="6" t="s">
        <v>1985</v>
      </c>
      <c r="E335" s="5" t="s">
        <v>2207</v>
      </c>
    </row>
    <row r="336" spans="2:5" x14ac:dyDescent="0.25">
      <c r="B336" s="14">
        <v>286002</v>
      </c>
      <c r="C336" s="15">
        <v>286</v>
      </c>
      <c r="D336" s="6" t="s">
        <v>1970</v>
      </c>
      <c r="E336" s="5" t="s">
        <v>2207</v>
      </c>
    </row>
    <row r="337" spans="2:5" x14ac:dyDescent="0.25">
      <c r="B337" s="14">
        <v>286003</v>
      </c>
      <c r="C337" s="15">
        <v>286</v>
      </c>
      <c r="D337" s="6" t="s">
        <v>1971</v>
      </c>
      <c r="E337" s="5" t="s">
        <v>2207</v>
      </c>
    </row>
    <row r="338" spans="2:5" x14ac:dyDescent="0.25">
      <c r="B338" s="14">
        <v>286005</v>
      </c>
      <c r="C338" s="15">
        <v>286</v>
      </c>
      <c r="D338" s="6" t="s">
        <v>1972</v>
      </c>
      <c r="E338" s="5" t="s">
        <v>2207</v>
      </c>
    </row>
    <row r="339" spans="2:5" x14ac:dyDescent="0.25">
      <c r="B339" s="14">
        <v>286009</v>
      </c>
      <c r="C339" s="15">
        <v>286</v>
      </c>
      <c r="D339" s="6" t="s">
        <v>1976</v>
      </c>
      <c r="E339" s="5" t="s">
        <v>2207</v>
      </c>
    </row>
    <row r="340" spans="2:5" x14ac:dyDescent="0.25">
      <c r="B340" s="14">
        <v>286016</v>
      </c>
      <c r="C340" s="15">
        <v>286</v>
      </c>
      <c r="D340" s="6" t="s">
        <v>1983</v>
      </c>
      <c r="E340" s="5" t="s">
        <v>2000</v>
      </c>
    </row>
    <row r="341" spans="2:5" x14ac:dyDescent="0.25">
      <c r="B341" s="14">
        <v>286017</v>
      </c>
      <c r="C341" s="15">
        <v>286</v>
      </c>
      <c r="D341" s="6" t="s">
        <v>1984</v>
      </c>
      <c r="E341" s="5" t="s">
        <v>2207</v>
      </c>
    </row>
    <row r="342" spans="2:5" x14ac:dyDescent="0.25">
      <c r="B342" s="14">
        <v>286019</v>
      </c>
      <c r="C342" s="15">
        <v>286</v>
      </c>
      <c r="D342" s="6" t="s">
        <v>1986</v>
      </c>
      <c r="E342" s="5" t="s">
        <v>2208</v>
      </c>
    </row>
    <row r="343" spans="2:5" x14ac:dyDescent="0.25">
      <c r="B343" s="14">
        <v>286001</v>
      </c>
      <c r="C343" s="15">
        <v>286</v>
      </c>
      <c r="D343" s="6" t="s">
        <v>1969</v>
      </c>
      <c r="E343" s="5" t="s">
        <v>2000</v>
      </c>
    </row>
    <row r="344" spans="2:5" x14ac:dyDescent="0.25">
      <c r="B344" s="14">
        <v>286014</v>
      </c>
      <c r="C344" s="15">
        <v>286</v>
      </c>
      <c r="D344" s="6" t="s">
        <v>1981</v>
      </c>
      <c r="E344" s="5" t="s">
        <v>2000</v>
      </c>
    </row>
    <row r="345" spans="2:5" x14ac:dyDescent="0.25">
      <c r="B345" s="14">
        <v>286015</v>
      </c>
      <c r="C345" s="15">
        <v>286</v>
      </c>
      <c r="D345" s="6" t="s">
        <v>1982</v>
      </c>
      <c r="E345" s="5" t="s">
        <v>2000</v>
      </c>
    </row>
    <row r="346" spans="2:5" x14ac:dyDescent="0.25">
      <c r="B346" s="15">
        <v>306001</v>
      </c>
      <c r="C346" s="15">
        <v>306</v>
      </c>
      <c r="D346" s="6" t="s">
        <v>2203</v>
      </c>
      <c r="E346" s="5" t="s">
        <v>2000</v>
      </c>
    </row>
    <row r="347" spans="2:5" x14ac:dyDescent="0.25">
      <c r="B347" s="7">
        <v>306003</v>
      </c>
      <c r="C347" s="7">
        <v>306</v>
      </c>
      <c r="D347" s="6" t="s">
        <v>2204</v>
      </c>
      <c r="E347" s="5" t="s">
        <v>2000</v>
      </c>
    </row>
    <row r="348" spans="2:5" s="27" customFormat="1" x14ac:dyDescent="0.25">
      <c r="B348" s="15">
        <v>306004</v>
      </c>
      <c r="C348" s="15">
        <v>306</v>
      </c>
      <c r="D348" s="6" t="s">
        <v>2205</v>
      </c>
      <c r="E348" s="5" t="s">
        <v>2212</v>
      </c>
    </row>
    <row r="349" spans="2:5" x14ac:dyDescent="0.25">
      <c r="B349" s="7">
        <v>308005</v>
      </c>
      <c r="C349" s="7">
        <v>308</v>
      </c>
      <c r="D349" s="4" t="s">
        <v>2206</v>
      </c>
      <c r="E349" s="5" t="s">
        <v>2000</v>
      </c>
    </row>
    <row r="350" spans="2:5" ht="13.2" x14ac:dyDescent="0.25">
      <c r="B350"/>
      <c r="C350"/>
      <c r="D350"/>
      <c r="E350" s="28"/>
    </row>
    <row r="351" spans="2:5" ht="13.2" x14ac:dyDescent="0.25">
      <c r="B351"/>
      <c r="C351"/>
      <c r="D351"/>
      <c r="E351" s="28"/>
    </row>
    <row r="352" spans="2:5" ht="13.2" x14ac:dyDescent="0.25">
      <c r="B352"/>
      <c r="C352"/>
      <c r="D352"/>
      <c r="E352" s="28"/>
    </row>
    <row r="353" spans="5:5" customFormat="1" ht="13.2" x14ac:dyDescent="0.25">
      <c r="E353" s="28"/>
    </row>
    <row r="354" spans="5:5" customFormat="1" ht="13.2" x14ac:dyDescent="0.25">
      <c r="E354" s="28"/>
    </row>
    <row r="355" spans="5:5" customFormat="1" ht="13.2" x14ac:dyDescent="0.25">
      <c r="E355" s="28"/>
    </row>
    <row r="356" spans="5:5" customFormat="1" ht="13.2" x14ac:dyDescent="0.25">
      <c r="E356" s="28"/>
    </row>
    <row r="357" spans="5:5" customFormat="1" ht="13.2" x14ac:dyDescent="0.25">
      <c r="E357" s="28"/>
    </row>
    <row r="358" spans="5:5" customFormat="1" ht="13.2" x14ac:dyDescent="0.25">
      <c r="E358" s="28"/>
    </row>
    <row r="359" spans="5:5" customFormat="1" ht="13.2" x14ac:dyDescent="0.25">
      <c r="E359" s="28"/>
    </row>
    <row r="360" spans="5:5" customFormat="1" ht="13.2" x14ac:dyDescent="0.25">
      <c r="E360" s="28"/>
    </row>
    <row r="361" spans="5:5" customFormat="1" ht="13.2" x14ac:dyDescent="0.25">
      <c r="E361" s="28"/>
    </row>
    <row r="362" spans="5:5" customFormat="1" ht="13.2" x14ac:dyDescent="0.25">
      <c r="E362" s="28"/>
    </row>
    <row r="363" spans="5:5" customFormat="1" ht="13.2" x14ac:dyDescent="0.25">
      <c r="E363" s="28"/>
    </row>
    <row r="364" spans="5:5" customFormat="1" ht="13.2" x14ac:dyDescent="0.25">
      <c r="E364" s="28"/>
    </row>
    <row r="365" spans="5:5" customFormat="1" ht="13.2" x14ac:dyDescent="0.25">
      <c r="E365" s="28"/>
    </row>
    <row r="366" spans="5:5" customFormat="1" ht="13.2" x14ac:dyDescent="0.25">
      <c r="E366" s="28"/>
    </row>
    <row r="367" spans="5:5" customFormat="1" ht="13.2" x14ac:dyDescent="0.25">
      <c r="E367" s="28"/>
    </row>
    <row r="368" spans="5:5" customFormat="1" ht="13.2" x14ac:dyDescent="0.25">
      <c r="E368" s="28"/>
    </row>
    <row r="369" spans="5:5" customFormat="1" ht="13.2" x14ac:dyDescent="0.25">
      <c r="E369" s="28"/>
    </row>
    <row r="370" spans="5:5" customFormat="1" ht="13.2" x14ac:dyDescent="0.25">
      <c r="E370" s="28"/>
    </row>
    <row r="371" spans="5:5" customFormat="1" ht="13.2" x14ac:dyDescent="0.25">
      <c r="E371" s="28"/>
    </row>
    <row r="372" spans="5:5" customFormat="1" ht="13.2" x14ac:dyDescent="0.25">
      <c r="E372" s="28"/>
    </row>
    <row r="373" spans="5:5" customFormat="1" ht="13.2" x14ac:dyDescent="0.25">
      <c r="E373" s="28"/>
    </row>
    <row r="374" spans="5:5" customFormat="1" ht="13.2" x14ac:dyDescent="0.25">
      <c r="E374" s="28"/>
    </row>
    <row r="375" spans="5:5" customFormat="1" ht="13.2" x14ac:dyDescent="0.25">
      <c r="E375" s="28"/>
    </row>
    <row r="376" spans="5:5" customFormat="1" ht="13.2" x14ac:dyDescent="0.25">
      <c r="E376" s="28"/>
    </row>
    <row r="377" spans="5:5" customFormat="1" ht="13.2" x14ac:dyDescent="0.25">
      <c r="E377" s="28"/>
    </row>
    <row r="378" spans="5:5" customFormat="1" ht="13.2" x14ac:dyDescent="0.25">
      <c r="E378" s="28"/>
    </row>
    <row r="379" spans="5:5" customFormat="1" ht="13.2" x14ac:dyDescent="0.25">
      <c r="E379" s="28"/>
    </row>
    <row r="380" spans="5:5" customFormat="1" ht="13.2" x14ac:dyDescent="0.25">
      <c r="E380" s="28"/>
    </row>
    <row r="381" spans="5:5" customFormat="1" ht="13.2" x14ac:dyDescent="0.25">
      <c r="E381" s="28"/>
    </row>
    <row r="382" spans="5:5" customFormat="1" ht="13.2" x14ac:dyDescent="0.25">
      <c r="E382" s="28"/>
    </row>
    <row r="383" spans="5:5" customFormat="1" ht="13.2" x14ac:dyDescent="0.25">
      <c r="E383" s="28"/>
    </row>
    <row r="384" spans="5:5" customFormat="1" ht="13.2" x14ac:dyDescent="0.25">
      <c r="E384" s="28"/>
    </row>
    <row r="385" spans="5:5" customFormat="1" ht="13.2" x14ac:dyDescent="0.25">
      <c r="E385" s="28"/>
    </row>
    <row r="386" spans="5:5" customFormat="1" ht="13.2" x14ac:dyDescent="0.25">
      <c r="E386" s="28"/>
    </row>
    <row r="387" spans="5:5" customFormat="1" ht="13.2" x14ac:dyDescent="0.25">
      <c r="E387" s="28"/>
    </row>
    <row r="388" spans="5:5" customFormat="1" ht="13.2" x14ac:dyDescent="0.25">
      <c r="E388" s="28"/>
    </row>
    <row r="389" spans="5:5" customFormat="1" ht="13.2" x14ac:dyDescent="0.25">
      <c r="E389" s="28"/>
    </row>
    <row r="390" spans="5:5" customFormat="1" ht="13.2" x14ac:dyDescent="0.25">
      <c r="E390" s="28"/>
    </row>
    <row r="391" spans="5:5" customFormat="1" ht="13.2" x14ac:dyDescent="0.25">
      <c r="E391" s="28"/>
    </row>
    <row r="392" spans="5:5" customFormat="1" ht="13.2" x14ac:dyDescent="0.25">
      <c r="E392" s="28"/>
    </row>
    <row r="393" spans="5:5" customFormat="1" ht="13.2" x14ac:dyDescent="0.25">
      <c r="E393" s="28"/>
    </row>
    <row r="394" spans="5:5" customFormat="1" ht="13.2" x14ac:dyDescent="0.25">
      <c r="E394" s="28"/>
    </row>
    <row r="395" spans="5:5" customFormat="1" ht="13.2" x14ac:dyDescent="0.25">
      <c r="E395" s="28"/>
    </row>
    <row r="396" spans="5:5" customFormat="1" ht="13.2" x14ac:dyDescent="0.25">
      <c r="E396" s="28"/>
    </row>
    <row r="397" spans="5:5" customFormat="1" ht="13.2" x14ac:dyDescent="0.25">
      <c r="E397" s="28"/>
    </row>
    <row r="398" spans="5:5" customFormat="1" ht="13.2" x14ac:dyDescent="0.25">
      <c r="E398" s="28"/>
    </row>
    <row r="399" spans="5:5" customFormat="1" ht="13.2" x14ac:dyDescent="0.25">
      <c r="E399" s="28"/>
    </row>
    <row r="400" spans="5:5" customFormat="1" ht="13.2" x14ac:dyDescent="0.25">
      <c r="E400" s="28"/>
    </row>
    <row r="401" spans="5:5" customFormat="1" ht="13.2" x14ac:dyDescent="0.25">
      <c r="E401" s="28"/>
    </row>
    <row r="402" spans="5:5" customFormat="1" ht="13.2" x14ac:dyDescent="0.25">
      <c r="E402" s="28"/>
    </row>
    <row r="403" spans="5:5" customFormat="1" ht="13.2" x14ac:dyDescent="0.25">
      <c r="E403" s="28"/>
    </row>
    <row r="404" spans="5:5" customFormat="1" ht="13.2" x14ac:dyDescent="0.25">
      <c r="E404" s="28"/>
    </row>
    <row r="405" spans="5:5" customFormat="1" ht="13.2" x14ac:dyDescent="0.25">
      <c r="E405" s="28"/>
    </row>
    <row r="406" spans="5:5" customFormat="1" ht="13.2" x14ac:dyDescent="0.25">
      <c r="E406" s="28"/>
    </row>
    <row r="407" spans="5:5" customFormat="1" ht="13.2" x14ac:dyDescent="0.25">
      <c r="E407" s="28"/>
    </row>
    <row r="408" spans="5:5" customFormat="1" ht="13.2" x14ac:dyDescent="0.25">
      <c r="E408" s="28"/>
    </row>
    <row r="409" spans="5:5" customFormat="1" ht="13.2" x14ac:dyDescent="0.25">
      <c r="E409" s="28"/>
    </row>
    <row r="410" spans="5:5" customFormat="1" ht="13.2" x14ac:dyDescent="0.25">
      <c r="E410" s="28"/>
    </row>
    <row r="411" spans="5:5" customFormat="1" ht="13.2" x14ac:dyDescent="0.25">
      <c r="E411" s="28"/>
    </row>
    <row r="412" spans="5:5" customFormat="1" ht="13.2" x14ac:dyDescent="0.25">
      <c r="E412" s="28"/>
    </row>
    <row r="413" spans="5:5" customFormat="1" ht="13.2" x14ac:dyDescent="0.25">
      <c r="E413" s="28"/>
    </row>
    <row r="414" spans="5:5" customFormat="1" ht="13.2" x14ac:dyDescent="0.25">
      <c r="E414" s="28"/>
    </row>
    <row r="415" spans="5:5" customFormat="1" ht="13.2" x14ac:dyDescent="0.25">
      <c r="E415" s="28"/>
    </row>
    <row r="416" spans="5:5" customFormat="1" ht="13.2" x14ac:dyDescent="0.25">
      <c r="E416" s="28"/>
    </row>
    <row r="417" spans="5:5" customFormat="1" ht="13.2" x14ac:dyDescent="0.25">
      <c r="E417" s="28"/>
    </row>
    <row r="418" spans="5:5" customFormat="1" ht="13.2" x14ac:dyDescent="0.25">
      <c r="E418" s="28"/>
    </row>
    <row r="419" spans="5:5" customFormat="1" ht="13.2" x14ac:dyDescent="0.25">
      <c r="E419" s="28"/>
    </row>
    <row r="420" spans="5:5" customFormat="1" ht="13.2" x14ac:dyDescent="0.25">
      <c r="E420" s="28"/>
    </row>
    <row r="421" spans="5:5" customFormat="1" ht="13.2" x14ac:dyDescent="0.25">
      <c r="E421" s="28"/>
    </row>
    <row r="422" spans="5:5" customFormat="1" ht="13.2" x14ac:dyDescent="0.25">
      <c r="E422" s="28"/>
    </row>
    <row r="423" spans="5:5" customFormat="1" ht="13.2" x14ac:dyDescent="0.25">
      <c r="E423" s="28"/>
    </row>
    <row r="424" spans="5:5" customFormat="1" ht="13.2" x14ac:dyDescent="0.25">
      <c r="E424" s="28"/>
    </row>
    <row r="425" spans="5:5" customFormat="1" ht="13.2" x14ac:dyDescent="0.25">
      <c r="E425" s="28"/>
    </row>
    <row r="426" spans="5:5" customFormat="1" ht="13.2" x14ac:dyDescent="0.25">
      <c r="E426" s="28"/>
    </row>
    <row r="427" spans="5:5" customFormat="1" ht="13.2" x14ac:dyDescent="0.25">
      <c r="E427" s="28"/>
    </row>
    <row r="428" spans="5:5" customFormat="1" ht="13.2" x14ac:dyDescent="0.25">
      <c r="E428" s="28"/>
    </row>
    <row r="429" spans="5:5" customFormat="1" ht="13.2" x14ac:dyDescent="0.25">
      <c r="E429" s="28"/>
    </row>
    <row r="430" spans="5:5" customFormat="1" ht="13.2" x14ac:dyDescent="0.25">
      <c r="E430" s="28"/>
    </row>
    <row r="431" spans="5:5" customFormat="1" ht="13.2" x14ac:dyDescent="0.25">
      <c r="E431" s="28"/>
    </row>
    <row r="432" spans="5:5" customFormat="1" ht="13.2" x14ac:dyDescent="0.25">
      <c r="E432" s="28"/>
    </row>
    <row r="433" spans="5:5" customFormat="1" ht="13.2" x14ac:dyDescent="0.25">
      <c r="E433" s="28"/>
    </row>
    <row r="434" spans="5:5" customFormat="1" ht="13.2" x14ac:dyDescent="0.25">
      <c r="E434" s="28"/>
    </row>
    <row r="435" spans="5:5" customFormat="1" ht="13.2" x14ac:dyDescent="0.25">
      <c r="E435" s="28"/>
    </row>
    <row r="436" spans="5:5" customFormat="1" ht="13.2" x14ac:dyDescent="0.25">
      <c r="E436" s="28"/>
    </row>
    <row r="437" spans="5:5" customFormat="1" ht="13.2" x14ac:dyDescent="0.25">
      <c r="E437" s="28"/>
    </row>
    <row r="438" spans="5:5" customFormat="1" ht="13.2" x14ac:dyDescent="0.25">
      <c r="E438" s="28"/>
    </row>
    <row r="439" spans="5:5" customFormat="1" ht="13.2" x14ac:dyDescent="0.25">
      <c r="E439" s="28"/>
    </row>
    <row r="440" spans="5:5" customFormat="1" ht="13.2" x14ac:dyDescent="0.25">
      <c r="E440" s="28"/>
    </row>
    <row r="441" spans="5:5" customFormat="1" ht="13.2" x14ac:dyDescent="0.25">
      <c r="E441" s="28"/>
    </row>
    <row r="442" spans="5:5" customFormat="1" ht="13.2" x14ac:dyDescent="0.25">
      <c r="E442" s="28"/>
    </row>
    <row r="443" spans="5:5" customFormat="1" ht="13.2" x14ac:dyDescent="0.25">
      <c r="E443" s="28"/>
    </row>
    <row r="444" spans="5:5" customFormat="1" ht="13.2" x14ac:dyDescent="0.25">
      <c r="E444" s="28"/>
    </row>
    <row r="445" spans="5:5" customFormat="1" ht="13.2" x14ac:dyDescent="0.25">
      <c r="E445" s="28"/>
    </row>
    <row r="446" spans="5:5" customFormat="1" ht="13.2" x14ac:dyDescent="0.25">
      <c r="E446" s="28"/>
    </row>
    <row r="447" spans="5:5" customFormat="1" ht="13.2" x14ac:dyDescent="0.25">
      <c r="E447" s="28"/>
    </row>
    <row r="448" spans="5:5" customFormat="1" ht="13.2" x14ac:dyDescent="0.25">
      <c r="E448" s="28"/>
    </row>
    <row r="449" spans="5:5" customFormat="1" ht="13.2" x14ac:dyDescent="0.25">
      <c r="E449" s="28"/>
    </row>
    <row r="450" spans="5:5" customFormat="1" ht="13.2" x14ac:dyDescent="0.25">
      <c r="E450" s="28"/>
    </row>
    <row r="451" spans="5:5" customFormat="1" ht="13.2" x14ac:dyDescent="0.25">
      <c r="E451" s="28"/>
    </row>
    <row r="452" spans="5:5" customFormat="1" ht="13.2" x14ac:dyDescent="0.25">
      <c r="E452" s="28"/>
    </row>
    <row r="453" spans="5:5" customFormat="1" ht="13.2" x14ac:dyDescent="0.25">
      <c r="E453" s="28"/>
    </row>
    <row r="454" spans="5:5" customFormat="1" ht="13.2" x14ac:dyDescent="0.25">
      <c r="E454" s="28"/>
    </row>
    <row r="455" spans="5:5" customFormat="1" ht="13.2" x14ac:dyDescent="0.25">
      <c r="E455" s="28"/>
    </row>
    <row r="456" spans="5:5" customFormat="1" ht="13.2" x14ac:dyDescent="0.25">
      <c r="E456" s="28"/>
    </row>
    <row r="457" spans="5:5" customFormat="1" ht="13.2" x14ac:dyDescent="0.25">
      <c r="E457" s="28"/>
    </row>
    <row r="458" spans="5:5" customFormat="1" ht="13.2" x14ac:dyDescent="0.25">
      <c r="E458" s="28"/>
    </row>
    <row r="459" spans="5:5" customFormat="1" ht="13.2" x14ac:dyDescent="0.25">
      <c r="E459" s="28"/>
    </row>
    <row r="460" spans="5:5" customFormat="1" ht="13.2" x14ac:dyDescent="0.25">
      <c r="E460" s="28"/>
    </row>
    <row r="461" spans="5:5" customFormat="1" ht="13.2" x14ac:dyDescent="0.25">
      <c r="E461" s="28"/>
    </row>
    <row r="462" spans="5:5" customFormat="1" ht="13.2" x14ac:dyDescent="0.25">
      <c r="E462" s="28"/>
    </row>
    <row r="463" spans="5:5" customFormat="1" ht="13.2" x14ac:dyDescent="0.25">
      <c r="E463" s="28"/>
    </row>
    <row r="464" spans="5:5" customFormat="1" ht="13.2" x14ac:dyDescent="0.25">
      <c r="E464" s="28"/>
    </row>
    <row r="465" spans="5:5" customFormat="1" ht="13.2" x14ac:dyDescent="0.25">
      <c r="E465" s="28"/>
    </row>
    <row r="466" spans="5:5" customFormat="1" ht="13.2" x14ac:dyDescent="0.25">
      <c r="E466" s="28"/>
    </row>
    <row r="467" spans="5:5" customFormat="1" ht="13.2" x14ac:dyDescent="0.25">
      <c r="E467" s="28"/>
    </row>
    <row r="468" spans="5:5" customFormat="1" ht="13.2" x14ac:dyDescent="0.25">
      <c r="E468" s="28"/>
    </row>
    <row r="469" spans="5:5" customFormat="1" ht="13.2" x14ac:dyDescent="0.25">
      <c r="E469" s="28"/>
    </row>
    <row r="470" spans="5:5" customFormat="1" ht="13.2" x14ac:dyDescent="0.25">
      <c r="E470" s="28"/>
    </row>
    <row r="471" spans="5:5" customFormat="1" ht="13.2" x14ac:dyDescent="0.25">
      <c r="E471" s="28"/>
    </row>
    <row r="472" spans="5:5" customFormat="1" ht="13.2" x14ac:dyDescent="0.25">
      <c r="E472" s="28"/>
    </row>
    <row r="473" spans="5:5" customFormat="1" ht="13.2" x14ac:dyDescent="0.25">
      <c r="E473" s="28"/>
    </row>
    <row r="474" spans="5:5" customFormat="1" ht="13.2" x14ac:dyDescent="0.25">
      <c r="E474" s="28"/>
    </row>
    <row r="475" spans="5:5" customFormat="1" ht="13.2" x14ac:dyDescent="0.25">
      <c r="E475" s="28"/>
    </row>
    <row r="476" spans="5:5" customFormat="1" ht="13.2" x14ac:dyDescent="0.25">
      <c r="E476" s="28"/>
    </row>
    <row r="477" spans="5:5" customFormat="1" ht="13.2" x14ac:dyDescent="0.25">
      <c r="E477" s="28"/>
    </row>
    <row r="478" spans="5:5" customFormat="1" ht="13.2" x14ac:dyDescent="0.25">
      <c r="E478" s="28"/>
    </row>
    <row r="479" spans="5:5" customFormat="1" ht="13.2" x14ac:dyDescent="0.25">
      <c r="E479" s="28"/>
    </row>
    <row r="480" spans="5:5" customFormat="1" ht="13.2" x14ac:dyDescent="0.25">
      <c r="E480" s="28"/>
    </row>
    <row r="481" spans="5:5" customFormat="1" ht="13.2" x14ac:dyDescent="0.25">
      <c r="E481" s="28"/>
    </row>
    <row r="482" spans="5:5" customFormat="1" ht="13.2" x14ac:dyDescent="0.25">
      <c r="E482" s="28"/>
    </row>
    <row r="483" spans="5:5" customFormat="1" ht="13.2" x14ac:dyDescent="0.25">
      <c r="E483" s="28"/>
    </row>
    <row r="484" spans="5:5" customFormat="1" ht="13.2" x14ac:dyDescent="0.25">
      <c r="E484" s="28"/>
    </row>
    <row r="485" spans="5:5" customFormat="1" ht="13.2" x14ac:dyDescent="0.25">
      <c r="E485" s="28"/>
    </row>
    <row r="486" spans="5:5" customFormat="1" ht="13.2" x14ac:dyDescent="0.25">
      <c r="E486" s="28"/>
    </row>
    <row r="487" spans="5:5" customFormat="1" ht="13.2" x14ac:dyDescent="0.25">
      <c r="E487" s="28"/>
    </row>
    <row r="488" spans="5:5" customFormat="1" ht="13.2" x14ac:dyDescent="0.25">
      <c r="E488" s="28"/>
    </row>
    <row r="489" spans="5:5" customFormat="1" ht="13.2" x14ac:dyDescent="0.25">
      <c r="E489" s="28"/>
    </row>
    <row r="490" spans="5:5" customFormat="1" ht="13.2" x14ac:dyDescent="0.25">
      <c r="E490" s="28"/>
    </row>
    <row r="491" spans="5:5" customFormat="1" ht="13.2" x14ac:dyDescent="0.25">
      <c r="E491" s="28"/>
    </row>
    <row r="492" spans="5:5" customFormat="1" ht="13.2" x14ac:dyDescent="0.25">
      <c r="E492" s="28"/>
    </row>
    <row r="493" spans="5:5" customFormat="1" ht="13.2" x14ac:dyDescent="0.25">
      <c r="E493" s="28"/>
    </row>
    <row r="494" spans="5:5" customFormat="1" ht="13.2" x14ac:dyDescent="0.25">
      <c r="E494" s="28"/>
    </row>
    <row r="495" spans="5:5" customFormat="1" ht="13.2" x14ac:dyDescent="0.25">
      <c r="E495" s="28"/>
    </row>
    <row r="496" spans="5:5" customFormat="1" ht="13.2" x14ac:dyDescent="0.25">
      <c r="E496" s="28"/>
    </row>
    <row r="497" spans="5:5" customFormat="1" ht="13.2" x14ac:dyDescent="0.25">
      <c r="E497" s="28"/>
    </row>
    <row r="498" spans="5:5" customFormat="1" ht="13.2" x14ac:dyDescent="0.25">
      <c r="E498" s="28"/>
    </row>
    <row r="499" spans="5:5" customFormat="1" ht="13.2" x14ac:dyDescent="0.25">
      <c r="E499" s="28"/>
    </row>
    <row r="500" spans="5:5" customFormat="1" ht="13.2" x14ac:dyDescent="0.25">
      <c r="E500" s="28"/>
    </row>
    <row r="501" spans="5:5" customFormat="1" ht="13.2" x14ac:dyDescent="0.25">
      <c r="E501" s="28"/>
    </row>
    <row r="502" spans="5:5" customFormat="1" ht="13.2" x14ac:dyDescent="0.25">
      <c r="E502" s="28"/>
    </row>
    <row r="503" spans="5:5" customFormat="1" ht="13.2" x14ac:dyDescent="0.25">
      <c r="E503" s="28"/>
    </row>
    <row r="504" spans="5:5" customFormat="1" ht="13.2" x14ac:dyDescent="0.25">
      <c r="E504" s="28"/>
    </row>
    <row r="505" spans="5:5" customFormat="1" ht="13.2" x14ac:dyDescent="0.25">
      <c r="E505" s="28"/>
    </row>
    <row r="506" spans="5:5" customFormat="1" ht="13.2" x14ac:dyDescent="0.25">
      <c r="E506" s="28"/>
    </row>
    <row r="507" spans="5:5" customFormat="1" ht="13.2" x14ac:dyDescent="0.25">
      <c r="E507" s="28"/>
    </row>
    <row r="508" spans="5:5" customFormat="1" ht="13.2" x14ac:dyDescent="0.25">
      <c r="E508" s="28"/>
    </row>
    <row r="509" spans="5:5" customFormat="1" ht="13.2" x14ac:dyDescent="0.25">
      <c r="E509" s="28"/>
    </row>
    <row r="510" spans="5:5" customFormat="1" ht="13.2" x14ac:dyDescent="0.25">
      <c r="E510" s="28"/>
    </row>
    <row r="511" spans="5:5" customFormat="1" ht="13.2" x14ac:dyDescent="0.25">
      <c r="E511" s="28"/>
    </row>
    <row r="512" spans="5:5" customFormat="1" ht="13.2" x14ac:dyDescent="0.25">
      <c r="E512" s="28"/>
    </row>
    <row r="513" spans="5:5" customFormat="1" ht="13.2" x14ac:dyDescent="0.25">
      <c r="E513" s="28"/>
    </row>
    <row r="514" spans="5:5" customFormat="1" ht="13.2" x14ac:dyDescent="0.25">
      <c r="E514" s="28"/>
    </row>
    <row r="515" spans="5:5" customFormat="1" ht="13.2" x14ac:dyDescent="0.25">
      <c r="E515" s="28"/>
    </row>
    <row r="516" spans="5:5" customFormat="1" ht="13.2" x14ac:dyDescent="0.25">
      <c r="E516" s="28"/>
    </row>
    <row r="517" spans="5:5" customFormat="1" ht="13.2" x14ac:dyDescent="0.25">
      <c r="E517" s="28"/>
    </row>
    <row r="518" spans="5:5" customFormat="1" ht="13.2" x14ac:dyDescent="0.25">
      <c r="E518" s="28"/>
    </row>
    <row r="519" spans="5:5" customFormat="1" ht="13.2" x14ac:dyDescent="0.25">
      <c r="E519" s="28"/>
    </row>
    <row r="520" spans="5:5" customFormat="1" ht="13.2" x14ac:dyDescent="0.25">
      <c r="E520" s="28"/>
    </row>
    <row r="521" spans="5:5" customFormat="1" ht="13.2" x14ac:dyDescent="0.25">
      <c r="E521" s="28"/>
    </row>
    <row r="522" spans="5:5" customFormat="1" ht="13.2" x14ac:dyDescent="0.25">
      <c r="E522" s="28"/>
    </row>
    <row r="523" spans="5:5" customFormat="1" ht="13.2" x14ac:dyDescent="0.25">
      <c r="E523" s="28"/>
    </row>
    <row r="524" spans="5:5" customFormat="1" ht="13.2" x14ac:dyDescent="0.25">
      <c r="E524" s="28"/>
    </row>
    <row r="525" spans="5:5" customFormat="1" ht="13.2" x14ac:dyDescent="0.25">
      <c r="E525" s="28"/>
    </row>
    <row r="526" spans="5:5" customFormat="1" ht="13.2" x14ac:dyDescent="0.25">
      <c r="E526" s="28"/>
    </row>
    <row r="527" spans="5:5" customFormat="1" ht="13.2" x14ac:dyDescent="0.25">
      <c r="E527" s="28"/>
    </row>
    <row r="528" spans="5:5" customFormat="1" ht="13.2" x14ac:dyDescent="0.25">
      <c r="E528" s="28"/>
    </row>
    <row r="529" spans="5:5" customFormat="1" ht="13.2" x14ac:dyDescent="0.25">
      <c r="E529" s="28"/>
    </row>
    <row r="530" spans="5:5" customFormat="1" ht="13.2" x14ac:dyDescent="0.25">
      <c r="E530" s="28"/>
    </row>
    <row r="531" spans="5:5" customFormat="1" ht="13.2" x14ac:dyDescent="0.25">
      <c r="E531" s="28"/>
    </row>
    <row r="532" spans="5:5" customFormat="1" ht="13.2" x14ac:dyDescent="0.25">
      <c r="E532" s="28"/>
    </row>
    <row r="533" spans="5:5" customFormat="1" ht="13.2" x14ac:dyDescent="0.25">
      <c r="E533" s="28"/>
    </row>
    <row r="534" spans="5:5" customFormat="1" ht="13.2" x14ac:dyDescent="0.25">
      <c r="E534" s="28"/>
    </row>
    <row r="535" spans="5:5" customFormat="1" ht="13.2" x14ac:dyDescent="0.25">
      <c r="E535" s="28"/>
    </row>
    <row r="536" spans="5:5" customFormat="1" ht="13.2" x14ac:dyDescent="0.25">
      <c r="E536" s="28"/>
    </row>
    <row r="537" spans="5:5" customFormat="1" ht="13.2" x14ac:dyDescent="0.25">
      <c r="E537" s="28"/>
    </row>
    <row r="538" spans="5:5" customFormat="1" ht="13.2" x14ac:dyDescent="0.25">
      <c r="E538" s="28"/>
    </row>
    <row r="539" spans="5:5" customFormat="1" ht="13.2" x14ac:dyDescent="0.25">
      <c r="E539" s="28"/>
    </row>
    <row r="540" spans="5:5" customFormat="1" ht="13.2" x14ac:dyDescent="0.25">
      <c r="E540" s="28"/>
    </row>
    <row r="541" spans="5:5" customFormat="1" ht="13.2" x14ac:dyDescent="0.25">
      <c r="E541" s="28"/>
    </row>
    <row r="542" spans="5:5" customFormat="1" ht="13.2" x14ac:dyDescent="0.25">
      <c r="E542" s="28"/>
    </row>
    <row r="543" spans="5:5" customFormat="1" ht="13.2" x14ac:dyDescent="0.25">
      <c r="E543" s="28"/>
    </row>
    <row r="544" spans="5:5" customFormat="1" ht="13.2" x14ac:dyDescent="0.25">
      <c r="E544" s="28"/>
    </row>
    <row r="545" spans="5:5" customFormat="1" ht="13.2" x14ac:dyDescent="0.25">
      <c r="E545" s="28"/>
    </row>
    <row r="546" spans="5:5" customFormat="1" ht="13.2" x14ac:dyDescent="0.25">
      <c r="E546" s="28"/>
    </row>
    <row r="547" spans="5:5" customFormat="1" ht="13.2" x14ac:dyDescent="0.25">
      <c r="E547" s="28"/>
    </row>
    <row r="548" spans="5:5" customFormat="1" ht="13.2" x14ac:dyDescent="0.25">
      <c r="E548" s="28"/>
    </row>
    <row r="549" spans="5:5" customFormat="1" ht="13.2" x14ac:dyDescent="0.25">
      <c r="E549" s="28"/>
    </row>
    <row r="550" spans="5:5" customFormat="1" ht="13.2" x14ac:dyDescent="0.25">
      <c r="E550" s="28"/>
    </row>
    <row r="551" spans="5:5" customFormat="1" ht="13.2" x14ac:dyDescent="0.25">
      <c r="E551" s="28"/>
    </row>
    <row r="552" spans="5:5" customFormat="1" ht="13.2" x14ac:dyDescent="0.25">
      <c r="E552" s="28"/>
    </row>
    <row r="553" spans="5:5" customFormat="1" ht="13.2" x14ac:dyDescent="0.25">
      <c r="E553" s="28"/>
    </row>
    <row r="554" spans="5:5" customFormat="1" ht="13.2" x14ac:dyDescent="0.25">
      <c r="E554" s="28"/>
    </row>
    <row r="555" spans="5:5" customFormat="1" ht="13.2" x14ac:dyDescent="0.25">
      <c r="E555" s="28"/>
    </row>
    <row r="556" spans="5:5" customFormat="1" ht="13.2" x14ac:dyDescent="0.25">
      <c r="E556" s="28"/>
    </row>
    <row r="557" spans="5:5" customFormat="1" ht="13.2" x14ac:dyDescent="0.25">
      <c r="E557" s="28"/>
    </row>
    <row r="558" spans="5:5" customFormat="1" ht="13.2" x14ac:dyDescent="0.25">
      <c r="E558" s="28"/>
    </row>
    <row r="559" spans="5:5" customFormat="1" ht="13.2" x14ac:dyDescent="0.25">
      <c r="E559" s="28"/>
    </row>
    <row r="560" spans="5:5" customFormat="1" ht="13.2" x14ac:dyDescent="0.25">
      <c r="E560" s="28"/>
    </row>
    <row r="561" spans="5:5" customFormat="1" ht="13.2" x14ac:dyDescent="0.25">
      <c r="E561" s="28"/>
    </row>
    <row r="562" spans="5:5" customFormat="1" ht="13.2" x14ac:dyDescent="0.25">
      <c r="E562" s="28"/>
    </row>
    <row r="563" spans="5:5" customFormat="1" ht="13.2" x14ac:dyDescent="0.25">
      <c r="E563" s="28"/>
    </row>
    <row r="564" spans="5:5" customFormat="1" ht="13.2" x14ac:dyDescent="0.25">
      <c r="E564" s="28"/>
    </row>
    <row r="565" spans="5:5" customFormat="1" ht="13.2" x14ac:dyDescent="0.25">
      <c r="E565" s="28"/>
    </row>
    <row r="566" spans="5:5" customFormat="1" ht="13.2" x14ac:dyDescent="0.25">
      <c r="E566" s="28"/>
    </row>
    <row r="567" spans="5:5" customFormat="1" ht="13.2" x14ac:dyDescent="0.25">
      <c r="E567" s="28"/>
    </row>
    <row r="568" spans="5:5" customFormat="1" ht="13.2" x14ac:dyDescent="0.25">
      <c r="E568" s="28"/>
    </row>
    <row r="569" spans="5:5" customFormat="1" ht="13.2" x14ac:dyDescent="0.25">
      <c r="E569" s="28"/>
    </row>
    <row r="570" spans="5:5" customFormat="1" ht="13.2" x14ac:dyDescent="0.25">
      <c r="E570" s="28"/>
    </row>
    <row r="571" spans="5:5" customFormat="1" ht="13.2" x14ac:dyDescent="0.25">
      <c r="E571" s="28"/>
    </row>
    <row r="572" spans="5:5" customFormat="1" ht="13.2" x14ac:dyDescent="0.25">
      <c r="E572" s="28"/>
    </row>
    <row r="573" spans="5:5" customFormat="1" ht="13.2" x14ac:dyDescent="0.25">
      <c r="E573" s="28"/>
    </row>
    <row r="574" spans="5:5" customFormat="1" ht="13.2" x14ac:dyDescent="0.25">
      <c r="E574" s="28"/>
    </row>
    <row r="575" spans="5:5" customFormat="1" ht="13.2" x14ac:dyDescent="0.25">
      <c r="E575" s="28"/>
    </row>
    <row r="576" spans="5:5" customFormat="1" ht="13.2" x14ac:dyDescent="0.25">
      <c r="E576" s="28"/>
    </row>
    <row r="577" spans="5:5" customFormat="1" ht="13.2" x14ac:dyDescent="0.25">
      <c r="E577" s="28"/>
    </row>
    <row r="578" spans="5:5" customFormat="1" ht="13.2" x14ac:dyDescent="0.25">
      <c r="E578" s="28"/>
    </row>
    <row r="579" spans="5:5" customFormat="1" ht="13.2" x14ac:dyDescent="0.25">
      <c r="E579" s="28"/>
    </row>
    <row r="580" spans="5:5" customFormat="1" ht="13.2" x14ac:dyDescent="0.25">
      <c r="E580" s="28"/>
    </row>
    <row r="581" spans="5:5" customFormat="1" ht="13.2" x14ac:dyDescent="0.25">
      <c r="E581" s="28"/>
    </row>
    <row r="582" spans="5:5" customFormat="1" ht="13.2" x14ac:dyDescent="0.25">
      <c r="E582" s="28"/>
    </row>
    <row r="583" spans="5:5" customFormat="1" ht="13.2" x14ac:dyDescent="0.25">
      <c r="E583" s="28"/>
    </row>
    <row r="584" spans="5:5" customFormat="1" ht="13.2" x14ac:dyDescent="0.25">
      <c r="E584" s="28"/>
    </row>
    <row r="585" spans="5:5" customFormat="1" ht="13.2" x14ac:dyDescent="0.25">
      <c r="E585" s="28"/>
    </row>
    <row r="586" spans="5:5" customFormat="1" ht="13.2" x14ac:dyDescent="0.25">
      <c r="E586" s="28"/>
    </row>
    <row r="587" spans="5:5" customFormat="1" ht="13.2" x14ac:dyDescent="0.25">
      <c r="E587" s="28"/>
    </row>
    <row r="588" spans="5:5" customFormat="1" ht="13.2" x14ac:dyDescent="0.25">
      <c r="E588" s="28"/>
    </row>
    <row r="589" spans="5:5" customFormat="1" ht="13.2" x14ac:dyDescent="0.25">
      <c r="E589" s="28"/>
    </row>
    <row r="590" spans="5:5" customFormat="1" ht="13.2" x14ac:dyDescent="0.25">
      <c r="E590" s="28"/>
    </row>
    <row r="591" spans="5:5" customFormat="1" ht="13.2" x14ac:dyDescent="0.25">
      <c r="E591" s="28"/>
    </row>
    <row r="592" spans="5:5" customFormat="1" ht="13.2" x14ac:dyDescent="0.25">
      <c r="E592" s="28"/>
    </row>
    <row r="593" spans="5:5" customFormat="1" ht="13.2" x14ac:dyDescent="0.25">
      <c r="E593" s="28"/>
    </row>
    <row r="594" spans="5:5" customFormat="1" ht="13.2" x14ac:dyDescent="0.25">
      <c r="E594" s="28"/>
    </row>
    <row r="595" spans="5:5" customFormat="1" ht="13.2" x14ac:dyDescent="0.25">
      <c r="E595" s="28"/>
    </row>
    <row r="596" spans="5:5" customFormat="1" ht="13.2" x14ac:dyDescent="0.25">
      <c r="E596" s="28"/>
    </row>
    <row r="597" spans="5:5" customFormat="1" ht="13.2" x14ac:dyDescent="0.25">
      <c r="E597" s="28"/>
    </row>
    <row r="598" spans="5:5" customFormat="1" ht="13.2" x14ac:dyDescent="0.25">
      <c r="E598" s="28"/>
    </row>
    <row r="599" spans="5:5" customFormat="1" ht="13.2" x14ac:dyDescent="0.25">
      <c r="E599" s="28"/>
    </row>
    <row r="600" spans="5:5" customFormat="1" ht="13.2" x14ac:dyDescent="0.25">
      <c r="E600" s="28"/>
    </row>
    <row r="601" spans="5:5" customFormat="1" ht="13.2" x14ac:dyDescent="0.25">
      <c r="E601" s="28"/>
    </row>
    <row r="602" spans="5:5" customFormat="1" ht="13.2" x14ac:dyDescent="0.25">
      <c r="E602" s="28"/>
    </row>
    <row r="603" spans="5:5" customFormat="1" ht="13.2" x14ac:dyDescent="0.25">
      <c r="E603" s="28"/>
    </row>
    <row r="604" spans="5:5" customFormat="1" ht="13.2" x14ac:dyDescent="0.25">
      <c r="E604" s="28"/>
    </row>
    <row r="605" spans="5:5" customFormat="1" ht="13.2" x14ac:dyDescent="0.25">
      <c r="E605" s="28"/>
    </row>
    <row r="606" spans="5:5" customFormat="1" ht="13.2" x14ac:dyDescent="0.25">
      <c r="E606" s="28"/>
    </row>
    <row r="607" spans="5:5" customFormat="1" ht="13.2" x14ac:dyDescent="0.25">
      <c r="E607" s="28"/>
    </row>
    <row r="608" spans="5:5" customFormat="1" ht="13.2" x14ac:dyDescent="0.25">
      <c r="E608" s="28"/>
    </row>
    <row r="609" spans="5:5" customFormat="1" ht="13.2" x14ac:dyDescent="0.25">
      <c r="E609" s="28"/>
    </row>
    <row r="610" spans="5:5" customFormat="1" ht="13.2" x14ac:dyDescent="0.25">
      <c r="E610" s="28"/>
    </row>
    <row r="611" spans="5:5" customFormat="1" ht="13.2" x14ac:dyDescent="0.25">
      <c r="E611" s="28"/>
    </row>
    <row r="612" spans="5:5" customFormat="1" ht="13.2" x14ac:dyDescent="0.25">
      <c r="E612" s="28"/>
    </row>
    <row r="613" spans="5:5" customFormat="1" ht="13.2" x14ac:dyDescent="0.25">
      <c r="E613" s="28"/>
    </row>
    <row r="614" spans="5:5" customFormat="1" ht="13.2" x14ac:dyDescent="0.25">
      <c r="E614" s="28"/>
    </row>
    <row r="615" spans="5:5" customFormat="1" ht="13.2" x14ac:dyDescent="0.25">
      <c r="E615" s="28"/>
    </row>
    <row r="616" spans="5:5" customFormat="1" ht="13.2" x14ac:dyDescent="0.25">
      <c r="E616" s="28"/>
    </row>
    <row r="617" spans="5:5" customFormat="1" ht="13.2" x14ac:dyDescent="0.25">
      <c r="E617" s="28"/>
    </row>
    <row r="618" spans="5:5" customFormat="1" ht="13.2" x14ac:dyDescent="0.25">
      <c r="E618" s="28"/>
    </row>
    <row r="619" spans="5:5" customFormat="1" ht="13.2" x14ac:dyDescent="0.25">
      <c r="E619" s="28"/>
    </row>
    <row r="620" spans="5:5" customFormat="1" ht="13.2" x14ac:dyDescent="0.25">
      <c r="E620" s="28"/>
    </row>
    <row r="621" spans="5:5" customFormat="1" ht="13.2" x14ac:dyDescent="0.25">
      <c r="E621" s="28"/>
    </row>
    <row r="622" spans="5:5" customFormat="1" ht="13.2" x14ac:dyDescent="0.25">
      <c r="E622" s="28"/>
    </row>
    <row r="623" spans="5:5" customFormat="1" ht="13.2" x14ac:dyDescent="0.25">
      <c r="E623" s="28"/>
    </row>
    <row r="624" spans="5:5" customFormat="1" ht="13.2" x14ac:dyDescent="0.25">
      <c r="E624" s="28"/>
    </row>
    <row r="625" spans="5:5" customFormat="1" ht="13.2" x14ac:dyDescent="0.25">
      <c r="E625" s="28"/>
    </row>
    <row r="626" spans="5:5" customFormat="1" ht="13.2" x14ac:dyDescent="0.25">
      <c r="E626" s="28"/>
    </row>
    <row r="627" spans="5:5" customFormat="1" ht="13.2" x14ac:dyDescent="0.25">
      <c r="E627" s="28"/>
    </row>
    <row r="628" spans="5:5" customFormat="1" ht="13.2" x14ac:dyDescent="0.25">
      <c r="E628" s="28"/>
    </row>
    <row r="629" spans="5:5" customFormat="1" ht="13.2" x14ac:dyDescent="0.25">
      <c r="E629" s="28"/>
    </row>
    <row r="630" spans="5:5" customFormat="1" ht="13.2" x14ac:dyDescent="0.25">
      <c r="E630" s="28"/>
    </row>
    <row r="631" spans="5:5" customFormat="1" ht="13.2" x14ac:dyDescent="0.25">
      <c r="E631" s="28"/>
    </row>
    <row r="632" spans="5:5" customFormat="1" ht="13.2" x14ac:dyDescent="0.25">
      <c r="E632" s="28"/>
    </row>
    <row r="633" spans="5:5" customFormat="1" ht="13.2" x14ac:dyDescent="0.25">
      <c r="E633" s="28"/>
    </row>
    <row r="634" spans="5:5" customFormat="1" ht="13.2" x14ac:dyDescent="0.25">
      <c r="E634" s="28"/>
    </row>
    <row r="635" spans="5:5" customFormat="1" ht="13.2" x14ac:dyDescent="0.25">
      <c r="E635" s="28"/>
    </row>
    <row r="636" spans="5:5" customFormat="1" ht="13.2" x14ac:dyDescent="0.25">
      <c r="E636" s="28"/>
    </row>
    <row r="637" spans="5:5" customFormat="1" ht="13.2" x14ac:dyDescent="0.25">
      <c r="E637" s="28"/>
    </row>
    <row r="638" spans="5:5" customFormat="1" ht="13.2" x14ac:dyDescent="0.25">
      <c r="E638" s="28"/>
    </row>
    <row r="639" spans="5:5" customFormat="1" ht="13.2" x14ac:dyDescent="0.25">
      <c r="E639" s="28"/>
    </row>
    <row r="640" spans="5:5" customFormat="1" ht="13.2" x14ac:dyDescent="0.25">
      <c r="E640" s="28"/>
    </row>
    <row r="641" spans="5:5" customFormat="1" ht="13.2" x14ac:dyDescent="0.25">
      <c r="E641" s="28"/>
    </row>
    <row r="642" spans="5:5" customFormat="1" ht="13.2" x14ac:dyDescent="0.25">
      <c r="E642" s="28"/>
    </row>
    <row r="643" spans="5:5" customFormat="1" ht="13.2" x14ac:dyDescent="0.25">
      <c r="E643" s="28"/>
    </row>
    <row r="644" spans="5:5" customFormat="1" ht="13.2" x14ac:dyDescent="0.25">
      <c r="E644" s="28"/>
    </row>
    <row r="645" spans="5:5" customFormat="1" ht="13.2" x14ac:dyDescent="0.25">
      <c r="E645" s="28"/>
    </row>
    <row r="646" spans="5:5" customFormat="1" ht="13.2" x14ac:dyDescent="0.25">
      <c r="E646" s="28"/>
    </row>
    <row r="647" spans="5:5" customFormat="1" ht="13.2" x14ac:dyDescent="0.25">
      <c r="E647" s="28"/>
    </row>
    <row r="648" spans="5:5" customFormat="1" ht="13.2" x14ac:dyDescent="0.25">
      <c r="E648" s="28"/>
    </row>
    <row r="649" spans="5:5" customFormat="1" ht="13.2" x14ac:dyDescent="0.25">
      <c r="E649" s="28"/>
    </row>
    <row r="650" spans="5:5" customFormat="1" ht="13.2" x14ac:dyDescent="0.25">
      <c r="E650" s="28"/>
    </row>
    <row r="651" spans="5:5" customFormat="1" ht="13.2" x14ac:dyDescent="0.25">
      <c r="E651" s="28"/>
    </row>
    <row r="652" spans="5:5" customFormat="1" ht="13.2" x14ac:dyDescent="0.25">
      <c r="E652" s="28"/>
    </row>
    <row r="653" spans="5:5" customFormat="1" ht="13.2" x14ac:dyDescent="0.25">
      <c r="E653" s="28"/>
    </row>
    <row r="654" spans="5:5" customFormat="1" ht="13.2" x14ac:dyDescent="0.25">
      <c r="E654" s="28"/>
    </row>
    <row r="655" spans="5:5" customFormat="1" ht="13.2" x14ac:dyDescent="0.25">
      <c r="E655" s="28"/>
    </row>
    <row r="656" spans="5:5" customFormat="1" ht="13.2" x14ac:dyDescent="0.25">
      <c r="E656" s="28"/>
    </row>
    <row r="657" spans="5:5" customFormat="1" ht="13.2" x14ac:dyDescent="0.25">
      <c r="E657" s="28"/>
    </row>
    <row r="658" spans="5:5" customFormat="1" ht="13.2" x14ac:dyDescent="0.25">
      <c r="E658" s="28"/>
    </row>
    <row r="659" spans="5:5" customFormat="1" ht="13.2" x14ac:dyDescent="0.25">
      <c r="E659" s="28"/>
    </row>
    <row r="660" spans="5:5" customFormat="1" ht="13.2" x14ac:dyDescent="0.25">
      <c r="E660" s="28"/>
    </row>
    <row r="661" spans="5:5" customFormat="1" ht="13.2" x14ac:dyDescent="0.25">
      <c r="E661" s="28"/>
    </row>
    <row r="662" spans="5:5" customFormat="1" ht="13.2" x14ac:dyDescent="0.25">
      <c r="E662" s="28"/>
    </row>
    <row r="663" spans="5:5" customFormat="1" ht="13.2" x14ac:dyDescent="0.25">
      <c r="E663" s="28"/>
    </row>
    <row r="664" spans="5:5" customFormat="1" ht="13.2" x14ac:dyDescent="0.25">
      <c r="E664" s="28"/>
    </row>
    <row r="665" spans="5:5" customFormat="1" ht="13.2" x14ac:dyDescent="0.25">
      <c r="E665" s="28"/>
    </row>
    <row r="666" spans="5:5" customFormat="1" ht="13.2" x14ac:dyDescent="0.25">
      <c r="E666" s="28"/>
    </row>
    <row r="667" spans="5:5" customFormat="1" ht="13.2" x14ac:dyDescent="0.25">
      <c r="E667" s="28"/>
    </row>
    <row r="668" spans="5:5" customFormat="1" ht="13.2" x14ac:dyDescent="0.25">
      <c r="E668" s="28"/>
    </row>
    <row r="669" spans="5:5" customFormat="1" ht="13.2" x14ac:dyDescent="0.25">
      <c r="E669" s="28"/>
    </row>
    <row r="670" spans="5:5" customFormat="1" ht="13.2" x14ac:dyDescent="0.25">
      <c r="E670" s="28"/>
    </row>
    <row r="671" spans="5:5" customFormat="1" ht="13.2" x14ac:dyDescent="0.25">
      <c r="E671" s="28"/>
    </row>
    <row r="672" spans="5:5" customFormat="1" ht="13.2" x14ac:dyDescent="0.25">
      <c r="E672" s="28"/>
    </row>
    <row r="673" spans="5:5" customFormat="1" ht="13.2" x14ac:dyDescent="0.25">
      <c r="E673" s="28"/>
    </row>
    <row r="674" spans="5:5" customFormat="1" ht="13.2" x14ac:dyDescent="0.25">
      <c r="E674" s="28"/>
    </row>
    <row r="675" spans="5:5" customFormat="1" ht="13.2" x14ac:dyDescent="0.25">
      <c r="E675" s="28"/>
    </row>
    <row r="676" spans="5:5" customFormat="1" ht="13.2" x14ac:dyDescent="0.25">
      <c r="E676" s="28"/>
    </row>
    <row r="677" spans="5:5" customFormat="1" ht="13.2" x14ac:dyDescent="0.25">
      <c r="E677" s="28"/>
    </row>
    <row r="678" spans="5:5" customFormat="1" ht="13.2" x14ac:dyDescent="0.25">
      <c r="E678" s="28"/>
    </row>
    <row r="679" spans="5:5" customFormat="1" ht="13.2" x14ac:dyDescent="0.25">
      <c r="E679" s="28"/>
    </row>
    <row r="680" spans="5:5" customFormat="1" ht="13.2" x14ac:dyDescent="0.25">
      <c r="E680" s="28"/>
    </row>
    <row r="681" spans="5:5" customFormat="1" ht="13.2" x14ac:dyDescent="0.25">
      <c r="E681" s="28"/>
    </row>
    <row r="682" spans="5:5" customFormat="1" ht="13.2" x14ac:dyDescent="0.25">
      <c r="E682" s="28"/>
    </row>
    <row r="683" spans="5:5" customFormat="1" ht="13.2" x14ac:dyDescent="0.25">
      <c r="E683" s="28"/>
    </row>
    <row r="684" spans="5:5" customFormat="1" ht="13.2" x14ac:dyDescent="0.25">
      <c r="E684" s="28"/>
    </row>
    <row r="685" spans="5:5" customFormat="1" ht="13.2" x14ac:dyDescent="0.25">
      <c r="E685" s="28"/>
    </row>
    <row r="686" spans="5:5" customFormat="1" ht="13.2" x14ac:dyDescent="0.25">
      <c r="E686" s="28"/>
    </row>
    <row r="687" spans="5:5" customFormat="1" ht="13.2" x14ac:dyDescent="0.25">
      <c r="E687" s="28"/>
    </row>
    <row r="688" spans="5:5" customFormat="1" ht="13.2" x14ac:dyDescent="0.25">
      <c r="E688" s="28"/>
    </row>
    <row r="689" spans="5:5" customFormat="1" ht="13.2" x14ac:dyDescent="0.25">
      <c r="E689" s="28"/>
    </row>
    <row r="690" spans="5:5" customFormat="1" ht="13.2" x14ac:dyDescent="0.25">
      <c r="E690" s="28"/>
    </row>
    <row r="691" spans="5:5" customFormat="1" ht="13.2" x14ac:dyDescent="0.25">
      <c r="E691" s="28"/>
    </row>
    <row r="692" spans="5:5" customFormat="1" ht="13.2" x14ac:dyDescent="0.25">
      <c r="E692" s="28"/>
    </row>
    <row r="693" spans="5:5" customFormat="1" ht="13.2" x14ac:dyDescent="0.25">
      <c r="E693" s="28"/>
    </row>
    <row r="694" spans="5:5" customFormat="1" ht="13.2" x14ac:dyDescent="0.25">
      <c r="E694" s="28"/>
    </row>
    <row r="695" spans="5:5" customFormat="1" ht="13.2" x14ac:dyDescent="0.25">
      <c r="E695" s="28"/>
    </row>
    <row r="696" spans="5:5" customFormat="1" ht="13.2" x14ac:dyDescent="0.25">
      <c r="E696" s="28"/>
    </row>
    <row r="697" spans="5:5" customFormat="1" ht="13.2" x14ac:dyDescent="0.25">
      <c r="E697" s="28"/>
    </row>
    <row r="698" spans="5:5" customFormat="1" ht="13.2" x14ac:dyDescent="0.25">
      <c r="E698" s="28"/>
    </row>
    <row r="699" spans="5:5" customFormat="1" ht="13.2" x14ac:dyDescent="0.25">
      <c r="E699" s="28"/>
    </row>
    <row r="700" spans="5:5" customFormat="1" ht="13.2" x14ac:dyDescent="0.25">
      <c r="E700" s="28"/>
    </row>
    <row r="701" spans="5:5" customFormat="1" ht="13.2" x14ac:dyDescent="0.25">
      <c r="E701" s="28"/>
    </row>
    <row r="702" spans="5:5" customFormat="1" ht="13.2" x14ac:dyDescent="0.25">
      <c r="E702" s="28"/>
    </row>
    <row r="703" spans="5:5" customFormat="1" ht="13.2" x14ac:dyDescent="0.25">
      <c r="E703" s="28"/>
    </row>
    <row r="704" spans="5:5" customFormat="1" ht="13.2" x14ac:dyDescent="0.25">
      <c r="E704" s="28"/>
    </row>
    <row r="705" spans="5:5" customFormat="1" ht="13.2" x14ac:dyDescent="0.25">
      <c r="E705" s="28"/>
    </row>
    <row r="706" spans="5:5" customFormat="1" ht="13.2" x14ac:dyDescent="0.25">
      <c r="E706" s="28"/>
    </row>
    <row r="707" spans="5:5" customFormat="1" ht="13.2" x14ac:dyDescent="0.25">
      <c r="E707" s="28"/>
    </row>
    <row r="708" spans="5:5" customFormat="1" ht="13.2" x14ac:dyDescent="0.25">
      <c r="E708" s="28"/>
    </row>
    <row r="709" spans="5:5" customFormat="1" ht="13.2" x14ac:dyDescent="0.25">
      <c r="E709" s="28"/>
    </row>
    <row r="710" spans="5:5" customFormat="1" ht="13.2" x14ac:dyDescent="0.25">
      <c r="E710" s="28"/>
    </row>
    <row r="711" spans="5:5" customFormat="1" ht="13.2" x14ac:dyDescent="0.25">
      <c r="E711" s="28"/>
    </row>
    <row r="712" spans="5:5" customFormat="1" ht="13.2" x14ac:dyDescent="0.25">
      <c r="E712" s="28"/>
    </row>
    <row r="713" spans="5:5" customFormat="1" ht="13.2" x14ac:dyDescent="0.25">
      <c r="E713" s="28"/>
    </row>
    <row r="714" spans="5:5" customFormat="1" ht="13.2" x14ac:dyDescent="0.25">
      <c r="E714" s="28"/>
    </row>
    <row r="715" spans="5:5" customFormat="1" ht="13.2" x14ac:dyDescent="0.25">
      <c r="E715" s="28"/>
    </row>
    <row r="716" spans="5:5" customFormat="1" ht="13.2" x14ac:dyDescent="0.25">
      <c r="E716" s="28"/>
    </row>
    <row r="717" spans="5:5" customFormat="1" ht="13.2" x14ac:dyDescent="0.25">
      <c r="E717" s="28"/>
    </row>
    <row r="718" spans="5:5" customFormat="1" ht="13.2" x14ac:dyDescent="0.25">
      <c r="E718" s="28"/>
    </row>
    <row r="719" spans="5:5" customFormat="1" ht="13.2" x14ac:dyDescent="0.25">
      <c r="E719" s="28"/>
    </row>
    <row r="720" spans="5:5" customFormat="1" ht="13.2" x14ac:dyDescent="0.25">
      <c r="E720" s="28"/>
    </row>
    <row r="721" spans="5:5" customFormat="1" ht="13.2" x14ac:dyDescent="0.25">
      <c r="E721" s="28"/>
    </row>
    <row r="722" spans="5:5" customFormat="1" ht="13.2" x14ac:dyDescent="0.25">
      <c r="E722" s="28"/>
    </row>
    <row r="723" spans="5:5" customFormat="1" ht="13.2" x14ac:dyDescent="0.25">
      <c r="E723" s="28"/>
    </row>
    <row r="724" spans="5:5" customFormat="1" ht="13.2" x14ac:dyDescent="0.25">
      <c r="E724" s="28"/>
    </row>
    <row r="725" spans="5:5" customFormat="1" ht="13.2" x14ac:dyDescent="0.25">
      <c r="E725" s="28"/>
    </row>
    <row r="726" spans="5:5" customFormat="1" ht="13.2" x14ac:dyDescent="0.25">
      <c r="E726" s="28"/>
    </row>
    <row r="727" spans="5:5" customFormat="1" ht="13.2" x14ac:dyDescent="0.25">
      <c r="E727" s="28"/>
    </row>
    <row r="728" spans="5:5" customFormat="1" ht="13.2" x14ac:dyDescent="0.25">
      <c r="E728" s="28"/>
    </row>
    <row r="729" spans="5:5" customFormat="1" ht="13.2" x14ac:dyDescent="0.25">
      <c r="E729" s="28"/>
    </row>
    <row r="730" spans="5:5" customFormat="1" ht="13.2" x14ac:dyDescent="0.25">
      <c r="E730" s="28"/>
    </row>
    <row r="731" spans="5:5" customFormat="1" ht="13.2" x14ac:dyDescent="0.25">
      <c r="E731" s="28"/>
    </row>
    <row r="732" spans="5:5" customFormat="1" ht="13.2" x14ac:dyDescent="0.25">
      <c r="E732" s="28"/>
    </row>
    <row r="733" spans="5:5" customFormat="1" ht="13.2" x14ac:dyDescent="0.25">
      <c r="E733" s="28"/>
    </row>
    <row r="734" spans="5:5" customFormat="1" ht="13.2" x14ac:dyDescent="0.25">
      <c r="E734" s="28"/>
    </row>
    <row r="735" spans="5:5" customFormat="1" ht="13.2" x14ac:dyDescent="0.25">
      <c r="E735" s="28"/>
    </row>
    <row r="736" spans="5:5" customFormat="1" ht="13.2" x14ac:dyDescent="0.25">
      <c r="E736" s="28"/>
    </row>
    <row r="737" spans="5:5" customFormat="1" ht="13.2" x14ac:dyDescent="0.25">
      <c r="E737" s="28"/>
    </row>
    <row r="738" spans="5:5" customFormat="1" ht="13.2" x14ac:dyDescent="0.25">
      <c r="E738" s="28"/>
    </row>
    <row r="739" spans="5:5" customFormat="1" ht="13.2" x14ac:dyDescent="0.25">
      <c r="E739" s="28"/>
    </row>
    <row r="740" spans="5:5" customFormat="1" ht="13.2" x14ac:dyDescent="0.25">
      <c r="E740" s="28"/>
    </row>
    <row r="741" spans="5:5" customFormat="1" ht="13.2" x14ac:dyDescent="0.25">
      <c r="E741" s="28"/>
    </row>
    <row r="742" spans="5:5" customFormat="1" ht="13.2" x14ac:dyDescent="0.25">
      <c r="E742" s="28"/>
    </row>
    <row r="743" spans="5:5" customFormat="1" ht="13.2" x14ac:dyDescent="0.25">
      <c r="E743" s="28"/>
    </row>
    <row r="744" spans="5:5" customFormat="1" ht="13.2" x14ac:dyDescent="0.25">
      <c r="E744" s="28"/>
    </row>
    <row r="745" spans="5:5" customFormat="1" ht="13.2" x14ac:dyDescent="0.25">
      <c r="E745" s="28"/>
    </row>
    <row r="746" spans="5:5" customFormat="1" ht="13.2" x14ac:dyDescent="0.25">
      <c r="E746" s="28"/>
    </row>
    <row r="747" spans="5:5" customFormat="1" ht="13.2" x14ac:dyDescent="0.25">
      <c r="E747" s="28"/>
    </row>
    <row r="748" spans="5:5" customFormat="1" ht="13.2" x14ac:dyDescent="0.25">
      <c r="E748" s="28"/>
    </row>
    <row r="749" spans="5:5" customFormat="1" ht="13.2" x14ac:dyDescent="0.25">
      <c r="E749" s="28"/>
    </row>
    <row r="750" spans="5:5" customFormat="1" ht="13.2" x14ac:dyDescent="0.25">
      <c r="E750" s="28"/>
    </row>
    <row r="751" spans="5:5" customFormat="1" ht="13.2" x14ac:dyDescent="0.25">
      <c r="E751" s="28"/>
    </row>
    <row r="752" spans="5:5" customFormat="1" ht="13.2" x14ac:dyDescent="0.25">
      <c r="E752" s="28"/>
    </row>
    <row r="753" spans="5:5" customFormat="1" ht="13.2" x14ac:dyDescent="0.25">
      <c r="E753" s="28"/>
    </row>
    <row r="754" spans="5:5" customFormat="1" ht="13.2" x14ac:dyDescent="0.25">
      <c r="E754" s="28"/>
    </row>
    <row r="755" spans="5:5" customFormat="1" ht="13.2" x14ac:dyDescent="0.25">
      <c r="E755" s="28"/>
    </row>
    <row r="756" spans="5:5" customFormat="1" ht="13.2" x14ac:dyDescent="0.25">
      <c r="E756" s="28"/>
    </row>
    <row r="757" spans="5:5" customFormat="1" ht="13.2" x14ac:dyDescent="0.25">
      <c r="E757" s="28"/>
    </row>
    <row r="758" spans="5:5" customFormat="1" ht="13.2" x14ac:dyDescent="0.25">
      <c r="E758" s="28"/>
    </row>
    <row r="759" spans="5:5" customFormat="1" ht="13.2" x14ac:dyDescent="0.25">
      <c r="E759" s="28"/>
    </row>
    <row r="760" spans="5:5" customFormat="1" ht="13.2" x14ac:dyDescent="0.25">
      <c r="E760" s="28"/>
    </row>
    <row r="761" spans="5:5" customFormat="1" ht="13.2" x14ac:dyDescent="0.25">
      <c r="E761" s="28"/>
    </row>
    <row r="762" spans="5:5" customFormat="1" ht="13.2" x14ac:dyDescent="0.25">
      <c r="E762" s="28"/>
    </row>
    <row r="763" spans="5:5" customFormat="1" ht="13.2" x14ac:dyDescent="0.25">
      <c r="E763" s="28"/>
    </row>
    <row r="764" spans="5:5" customFormat="1" ht="13.2" x14ac:dyDescent="0.25">
      <c r="E764" s="28"/>
    </row>
    <row r="765" spans="5:5" customFormat="1" ht="13.2" x14ac:dyDescent="0.25">
      <c r="E765" s="28"/>
    </row>
    <row r="766" spans="5:5" customFormat="1" ht="13.2" x14ac:dyDescent="0.25">
      <c r="E766" s="28"/>
    </row>
    <row r="767" spans="5:5" customFormat="1" ht="13.2" x14ac:dyDescent="0.25">
      <c r="E767" s="28"/>
    </row>
    <row r="768" spans="5:5" customFormat="1" ht="13.2" x14ac:dyDescent="0.25">
      <c r="E768" s="28"/>
    </row>
    <row r="769" spans="5:5" customFormat="1" ht="13.2" x14ac:dyDescent="0.25">
      <c r="E769" s="28"/>
    </row>
    <row r="770" spans="5:5" customFormat="1" ht="13.2" x14ac:dyDescent="0.25">
      <c r="E770" s="28"/>
    </row>
    <row r="771" spans="5:5" customFormat="1" ht="13.2" x14ac:dyDescent="0.25">
      <c r="E771" s="28"/>
    </row>
    <row r="772" spans="5:5" customFormat="1" ht="13.2" x14ac:dyDescent="0.25">
      <c r="E772" s="28"/>
    </row>
    <row r="773" spans="5:5" customFormat="1" ht="13.2" x14ac:dyDescent="0.25">
      <c r="E773" s="28"/>
    </row>
    <row r="774" spans="5:5" customFormat="1" ht="13.2" x14ac:dyDescent="0.25">
      <c r="E774" s="28"/>
    </row>
    <row r="775" spans="5:5" customFormat="1" ht="13.2" x14ac:dyDescent="0.25">
      <c r="E775" s="28"/>
    </row>
    <row r="776" spans="5:5" customFormat="1" ht="13.2" x14ac:dyDescent="0.25">
      <c r="E776" s="28"/>
    </row>
    <row r="777" spans="5:5" customFormat="1" ht="13.2" x14ac:dyDescent="0.25">
      <c r="E777" s="28"/>
    </row>
    <row r="778" spans="5:5" customFormat="1" ht="13.2" x14ac:dyDescent="0.25">
      <c r="E778" s="28"/>
    </row>
    <row r="779" spans="5:5" customFormat="1" ht="13.2" x14ac:dyDescent="0.25">
      <c r="E779" s="28"/>
    </row>
    <row r="780" spans="5:5" customFormat="1" ht="13.2" x14ac:dyDescent="0.25">
      <c r="E780" s="28"/>
    </row>
    <row r="781" spans="5:5" customFormat="1" ht="13.2" x14ac:dyDescent="0.25">
      <c r="E781" s="28"/>
    </row>
    <row r="782" spans="5:5" customFormat="1" ht="13.2" x14ac:dyDescent="0.25">
      <c r="E782" s="28"/>
    </row>
    <row r="783" spans="5:5" customFormat="1" ht="13.2" x14ac:dyDescent="0.25">
      <c r="E783" s="28"/>
    </row>
    <row r="784" spans="5:5" customFormat="1" ht="13.2" x14ac:dyDescent="0.25">
      <c r="E784" s="28"/>
    </row>
    <row r="785" spans="5:5" customFormat="1" ht="13.2" x14ac:dyDescent="0.25">
      <c r="E785" s="28"/>
    </row>
    <row r="786" spans="5:5" customFormat="1" ht="13.2" x14ac:dyDescent="0.25">
      <c r="E786" s="28"/>
    </row>
    <row r="787" spans="5:5" customFormat="1" ht="13.2" x14ac:dyDescent="0.25">
      <c r="E787" s="28"/>
    </row>
    <row r="788" spans="5:5" customFormat="1" ht="13.2" x14ac:dyDescent="0.25">
      <c r="E788" s="28"/>
    </row>
    <row r="789" spans="5:5" customFormat="1" ht="13.2" x14ac:dyDescent="0.25">
      <c r="E789" s="28"/>
    </row>
    <row r="790" spans="5:5" customFormat="1" ht="13.2" x14ac:dyDescent="0.25">
      <c r="E790" s="28"/>
    </row>
    <row r="791" spans="5:5" customFormat="1" ht="13.2" x14ac:dyDescent="0.25">
      <c r="E791" s="28"/>
    </row>
    <row r="792" spans="5:5" customFormat="1" ht="13.2" x14ac:dyDescent="0.25">
      <c r="E792" s="28"/>
    </row>
    <row r="793" spans="5:5" customFormat="1" ht="13.2" x14ac:dyDescent="0.25">
      <c r="E793" s="28"/>
    </row>
    <row r="794" spans="5:5" customFormat="1" ht="13.2" x14ac:dyDescent="0.25">
      <c r="E794" s="28"/>
    </row>
    <row r="795" spans="5:5" customFormat="1" ht="13.2" x14ac:dyDescent="0.25">
      <c r="E795" s="28"/>
    </row>
    <row r="796" spans="5:5" customFormat="1" ht="13.2" x14ac:dyDescent="0.25">
      <c r="E796" s="28"/>
    </row>
    <row r="797" spans="5:5" customFormat="1" ht="13.2" x14ac:dyDescent="0.25">
      <c r="E797" s="28"/>
    </row>
    <row r="798" spans="5:5" customFormat="1" ht="13.2" x14ac:dyDescent="0.25">
      <c r="E798" s="28"/>
    </row>
    <row r="799" spans="5:5" customFormat="1" ht="13.2" x14ac:dyDescent="0.25">
      <c r="E799" s="28"/>
    </row>
    <row r="800" spans="5:5" customFormat="1" ht="13.2" x14ac:dyDescent="0.25">
      <c r="E800" s="28"/>
    </row>
    <row r="801" spans="5:5" customFormat="1" ht="13.2" x14ac:dyDescent="0.25">
      <c r="E801" s="28"/>
    </row>
    <row r="802" spans="5:5" customFormat="1" ht="13.2" x14ac:dyDescent="0.25">
      <c r="E802" s="28"/>
    </row>
    <row r="803" spans="5:5" customFormat="1" ht="13.2" x14ac:dyDescent="0.25">
      <c r="E803" s="28"/>
    </row>
    <row r="804" spans="5:5" customFormat="1" ht="13.2" x14ac:dyDescent="0.25">
      <c r="E804" s="28"/>
    </row>
    <row r="805" spans="5:5" customFormat="1" ht="13.2" x14ac:dyDescent="0.25">
      <c r="E805" s="28"/>
    </row>
    <row r="806" spans="5:5" customFormat="1" ht="13.2" x14ac:dyDescent="0.25">
      <c r="E806" s="28"/>
    </row>
    <row r="807" spans="5:5" customFormat="1" ht="13.2" x14ac:dyDescent="0.25">
      <c r="E807" s="28"/>
    </row>
    <row r="808" spans="5:5" customFormat="1" ht="13.2" x14ac:dyDescent="0.25">
      <c r="E808" s="28"/>
    </row>
    <row r="809" spans="5:5" customFormat="1" ht="13.2" x14ac:dyDescent="0.25">
      <c r="E809" s="28"/>
    </row>
    <row r="810" spans="5:5" customFormat="1" ht="13.2" x14ac:dyDescent="0.25">
      <c r="E810" s="28"/>
    </row>
    <row r="811" spans="5:5" customFormat="1" ht="13.2" x14ac:dyDescent="0.25">
      <c r="E811" s="28"/>
    </row>
    <row r="812" spans="5:5" customFormat="1" ht="13.2" x14ac:dyDescent="0.25">
      <c r="E812" s="28"/>
    </row>
    <row r="813" spans="5:5" customFormat="1" ht="13.2" x14ac:dyDescent="0.25">
      <c r="E813" s="28"/>
    </row>
    <row r="814" spans="5:5" customFormat="1" ht="13.2" x14ac:dyDescent="0.25">
      <c r="E814" s="28"/>
    </row>
    <row r="815" spans="5:5" customFormat="1" ht="13.2" x14ac:dyDescent="0.25">
      <c r="E815" s="28"/>
    </row>
    <row r="816" spans="5:5" customFormat="1" ht="13.2" x14ac:dyDescent="0.25">
      <c r="E816" s="28"/>
    </row>
    <row r="817" spans="5:5" customFormat="1" ht="13.2" x14ac:dyDescent="0.25">
      <c r="E817" s="28"/>
    </row>
    <row r="818" spans="5:5" customFormat="1" ht="13.2" x14ac:dyDescent="0.25">
      <c r="E818" s="28"/>
    </row>
    <row r="819" spans="5:5" customFormat="1" ht="13.2" x14ac:dyDescent="0.25">
      <c r="E819" s="28"/>
    </row>
    <row r="820" spans="5:5" customFormat="1" ht="13.2" x14ac:dyDescent="0.25">
      <c r="E820" s="28"/>
    </row>
    <row r="821" spans="5:5" customFormat="1" ht="13.2" x14ac:dyDescent="0.25">
      <c r="E821" s="28"/>
    </row>
    <row r="822" spans="5:5" customFormat="1" ht="13.2" x14ac:dyDescent="0.25">
      <c r="E822" s="28"/>
    </row>
    <row r="823" spans="5:5" customFormat="1" ht="13.2" x14ac:dyDescent="0.25">
      <c r="E823" s="28"/>
    </row>
    <row r="824" spans="5:5" customFormat="1" ht="13.2" x14ac:dyDescent="0.25">
      <c r="E824" s="28"/>
    </row>
    <row r="825" spans="5:5" customFormat="1" ht="13.2" x14ac:dyDescent="0.25">
      <c r="E825" s="28"/>
    </row>
    <row r="826" spans="5:5" customFormat="1" ht="13.2" x14ac:dyDescent="0.25">
      <c r="E826" s="28"/>
    </row>
    <row r="827" spans="5:5" customFormat="1" ht="13.2" x14ac:dyDescent="0.25">
      <c r="E827" s="28"/>
    </row>
    <row r="828" spans="5:5" customFormat="1" ht="13.2" x14ac:dyDescent="0.25">
      <c r="E828" s="28"/>
    </row>
    <row r="829" spans="5:5" customFormat="1" ht="13.2" x14ac:dyDescent="0.25">
      <c r="E829" s="28"/>
    </row>
    <row r="830" spans="5:5" customFormat="1" ht="13.2" x14ac:dyDescent="0.25">
      <c r="E830" s="28"/>
    </row>
    <row r="831" spans="5:5" customFormat="1" ht="13.2" x14ac:dyDescent="0.25">
      <c r="E831" s="28"/>
    </row>
    <row r="832" spans="5:5" customFormat="1" ht="13.2" x14ac:dyDescent="0.25">
      <c r="E832" s="28"/>
    </row>
    <row r="833" spans="5:5" customFormat="1" ht="13.2" x14ac:dyDescent="0.25">
      <c r="E833" s="28"/>
    </row>
    <row r="834" spans="5:5" customFormat="1" ht="13.2" x14ac:dyDescent="0.25">
      <c r="E834" s="28"/>
    </row>
    <row r="835" spans="5:5" customFormat="1" ht="13.2" x14ac:dyDescent="0.25">
      <c r="E835" s="28"/>
    </row>
    <row r="836" spans="5:5" customFormat="1" ht="13.2" x14ac:dyDescent="0.25">
      <c r="E836" s="28"/>
    </row>
    <row r="837" spans="5:5" customFormat="1" ht="13.2" x14ac:dyDescent="0.25">
      <c r="E837" s="28"/>
    </row>
    <row r="838" spans="5:5" customFormat="1" ht="13.2" x14ac:dyDescent="0.25">
      <c r="E838" s="28"/>
    </row>
    <row r="839" spans="5:5" customFormat="1" ht="13.2" x14ac:dyDescent="0.25">
      <c r="E839" s="28"/>
    </row>
    <row r="840" spans="5:5" customFormat="1" ht="13.2" x14ac:dyDescent="0.25">
      <c r="E840" s="28"/>
    </row>
    <row r="841" spans="5:5" customFormat="1" ht="13.2" x14ac:dyDescent="0.25">
      <c r="E841" s="28"/>
    </row>
    <row r="842" spans="5:5" customFormat="1" ht="13.2" x14ac:dyDescent="0.25">
      <c r="E842" s="28"/>
    </row>
    <row r="843" spans="5:5" customFormat="1" ht="13.2" x14ac:dyDescent="0.25">
      <c r="E843" s="28"/>
    </row>
    <row r="844" spans="5:5" customFormat="1" ht="13.2" x14ac:dyDescent="0.25">
      <c r="E844" s="28"/>
    </row>
    <row r="845" spans="5:5" customFormat="1" ht="13.2" x14ac:dyDescent="0.25">
      <c r="E845" s="28"/>
    </row>
    <row r="846" spans="5:5" customFormat="1" ht="13.2" x14ac:dyDescent="0.25">
      <c r="E846" s="28"/>
    </row>
    <row r="847" spans="5:5" customFormat="1" ht="13.2" x14ac:dyDescent="0.25">
      <c r="E847" s="28"/>
    </row>
    <row r="848" spans="5:5" customFormat="1" ht="13.2" x14ac:dyDescent="0.25">
      <c r="E848" s="28"/>
    </row>
    <row r="849" spans="5:5" customFormat="1" ht="13.2" x14ac:dyDescent="0.25">
      <c r="E849" s="28"/>
    </row>
    <row r="850" spans="5:5" customFormat="1" ht="13.2" x14ac:dyDescent="0.25">
      <c r="E850" s="28"/>
    </row>
    <row r="851" spans="5:5" customFormat="1" ht="13.2" x14ac:dyDescent="0.25">
      <c r="E851" s="28"/>
    </row>
    <row r="852" spans="5:5" customFormat="1" ht="13.2" x14ac:dyDescent="0.25">
      <c r="E852" s="28"/>
    </row>
    <row r="853" spans="5:5" customFormat="1" ht="13.2" x14ac:dyDescent="0.25">
      <c r="E853" s="28"/>
    </row>
    <row r="854" spans="5:5" customFormat="1" ht="13.2" x14ac:dyDescent="0.25">
      <c r="E854" s="28"/>
    </row>
    <row r="855" spans="5:5" customFormat="1" ht="13.2" x14ac:dyDescent="0.25">
      <c r="E855" s="28"/>
    </row>
    <row r="856" spans="5:5" customFormat="1" ht="13.2" x14ac:dyDescent="0.25">
      <c r="E856" s="28"/>
    </row>
    <row r="857" spans="5:5" customFormat="1" ht="13.2" x14ac:dyDescent="0.25">
      <c r="E857" s="28"/>
    </row>
    <row r="858" spans="5:5" customFormat="1" ht="13.2" x14ac:dyDescent="0.25">
      <c r="E858" s="28"/>
    </row>
    <row r="859" spans="5:5" customFormat="1" ht="13.2" x14ac:dyDescent="0.25">
      <c r="E859" s="28"/>
    </row>
    <row r="860" spans="5:5" customFormat="1" ht="13.2" x14ac:dyDescent="0.25">
      <c r="E860" s="28"/>
    </row>
    <row r="861" spans="5:5" customFormat="1" ht="13.2" x14ac:dyDescent="0.25">
      <c r="E861" s="28"/>
    </row>
    <row r="862" spans="5:5" customFormat="1" ht="13.2" x14ac:dyDescent="0.25">
      <c r="E862" s="28"/>
    </row>
    <row r="863" spans="5:5" customFormat="1" ht="13.2" x14ac:dyDescent="0.25">
      <c r="E863" s="28"/>
    </row>
    <row r="864" spans="5:5" customFormat="1" ht="13.2" x14ac:dyDescent="0.25">
      <c r="E864" s="28"/>
    </row>
    <row r="865" spans="5:5" customFormat="1" ht="13.2" x14ac:dyDescent="0.25">
      <c r="E865" s="28"/>
    </row>
    <row r="866" spans="5:5" customFormat="1" ht="13.2" x14ac:dyDescent="0.25">
      <c r="E866" s="28"/>
    </row>
    <row r="867" spans="5:5" customFormat="1" ht="13.2" x14ac:dyDescent="0.25">
      <c r="E867" s="28"/>
    </row>
    <row r="868" spans="5:5" customFormat="1" ht="13.2" x14ac:dyDescent="0.25">
      <c r="E868" s="28"/>
    </row>
    <row r="869" spans="5:5" customFormat="1" ht="13.2" x14ac:dyDescent="0.25">
      <c r="E869" s="28"/>
    </row>
    <row r="870" spans="5:5" customFormat="1" ht="13.2" x14ac:dyDescent="0.25">
      <c r="E870" s="28"/>
    </row>
    <row r="871" spans="5:5" customFormat="1" ht="13.2" x14ac:dyDescent="0.25">
      <c r="E871" s="28"/>
    </row>
    <row r="872" spans="5:5" customFormat="1" ht="13.2" x14ac:dyDescent="0.25">
      <c r="E872" s="28"/>
    </row>
    <row r="873" spans="5:5" customFormat="1" ht="13.2" x14ac:dyDescent="0.25">
      <c r="E873" s="28"/>
    </row>
    <row r="874" spans="5:5" customFormat="1" ht="13.2" x14ac:dyDescent="0.25">
      <c r="E874" s="28"/>
    </row>
    <row r="875" spans="5:5" customFormat="1" ht="13.2" x14ac:dyDescent="0.25">
      <c r="E875" s="28"/>
    </row>
    <row r="876" spans="5:5" customFormat="1" ht="13.2" x14ac:dyDescent="0.25">
      <c r="E876" s="28"/>
    </row>
    <row r="877" spans="5:5" customFormat="1" ht="13.2" x14ac:dyDescent="0.25">
      <c r="E877" s="28"/>
    </row>
    <row r="878" spans="5:5" customFormat="1" ht="13.2" x14ac:dyDescent="0.25">
      <c r="E878" s="28"/>
    </row>
    <row r="879" spans="5:5" customFormat="1" ht="13.2" x14ac:dyDescent="0.25">
      <c r="E879" s="28"/>
    </row>
    <row r="880" spans="5:5" customFormat="1" ht="13.2" x14ac:dyDescent="0.25">
      <c r="E880" s="28"/>
    </row>
    <row r="881" spans="5:5" customFormat="1" ht="13.2" x14ac:dyDescent="0.25">
      <c r="E881" s="28"/>
    </row>
    <row r="882" spans="5:5" customFormat="1" ht="13.2" x14ac:dyDescent="0.25">
      <c r="E882" s="28"/>
    </row>
    <row r="883" spans="5:5" customFormat="1" ht="13.2" x14ac:dyDescent="0.25">
      <c r="E883" s="28"/>
    </row>
    <row r="884" spans="5:5" customFormat="1" ht="13.2" x14ac:dyDescent="0.25">
      <c r="E884" s="28"/>
    </row>
    <row r="885" spans="5:5" customFormat="1" ht="13.2" x14ac:dyDescent="0.25">
      <c r="E885" s="28"/>
    </row>
    <row r="886" spans="5:5" customFormat="1" ht="13.2" x14ac:dyDescent="0.25">
      <c r="E886" s="28"/>
    </row>
    <row r="887" spans="5:5" customFormat="1" ht="13.2" x14ac:dyDescent="0.25">
      <c r="E887" s="28"/>
    </row>
    <row r="888" spans="5:5" customFormat="1" ht="13.2" x14ac:dyDescent="0.25">
      <c r="E888" s="28"/>
    </row>
    <row r="889" spans="5:5" customFormat="1" ht="13.2" x14ac:dyDescent="0.25">
      <c r="E889" s="28"/>
    </row>
    <row r="890" spans="5:5" customFormat="1" ht="13.2" x14ac:dyDescent="0.25">
      <c r="E890" s="28"/>
    </row>
    <row r="891" spans="5:5" customFormat="1" ht="13.2" x14ac:dyDescent="0.25">
      <c r="E891" s="28"/>
    </row>
    <row r="892" spans="5:5" customFormat="1" ht="13.2" x14ac:dyDescent="0.25">
      <c r="E892" s="28"/>
    </row>
    <row r="893" spans="5:5" customFormat="1" ht="13.2" x14ac:dyDescent="0.25">
      <c r="E893" s="28"/>
    </row>
    <row r="894" spans="5:5" customFormat="1" ht="13.2" x14ac:dyDescent="0.25">
      <c r="E894" s="28"/>
    </row>
    <row r="895" spans="5:5" customFormat="1" ht="13.2" x14ac:dyDescent="0.25">
      <c r="E895" s="28"/>
    </row>
    <row r="896" spans="5:5" customFormat="1" ht="13.2" x14ac:dyDescent="0.25">
      <c r="E896" s="28"/>
    </row>
    <row r="897" spans="5:5" customFormat="1" ht="13.2" x14ac:dyDescent="0.25">
      <c r="E897" s="28"/>
    </row>
    <row r="898" spans="5:5" customFormat="1" ht="13.2" x14ac:dyDescent="0.25">
      <c r="E898" s="28"/>
    </row>
    <row r="899" spans="5:5" customFormat="1" ht="13.2" x14ac:dyDescent="0.25">
      <c r="E899" s="28"/>
    </row>
    <row r="900" spans="5:5" customFormat="1" ht="13.2" x14ac:dyDescent="0.25">
      <c r="E900" s="28"/>
    </row>
    <row r="901" spans="5:5" customFormat="1" ht="13.2" x14ac:dyDescent="0.25">
      <c r="E901" s="28"/>
    </row>
    <row r="902" spans="5:5" customFormat="1" ht="13.2" x14ac:dyDescent="0.25">
      <c r="E902" s="28"/>
    </row>
    <row r="903" spans="5:5" customFormat="1" ht="13.2" x14ac:dyDescent="0.25">
      <c r="E903" s="28"/>
    </row>
    <row r="904" spans="5:5" customFormat="1" ht="13.2" x14ac:dyDescent="0.25">
      <c r="E904" s="28"/>
    </row>
    <row r="905" spans="5:5" customFormat="1" ht="13.2" x14ac:dyDescent="0.25">
      <c r="E905" s="28"/>
    </row>
    <row r="906" spans="5:5" customFormat="1" ht="13.2" x14ac:dyDescent="0.25">
      <c r="E906" s="28"/>
    </row>
    <row r="907" spans="5:5" customFormat="1" ht="13.2" x14ac:dyDescent="0.25">
      <c r="E907" s="28"/>
    </row>
    <row r="908" spans="5:5" customFormat="1" ht="13.2" x14ac:dyDescent="0.25">
      <c r="E908" s="28"/>
    </row>
    <row r="909" spans="5:5" customFormat="1" ht="13.2" x14ac:dyDescent="0.25">
      <c r="E909" s="28"/>
    </row>
    <row r="910" spans="5:5" customFormat="1" ht="13.2" x14ac:dyDescent="0.25">
      <c r="E910" s="28"/>
    </row>
    <row r="911" spans="5:5" customFormat="1" ht="13.2" x14ac:dyDescent="0.25">
      <c r="E911" s="28"/>
    </row>
    <row r="912" spans="5:5" customFormat="1" ht="13.2" x14ac:dyDescent="0.25">
      <c r="E912" s="28"/>
    </row>
    <row r="913" spans="5:5" customFormat="1" ht="13.2" x14ac:dyDescent="0.25">
      <c r="E913" s="28"/>
    </row>
    <row r="914" spans="5:5" customFormat="1" ht="13.2" x14ac:dyDescent="0.25">
      <c r="E914" s="28"/>
    </row>
    <row r="915" spans="5:5" customFormat="1" ht="13.2" x14ac:dyDescent="0.25">
      <c r="E915" s="28"/>
    </row>
    <row r="916" spans="5:5" customFormat="1" ht="13.2" x14ac:dyDescent="0.25">
      <c r="E916" s="28"/>
    </row>
    <row r="917" spans="5:5" customFormat="1" ht="13.2" x14ac:dyDescent="0.25">
      <c r="E917" s="28"/>
    </row>
    <row r="918" spans="5:5" customFormat="1" ht="13.2" x14ac:dyDescent="0.25">
      <c r="E918" s="28"/>
    </row>
    <row r="919" spans="5:5" customFormat="1" ht="13.2" x14ac:dyDescent="0.25">
      <c r="E919" s="28"/>
    </row>
    <row r="920" spans="5:5" customFormat="1" ht="13.2" x14ac:dyDescent="0.25">
      <c r="E920" s="28"/>
    </row>
    <row r="921" spans="5:5" customFormat="1" ht="13.2" x14ac:dyDescent="0.25">
      <c r="E921" s="28"/>
    </row>
    <row r="922" spans="5:5" customFormat="1" ht="13.2" x14ac:dyDescent="0.25">
      <c r="E922" s="28"/>
    </row>
    <row r="923" spans="5:5" customFormat="1" ht="13.2" x14ac:dyDescent="0.25">
      <c r="E923" s="28"/>
    </row>
    <row r="924" spans="5:5" customFormat="1" ht="13.2" x14ac:dyDescent="0.25">
      <c r="E924" s="28"/>
    </row>
    <row r="925" spans="5:5" customFormat="1" ht="13.2" x14ac:dyDescent="0.25">
      <c r="E925" s="28"/>
    </row>
    <row r="926" spans="5:5" customFormat="1" ht="13.2" x14ac:dyDescent="0.25">
      <c r="E926" s="28"/>
    </row>
    <row r="927" spans="5:5" customFormat="1" ht="13.2" x14ac:dyDescent="0.25">
      <c r="E927" s="28"/>
    </row>
    <row r="928" spans="5:5" customFormat="1" ht="13.2" x14ac:dyDescent="0.25">
      <c r="E928" s="28"/>
    </row>
    <row r="929" spans="5:5" customFormat="1" ht="13.2" x14ac:dyDescent="0.25">
      <c r="E929" s="28"/>
    </row>
    <row r="930" spans="5:5" customFormat="1" ht="13.2" x14ac:dyDescent="0.25">
      <c r="E930" s="28"/>
    </row>
    <row r="931" spans="5:5" customFormat="1" ht="13.2" x14ac:dyDescent="0.25">
      <c r="E931" s="28"/>
    </row>
    <row r="932" spans="5:5" customFormat="1" ht="13.2" x14ac:dyDescent="0.25">
      <c r="E932" s="28"/>
    </row>
    <row r="933" spans="5:5" customFormat="1" ht="13.2" x14ac:dyDescent="0.25">
      <c r="E933" s="28"/>
    </row>
    <row r="934" spans="5:5" customFormat="1" ht="13.2" x14ac:dyDescent="0.25">
      <c r="E934" s="28"/>
    </row>
    <row r="935" spans="5:5" customFormat="1" ht="13.2" x14ac:dyDescent="0.25">
      <c r="E935" s="28"/>
    </row>
    <row r="936" spans="5:5" customFormat="1" ht="13.2" x14ac:dyDescent="0.25">
      <c r="E936" s="28"/>
    </row>
    <row r="937" spans="5:5" customFormat="1" ht="13.2" x14ac:dyDescent="0.25">
      <c r="E937" s="28"/>
    </row>
    <row r="938" spans="5:5" customFormat="1" ht="13.2" x14ac:dyDescent="0.25">
      <c r="E938" s="28"/>
    </row>
    <row r="939" spans="5:5" customFormat="1" ht="13.2" x14ac:dyDescent="0.25">
      <c r="E939" s="28"/>
    </row>
    <row r="940" spans="5:5" customFormat="1" ht="13.2" x14ac:dyDescent="0.25">
      <c r="E940" s="28"/>
    </row>
    <row r="941" spans="5:5" customFormat="1" ht="13.2" x14ac:dyDescent="0.25">
      <c r="E941" s="28"/>
    </row>
    <row r="942" spans="5:5" customFormat="1" ht="13.2" x14ac:dyDescent="0.25">
      <c r="E942" s="28"/>
    </row>
    <row r="943" spans="5:5" customFormat="1" ht="13.2" x14ac:dyDescent="0.25">
      <c r="E943" s="28"/>
    </row>
    <row r="944" spans="5:5" customFormat="1" ht="13.2" x14ac:dyDescent="0.25">
      <c r="E944" s="28"/>
    </row>
    <row r="945" spans="5:5" customFormat="1" ht="13.2" x14ac:dyDescent="0.25">
      <c r="E945" s="28"/>
    </row>
    <row r="946" spans="5:5" customFormat="1" ht="13.2" x14ac:dyDescent="0.25">
      <c r="E946" s="28"/>
    </row>
    <row r="947" spans="5:5" customFormat="1" ht="13.2" x14ac:dyDescent="0.25">
      <c r="E947" s="28"/>
    </row>
    <row r="948" spans="5:5" customFormat="1" ht="13.2" x14ac:dyDescent="0.25">
      <c r="E948" s="28"/>
    </row>
    <row r="949" spans="5:5" customFormat="1" ht="13.2" x14ac:dyDescent="0.25">
      <c r="E949" s="28"/>
    </row>
    <row r="950" spans="5:5" customFormat="1" ht="13.2" x14ac:dyDescent="0.25">
      <c r="E950" s="28"/>
    </row>
    <row r="951" spans="5:5" customFormat="1" ht="13.2" x14ac:dyDescent="0.25">
      <c r="E951" s="28"/>
    </row>
    <row r="952" spans="5:5" customFormat="1" ht="13.2" x14ac:dyDescent="0.25">
      <c r="E952" s="28"/>
    </row>
    <row r="953" spans="5:5" customFormat="1" ht="13.2" x14ac:dyDescent="0.25">
      <c r="E953" s="28"/>
    </row>
    <row r="954" spans="5:5" customFormat="1" ht="13.2" x14ac:dyDescent="0.25">
      <c r="E954" s="28"/>
    </row>
    <row r="955" spans="5:5" customFormat="1" ht="13.2" x14ac:dyDescent="0.25">
      <c r="E955" s="28"/>
    </row>
    <row r="956" spans="5:5" customFormat="1" ht="13.2" x14ac:dyDescent="0.25">
      <c r="E956" s="28"/>
    </row>
    <row r="957" spans="5:5" customFormat="1" ht="13.2" x14ac:dyDescent="0.25">
      <c r="E957" s="28"/>
    </row>
    <row r="958" spans="5:5" customFormat="1" ht="13.2" x14ac:dyDescent="0.25">
      <c r="E958" s="28"/>
    </row>
    <row r="959" spans="5:5" customFormat="1" ht="13.2" x14ac:dyDescent="0.25">
      <c r="E959" s="28"/>
    </row>
    <row r="960" spans="5:5" customFormat="1" ht="13.2" x14ac:dyDescent="0.25">
      <c r="E960" s="28"/>
    </row>
    <row r="961" spans="5:5" customFormat="1" ht="13.2" x14ac:dyDescent="0.25">
      <c r="E961" s="28"/>
    </row>
    <row r="962" spans="5:5" customFormat="1" ht="13.2" x14ac:dyDescent="0.25">
      <c r="E962" s="28"/>
    </row>
    <row r="963" spans="5:5" customFormat="1" ht="13.2" x14ac:dyDescent="0.25">
      <c r="E963" s="28"/>
    </row>
    <row r="964" spans="5:5" customFormat="1" ht="13.2" x14ac:dyDescent="0.25">
      <c r="E964" s="28"/>
    </row>
    <row r="965" spans="5:5" customFormat="1" ht="13.2" x14ac:dyDescent="0.25">
      <c r="E965" s="28"/>
    </row>
    <row r="966" spans="5:5" customFormat="1" ht="13.2" x14ac:dyDescent="0.25">
      <c r="E966" s="28"/>
    </row>
    <row r="967" spans="5:5" customFormat="1" ht="13.2" x14ac:dyDescent="0.25">
      <c r="E967" s="28"/>
    </row>
    <row r="968" spans="5:5" customFormat="1" ht="13.2" x14ac:dyDescent="0.25">
      <c r="E968" s="28"/>
    </row>
    <row r="969" spans="5:5" customFormat="1" ht="13.2" x14ac:dyDescent="0.25">
      <c r="E969" s="28"/>
    </row>
    <row r="970" spans="5:5" customFormat="1" ht="13.2" x14ac:dyDescent="0.25">
      <c r="E970" s="28"/>
    </row>
    <row r="971" spans="5:5" customFormat="1" ht="13.2" x14ac:dyDescent="0.25">
      <c r="E971" s="28"/>
    </row>
    <row r="972" spans="5:5" customFormat="1" ht="13.2" x14ac:dyDescent="0.25">
      <c r="E972" s="28"/>
    </row>
    <row r="973" spans="5:5" customFormat="1" ht="13.2" x14ac:dyDescent="0.25">
      <c r="E973" s="28"/>
    </row>
    <row r="974" spans="5:5" customFormat="1" ht="13.2" x14ac:dyDescent="0.25">
      <c r="E974" s="28"/>
    </row>
    <row r="975" spans="5:5" customFormat="1" ht="13.2" x14ac:dyDescent="0.25">
      <c r="E975" s="28"/>
    </row>
    <row r="976" spans="5:5" customFormat="1" ht="13.2" x14ac:dyDescent="0.25">
      <c r="E976" s="28"/>
    </row>
    <row r="977" spans="5:5" customFormat="1" ht="13.2" x14ac:dyDescent="0.25">
      <c r="E977" s="28"/>
    </row>
    <row r="978" spans="5:5" customFormat="1" ht="13.2" x14ac:dyDescent="0.25">
      <c r="E978" s="28"/>
    </row>
    <row r="979" spans="5:5" customFormat="1" ht="13.2" x14ac:dyDescent="0.25">
      <c r="E979" s="28"/>
    </row>
    <row r="980" spans="5:5" customFormat="1" ht="13.2" x14ac:dyDescent="0.25">
      <c r="E980" s="28"/>
    </row>
    <row r="981" spans="5:5" customFormat="1" ht="13.2" x14ac:dyDescent="0.25">
      <c r="E981" s="28"/>
    </row>
    <row r="982" spans="5:5" customFormat="1" ht="13.2" x14ac:dyDescent="0.25">
      <c r="E982" s="28"/>
    </row>
    <row r="983" spans="5:5" customFormat="1" ht="13.2" x14ac:dyDescent="0.25">
      <c r="E983" s="28"/>
    </row>
    <row r="984" spans="5:5" customFormat="1" ht="13.2" x14ac:dyDescent="0.25">
      <c r="E984" s="28"/>
    </row>
    <row r="985" spans="5:5" customFormat="1" ht="13.2" x14ac:dyDescent="0.25">
      <c r="E985" s="28"/>
    </row>
    <row r="986" spans="5:5" customFormat="1" ht="13.2" x14ac:dyDescent="0.25">
      <c r="E986" s="28"/>
    </row>
    <row r="987" spans="5:5" customFormat="1" ht="13.2" x14ac:dyDescent="0.25">
      <c r="E987" s="28"/>
    </row>
    <row r="988" spans="5:5" customFormat="1" ht="13.2" x14ac:dyDescent="0.25">
      <c r="E988" s="28"/>
    </row>
    <row r="989" spans="5:5" customFormat="1" ht="13.2" x14ac:dyDescent="0.25">
      <c r="E989" s="28"/>
    </row>
    <row r="990" spans="5:5" customFormat="1" ht="13.2" x14ac:dyDescent="0.25">
      <c r="E990" s="28"/>
    </row>
    <row r="991" spans="5:5" customFormat="1" ht="13.2" x14ac:dyDescent="0.25">
      <c r="E991" s="28"/>
    </row>
    <row r="992" spans="5:5" customFormat="1" ht="13.2" x14ac:dyDescent="0.25">
      <c r="E992" s="28"/>
    </row>
    <row r="993" spans="5:5" customFormat="1" ht="13.2" x14ac:dyDescent="0.25">
      <c r="E993" s="28"/>
    </row>
    <row r="994" spans="5:5" customFormat="1" ht="13.2" x14ac:dyDescent="0.25">
      <c r="E994" s="28"/>
    </row>
    <row r="995" spans="5:5" customFormat="1" ht="13.2" x14ac:dyDescent="0.25">
      <c r="E995" s="28"/>
    </row>
    <row r="996" spans="5:5" customFormat="1" ht="13.2" x14ac:dyDescent="0.25">
      <c r="E996" s="28"/>
    </row>
    <row r="997" spans="5:5" customFormat="1" ht="13.2" x14ac:dyDescent="0.25">
      <c r="E997" s="28"/>
    </row>
    <row r="998" spans="5:5" customFormat="1" ht="13.2" x14ac:dyDescent="0.25">
      <c r="E998" s="28"/>
    </row>
    <row r="999" spans="5:5" customFormat="1" ht="13.2" x14ac:dyDescent="0.25">
      <c r="E999" s="28"/>
    </row>
    <row r="1000" spans="5:5" customFormat="1" ht="13.2" x14ac:dyDescent="0.25">
      <c r="E1000" s="28"/>
    </row>
    <row r="1001" spans="5:5" customFormat="1" ht="13.2" x14ac:dyDescent="0.25">
      <c r="E1001" s="28"/>
    </row>
    <row r="1002" spans="5:5" customFormat="1" ht="13.2" x14ac:dyDescent="0.25">
      <c r="E1002" s="28"/>
    </row>
    <row r="1003" spans="5:5" customFormat="1" ht="13.2" x14ac:dyDescent="0.25">
      <c r="E1003" s="28"/>
    </row>
    <row r="1004" spans="5:5" customFormat="1" ht="13.2" x14ac:dyDescent="0.25">
      <c r="E1004" s="28"/>
    </row>
    <row r="1005" spans="5:5" customFormat="1" ht="13.2" x14ac:dyDescent="0.25">
      <c r="E1005" s="28"/>
    </row>
    <row r="1006" spans="5:5" customFormat="1" ht="13.2" x14ac:dyDescent="0.25">
      <c r="E1006" s="28"/>
    </row>
    <row r="1007" spans="5:5" customFormat="1" ht="13.2" x14ac:dyDescent="0.25">
      <c r="E1007" s="28"/>
    </row>
    <row r="1008" spans="5:5" customFormat="1" ht="13.2" x14ac:dyDescent="0.25">
      <c r="E1008" s="28"/>
    </row>
    <row r="1009" spans="5:5" customFormat="1" ht="13.2" x14ac:dyDescent="0.25">
      <c r="E1009" s="28"/>
    </row>
    <row r="1010" spans="5:5" customFormat="1" ht="13.2" x14ac:dyDescent="0.25">
      <c r="E1010" s="28"/>
    </row>
    <row r="1011" spans="5:5" customFormat="1" ht="13.2" x14ac:dyDescent="0.25">
      <c r="E1011" s="28"/>
    </row>
    <row r="1012" spans="5:5" customFormat="1" ht="13.2" x14ac:dyDescent="0.25">
      <c r="E1012" s="28"/>
    </row>
    <row r="1013" spans="5:5" customFormat="1" ht="13.2" x14ac:dyDescent="0.25">
      <c r="E1013" s="28"/>
    </row>
    <row r="1014" spans="5:5" customFormat="1" ht="13.2" x14ac:dyDescent="0.25">
      <c r="E1014" s="28"/>
    </row>
    <row r="1015" spans="5:5" customFormat="1" ht="13.2" x14ac:dyDescent="0.25">
      <c r="E1015" s="28"/>
    </row>
    <row r="1016" spans="5:5" customFormat="1" ht="13.2" x14ac:dyDescent="0.25">
      <c r="E1016" s="28"/>
    </row>
    <row r="1017" spans="5:5" customFormat="1" ht="13.2" x14ac:dyDescent="0.25">
      <c r="E1017" s="28"/>
    </row>
    <row r="1018" spans="5:5" customFormat="1" ht="13.2" x14ac:dyDescent="0.25">
      <c r="E1018" s="28"/>
    </row>
    <row r="1019" spans="5:5" customFormat="1" ht="13.2" x14ac:dyDescent="0.25">
      <c r="E1019" s="28"/>
    </row>
    <row r="1020" spans="5:5" customFormat="1" ht="13.2" x14ac:dyDescent="0.25">
      <c r="E1020" s="28"/>
    </row>
    <row r="1021" spans="5:5" customFormat="1" ht="13.2" x14ac:dyDescent="0.25">
      <c r="E1021" s="28"/>
    </row>
    <row r="1022" spans="5:5" customFormat="1" ht="13.2" x14ac:dyDescent="0.25">
      <c r="E1022" s="28"/>
    </row>
    <row r="1023" spans="5:5" customFormat="1" ht="13.2" x14ac:dyDescent="0.25">
      <c r="E1023" s="28"/>
    </row>
    <row r="1024" spans="5:5" customFormat="1" ht="13.2" x14ac:dyDescent="0.25">
      <c r="E1024" s="28"/>
    </row>
    <row r="1025" spans="5:5" customFormat="1" ht="13.2" x14ac:dyDescent="0.25">
      <c r="E1025" s="28"/>
    </row>
    <row r="1026" spans="5:5" customFormat="1" ht="13.2" x14ac:dyDescent="0.25">
      <c r="E1026" s="28"/>
    </row>
    <row r="1027" spans="5:5" customFormat="1" ht="13.2" x14ac:dyDescent="0.25">
      <c r="E1027" s="28"/>
    </row>
    <row r="1028" spans="5:5" customFormat="1" ht="13.2" x14ac:dyDescent="0.25">
      <c r="E1028" s="28"/>
    </row>
    <row r="1029" spans="5:5" customFormat="1" ht="13.2" x14ac:dyDescent="0.25">
      <c r="E1029" s="28"/>
    </row>
    <row r="1030" spans="5:5" customFormat="1" ht="13.2" x14ac:dyDescent="0.25">
      <c r="E1030" s="28"/>
    </row>
    <row r="1031" spans="5:5" customFormat="1" ht="13.2" x14ac:dyDescent="0.25">
      <c r="E1031" s="28"/>
    </row>
    <row r="1032" spans="5:5" customFormat="1" ht="13.2" x14ac:dyDescent="0.25">
      <c r="E1032" s="28"/>
    </row>
    <row r="1033" spans="5:5" customFormat="1" ht="13.2" x14ac:dyDescent="0.25">
      <c r="E1033" s="28"/>
    </row>
    <row r="1034" spans="5:5" customFormat="1" ht="13.2" x14ac:dyDescent="0.25">
      <c r="E1034" s="28"/>
    </row>
    <row r="1035" spans="5:5" customFormat="1" ht="13.2" x14ac:dyDescent="0.25">
      <c r="E1035" s="28"/>
    </row>
    <row r="1036" spans="5:5" customFormat="1" ht="13.2" x14ac:dyDescent="0.25">
      <c r="E1036" s="28"/>
    </row>
    <row r="1037" spans="5:5" customFormat="1" ht="13.2" x14ac:dyDescent="0.25">
      <c r="E1037" s="28"/>
    </row>
    <row r="1038" spans="5:5" customFormat="1" ht="13.2" x14ac:dyDescent="0.25">
      <c r="E1038" s="28"/>
    </row>
    <row r="1039" spans="5:5" customFormat="1" ht="13.2" x14ac:dyDescent="0.25">
      <c r="E1039" s="28"/>
    </row>
    <row r="1040" spans="5:5" customFormat="1" ht="13.2" x14ac:dyDescent="0.25">
      <c r="E1040" s="28"/>
    </row>
    <row r="1041" spans="5:5" customFormat="1" ht="13.2" x14ac:dyDescent="0.25">
      <c r="E1041" s="28"/>
    </row>
    <row r="1042" spans="5:5" customFormat="1" ht="13.2" x14ac:dyDescent="0.25">
      <c r="E1042" s="28"/>
    </row>
    <row r="1043" spans="5:5" customFormat="1" ht="13.2" x14ac:dyDescent="0.25">
      <c r="E1043" s="28"/>
    </row>
    <row r="1044" spans="5:5" customFormat="1" ht="13.2" x14ac:dyDescent="0.25">
      <c r="E1044" s="28"/>
    </row>
    <row r="1045" spans="5:5" customFormat="1" ht="13.2" x14ac:dyDescent="0.25">
      <c r="E1045" s="28"/>
    </row>
    <row r="1046" spans="5:5" customFormat="1" ht="13.2" x14ac:dyDescent="0.25">
      <c r="E1046" s="28"/>
    </row>
    <row r="1047" spans="5:5" customFormat="1" ht="13.2" x14ac:dyDescent="0.25">
      <c r="E1047" s="28"/>
    </row>
    <row r="1048" spans="5:5" customFormat="1" ht="13.2" x14ac:dyDescent="0.25">
      <c r="E1048" s="28"/>
    </row>
    <row r="1049" spans="5:5" customFormat="1" ht="13.2" x14ac:dyDescent="0.25">
      <c r="E1049" s="28"/>
    </row>
    <row r="1050" spans="5:5" customFormat="1" ht="13.2" x14ac:dyDescent="0.25">
      <c r="E1050" s="28"/>
    </row>
    <row r="1051" spans="5:5" customFormat="1" ht="13.2" x14ac:dyDescent="0.25">
      <c r="E1051" s="28"/>
    </row>
    <row r="1052" spans="5:5" customFormat="1" ht="13.2" x14ac:dyDescent="0.25">
      <c r="E1052" s="28"/>
    </row>
    <row r="1053" spans="5:5" customFormat="1" ht="13.2" x14ac:dyDescent="0.25">
      <c r="E1053" s="28"/>
    </row>
    <row r="1054" spans="5:5" customFormat="1" ht="13.2" x14ac:dyDescent="0.25">
      <c r="E1054" s="28"/>
    </row>
    <row r="1055" spans="5:5" customFormat="1" ht="13.2" x14ac:dyDescent="0.25">
      <c r="E1055" s="28"/>
    </row>
    <row r="1056" spans="5:5" customFormat="1" ht="13.2" x14ac:dyDescent="0.25">
      <c r="E1056" s="28"/>
    </row>
    <row r="1057" spans="5:5" customFormat="1" ht="13.2" x14ac:dyDescent="0.25">
      <c r="E1057" s="28"/>
    </row>
    <row r="1058" spans="5:5" customFormat="1" ht="13.2" x14ac:dyDescent="0.25">
      <c r="E1058" s="28"/>
    </row>
    <row r="1059" spans="5:5" customFormat="1" ht="13.2" x14ac:dyDescent="0.25">
      <c r="E1059" s="28"/>
    </row>
    <row r="1060" spans="5:5" customFormat="1" ht="13.2" x14ac:dyDescent="0.25">
      <c r="E1060" s="28"/>
    </row>
    <row r="1061" spans="5:5" customFormat="1" ht="13.2" x14ac:dyDescent="0.25">
      <c r="E1061" s="28"/>
    </row>
    <row r="1062" spans="5:5" customFormat="1" ht="13.2" x14ac:dyDescent="0.25">
      <c r="E1062" s="28"/>
    </row>
    <row r="1063" spans="5:5" customFormat="1" ht="13.2" x14ac:dyDescent="0.25">
      <c r="E1063" s="28"/>
    </row>
    <row r="1064" spans="5:5" customFormat="1" ht="13.2" x14ac:dyDescent="0.25">
      <c r="E1064" s="28"/>
    </row>
    <row r="1065" spans="5:5" customFormat="1" ht="13.2" x14ac:dyDescent="0.25">
      <c r="E1065" s="28"/>
    </row>
    <row r="1066" spans="5:5" customFormat="1" ht="13.2" x14ac:dyDescent="0.25">
      <c r="E1066" s="28"/>
    </row>
    <row r="1067" spans="5:5" customFormat="1" ht="13.2" x14ac:dyDescent="0.25">
      <c r="E1067" s="28"/>
    </row>
    <row r="1068" spans="5:5" customFormat="1" ht="13.2" x14ac:dyDescent="0.25">
      <c r="E1068" s="28"/>
    </row>
    <row r="1069" spans="5:5" customFormat="1" ht="13.2" x14ac:dyDescent="0.25">
      <c r="E1069" s="28"/>
    </row>
    <row r="1070" spans="5:5" customFormat="1" ht="13.2" x14ac:dyDescent="0.25">
      <c r="E1070" s="28"/>
    </row>
    <row r="1071" spans="5:5" customFormat="1" ht="13.2" x14ac:dyDescent="0.25">
      <c r="E1071" s="28"/>
    </row>
    <row r="1072" spans="5:5" customFormat="1" ht="13.2" x14ac:dyDescent="0.25">
      <c r="E1072" s="28"/>
    </row>
    <row r="1073" spans="5:5" customFormat="1" ht="13.2" x14ac:dyDescent="0.25">
      <c r="E1073" s="28"/>
    </row>
    <row r="1074" spans="5:5" customFormat="1" ht="13.2" x14ac:dyDescent="0.25">
      <c r="E1074" s="28"/>
    </row>
    <row r="1075" spans="5:5" customFormat="1" ht="13.2" x14ac:dyDescent="0.25">
      <c r="E1075" s="28"/>
    </row>
    <row r="1076" spans="5:5" customFormat="1" ht="13.2" x14ac:dyDescent="0.25">
      <c r="E1076" s="28"/>
    </row>
    <row r="1077" spans="5:5" customFormat="1" ht="13.2" x14ac:dyDescent="0.25">
      <c r="E1077" s="28"/>
    </row>
    <row r="1078" spans="5:5" customFormat="1" ht="13.2" x14ac:dyDescent="0.25">
      <c r="E1078" s="28"/>
    </row>
    <row r="1079" spans="5:5" customFormat="1" ht="13.2" x14ac:dyDescent="0.25">
      <c r="E1079" s="28"/>
    </row>
    <row r="1080" spans="5:5" customFormat="1" ht="13.2" x14ac:dyDescent="0.25">
      <c r="E1080" s="28"/>
    </row>
    <row r="1081" spans="5:5" customFormat="1" ht="13.2" x14ac:dyDescent="0.25">
      <c r="E1081" s="28"/>
    </row>
    <row r="1082" spans="5:5" customFormat="1" ht="13.2" x14ac:dyDescent="0.25">
      <c r="E1082" s="28"/>
    </row>
    <row r="1083" spans="5:5" customFormat="1" ht="13.2" x14ac:dyDescent="0.25">
      <c r="E1083" s="28"/>
    </row>
    <row r="1084" spans="5:5" customFormat="1" ht="13.2" x14ac:dyDescent="0.25">
      <c r="E1084" s="28"/>
    </row>
    <row r="1085" spans="5:5" customFormat="1" ht="13.2" x14ac:dyDescent="0.25">
      <c r="E1085" s="28"/>
    </row>
    <row r="1086" spans="5:5" customFormat="1" ht="13.2" x14ac:dyDescent="0.25">
      <c r="E1086" s="28"/>
    </row>
    <row r="1087" spans="5:5" customFormat="1" ht="13.2" x14ac:dyDescent="0.25">
      <c r="E1087" s="28"/>
    </row>
    <row r="1088" spans="5:5" customFormat="1" ht="13.2" x14ac:dyDescent="0.25">
      <c r="E1088" s="28"/>
    </row>
    <row r="1089" spans="5:5" customFormat="1" ht="13.2" x14ac:dyDescent="0.25">
      <c r="E1089" s="28"/>
    </row>
    <row r="1090" spans="5:5" customFormat="1" ht="13.2" x14ac:dyDescent="0.25">
      <c r="E1090" s="28"/>
    </row>
    <row r="1091" spans="5:5" customFormat="1" ht="13.2" x14ac:dyDescent="0.25">
      <c r="E1091" s="28"/>
    </row>
    <row r="1092" spans="5:5" customFormat="1" ht="13.2" x14ac:dyDescent="0.25">
      <c r="E1092" s="28"/>
    </row>
    <row r="1093" spans="5:5" customFormat="1" ht="13.2" x14ac:dyDescent="0.25">
      <c r="E1093" s="28"/>
    </row>
    <row r="1094" spans="5:5" customFormat="1" ht="13.2" x14ac:dyDescent="0.25">
      <c r="E1094" s="28"/>
    </row>
    <row r="1095" spans="5:5" customFormat="1" ht="13.2" x14ac:dyDescent="0.25">
      <c r="E1095" s="28"/>
    </row>
    <row r="1096" spans="5:5" customFormat="1" ht="13.2" x14ac:dyDescent="0.25">
      <c r="E1096" s="28"/>
    </row>
    <row r="1097" spans="5:5" customFormat="1" ht="13.2" x14ac:dyDescent="0.25">
      <c r="E1097" s="28"/>
    </row>
    <row r="1098" spans="5:5" customFormat="1" ht="13.2" x14ac:dyDescent="0.25">
      <c r="E1098" s="28"/>
    </row>
    <row r="1099" spans="5:5" customFormat="1" ht="13.2" x14ac:dyDescent="0.25">
      <c r="E1099" s="28"/>
    </row>
    <row r="1100" spans="5:5" customFormat="1" ht="13.2" x14ac:dyDescent="0.25">
      <c r="E1100" s="28"/>
    </row>
    <row r="1101" spans="5:5" customFormat="1" ht="13.2" x14ac:dyDescent="0.25">
      <c r="E1101" s="28"/>
    </row>
    <row r="1102" spans="5:5" customFormat="1" ht="13.2" x14ac:dyDescent="0.25">
      <c r="E1102" s="28"/>
    </row>
    <row r="1103" spans="5:5" customFormat="1" ht="13.2" x14ac:dyDescent="0.25">
      <c r="E1103" s="28"/>
    </row>
    <row r="1104" spans="5:5" customFormat="1" ht="13.2" x14ac:dyDescent="0.25">
      <c r="E1104" s="28"/>
    </row>
    <row r="1105" spans="5:5" customFormat="1" ht="13.2" x14ac:dyDescent="0.25">
      <c r="E1105" s="28"/>
    </row>
    <row r="1106" spans="5:5" customFormat="1" ht="13.2" x14ac:dyDescent="0.25">
      <c r="E1106" s="28"/>
    </row>
    <row r="1107" spans="5:5" customFormat="1" ht="13.2" x14ac:dyDescent="0.25">
      <c r="E1107" s="28"/>
    </row>
    <row r="1108" spans="5:5" customFormat="1" ht="13.2" x14ac:dyDescent="0.25">
      <c r="E1108" s="28"/>
    </row>
    <row r="1109" spans="5:5" customFormat="1" ht="13.2" x14ac:dyDescent="0.25">
      <c r="E1109" s="28"/>
    </row>
    <row r="1110" spans="5:5" customFormat="1" ht="13.2" x14ac:dyDescent="0.25">
      <c r="E1110" s="28"/>
    </row>
    <row r="1111" spans="5:5" customFormat="1" ht="13.2" x14ac:dyDescent="0.25">
      <c r="E1111" s="28"/>
    </row>
    <row r="1112" spans="5:5" customFormat="1" ht="13.2" x14ac:dyDescent="0.25">
      <c r="E1112" s="28"/>
    </row>
    <row r="1113" spans="5:5" customFormat="1" ht="13.2" x14ac:dyDescent="0.25">
      <c r="E1113" s="28"/>
    </row>
    <row r="1114" spans="5:5" customFormat="1" ht="13.2" x14ac:dyDescent="0.25">
      <c r="E1114" s="28"/>
    </row>
    <row r="1115" spans="5:5" customFormat="1" ht="13.2" x14ac:dyDescent="0.25">
      <c r="E1115" s="28"/>
    </row>
    <row r="1116" spans="5:5" customFormat="1" ht="13.2" x14ac:dyDescent="0.25">
      <c r="E1116" s="28"/>
    </row>
    <row r="1117" spans="5:5" customFormat="1" ht="13.2" x14ac:dyDescent="0.25">
      <c r="E1117" s="28"/>
    </row>
    <row r="1118" spans="5:5" customFormat="1" ht="13.2" x14ac:dyDescent="0.25">
      <c r="E1118" s="28"/>
    </row>
    <row r="1119" spans="5:5" customFormat="1" ht="13.2" x14ac:dyDescent="0.25">
      <c r="E1119" s="28"/>
    </row>
    <row r="1120" spans="5:5" customFormat="1" ht="13.2" x14ac:dyDescent="0.25">
      <c r="E1120" s="28"/>
    </row>
    <row r="1121" spans="5:5" customFormat="1" ht="13.2" x14ac:dyDescent="0.25">
      <c r="E1121" s="28"/>
    </row>
    <row r="1122" spans="5:5" customFormat="1" ht="13.2" x14ac:dyDescent="0.25">
      <c r="E1122" s="28"/>
    </row>
    <row r="1123" spans="5:5" customFormat="1" ht="13.2" x14ac:dyDescent="0.25">
      <c r="E1123" s="28"/>
    </row>
    <row r="1124" spans="5:5" customFormat="1" ht="13.2" x14ac:dyDescent="0.25">
      <c r="E1124" s="28"/>
    </row>
    <row r="1125" spans="5:5" customFormat="1" ht="13.2" x14ac:dyDescent="0.25">
      <c r="E1125" s="28"/>
    </row>
    <row r="1126" spans="5:5" customFormat="1" ht="13.2" x14ac:dyDescent="0.25">
      <c r="E1126" s="28"/>
    </row>
    <row r="1127" spans="5:5" customFormat="1" ht="13.2" x14ac:dyDescent="0.25">
      <c r="E1127" s="28"/>
    </row>
    <row r="1128" spans="5:5" customFormat="1" ht="13.2" x14ac:dyDescent="0.25">
      <c r="E1128" s="28"/>
    </row>
    <row r="1129" spans="5:5" customFormat="1" ht="13.2" x14ac:dyDescent="0.25">
      <c r="E1129" s="28"/>
    </row>
    <row r="1130" spans="5:5" customFormat="1" ht="13.2" x14ac:dyDescent="0.25">
      <c r="E1130" s="28"/>
    </row>
    <row r="1131" spans="5:5" customFormat="1" ht="13.2" x14ac:dyDescent="0.25">
      <c r="E1131" s="28"/>
    </row>
    <row r="1132" spans="5:5" customFormat="1" ht="13.2" x14ac:dyDescent="0.25">
      <c r="E1132" s="28"/>
    </row>
    <row r="1133" spans="5:5" customFormat="1" ht="13.2" x14ac:dyDescent="0.25">
      <c r="E1133" s="28"/>
    </row>
    <row r="1134" spans="5:5" customFormat="1" ht="13.2" x14ac:dyDescent="0.25">
      <c r="E1134" s="28"/>
    </row>
    <row r="1135" spans="5:5" customFormat="1" ht="13.2" x14ac:dyDescent="0.25">
      <c r="E1135" s="28"/>
    </row>
    <row r="1136" spans="5:5" customFormat="1" ht="13.2" x14ac:dyDescent="0.25">
      <c r="E1136" s="28"/>
    </row>
    <row r="1137" spans="5:5" customFormat="1" ht="13.2" x14ac:dyDescent="0.25">
      <c r="E1137" s="28"/>
    </row>
    <row r="1138" spans="5:5" customFormat="1" ht="13.2" x14ac:dyDescent="0.25">
      <c r="E1138" s="28"/>
    </row>
    <row r="1139" spans="5:5" customFormat="1" ht="13.2" x14ac:dyDescent="0.25">
      <c r="E1139" s="28"/>
    </row>
    <row r="1140" spans="5:5" customFormat="1" ht="13.2" x14ac:dyDescent="0.25">
      <c r="E1140" s="28"/>
    </row>
    <row r="1141" spans="5:5" customFormat="1" ht="13.2" x14ac:dyDescent="0.25">
      <c r="E1141" s="28"/>
    </row>
    <row r="1142" spans="5:5" customFormat="1" ht="13.2" x14ac:dyDescent="0.25">
      <c r="E1142" s="28"/>
    </row>
    <row r="1143" spans="5:5" customFormat="1" ht="13.2" x14ac:dyDescent="0.25">
      <c r="E1143" s="28"/>
    </row>
    <row r="1144" spans="5:5" customFormat="1" ht="13.2" x14ac:dyDescent="0.25">
      <c r="E1144" s="28"/>
    </row>
    <row r="1145" spans="5:5" customFormat="1" ht="13.2" x14ac:dyDescent="0.25">
      <c r="E1145" s="28"/>
    </row>
    <row r="1146" spans="5:5" customFormat="1" ht="13.2" x14ac:dyDescent="0.25">
      <c r="E1146" s="28"/>
    </row>
    <row r="1147" spans="5:5" customFormat="1" ht="13.2" x14ac:dyDescent="0.25">
      <c r="E1147" s="28"/>
    </row>
    <row r="1148" spans="5:5" customFormat="1" ht="13.2" x14ac:dyDescent="0.25">
      <c r="E1148" s="28"/>
    </row>
    <row r="1149" spans="5:5" customFormat="1" ht="13.2" x14ac:dyDescent="0.25">
      <c r="E1149" s="28"/>
    </row>
    <row r="1150" spans="5:5" customFormat="1" ht="13.2" x14ac:dyDescent="0.25">
      <c r="E1150" s="28"/>
    </row>
    <row r="1151" spans="5:5" customFormat="1" ht="13.2" x14ac:dyDescent="0.25">
      <c r="E1151" s="28"/>
    </row>
    <row r="1152" spans="5:5" customFormat="1" ht="13.2" x14ac:dyDescent="0.25">
      <c r="E1152" s="28"/>
    </row>
    <row r="1153" spans="5:5" customFormat="1" ht="13.2" x14ac:dyDescent="0.25">
      <c r="E1153" s="28"/>
    </row>
    <row r="1154" spans="5:5" customFormat="1" ht="13.2" x14ac:dyDescent="0.25">
      <c r="E1154" s="28"/>
    </row>
    <row r="1155" spans="5:5" customFormat="1" ht="13.2" x14ac:dyDescent="0.25">
      <c r="E1155" s="28"/>
    </row>
    <row r="1156" spans="5:5" customFormat="1" ht="13.2" x14ac:dyDescent="0.25">
      <c r="E1156" s="28"/>
    </row>
    <row r="1157" spans="5:5" customFormat="1" ht="13.2" x14ac:dyDescent="0.25">
      <c r="E1157" s="28"/>
    </row>
    <row r="1158" spans="5:5" customFormat="1" ht="13.2" x14ac:dyDescent="0.25">
      <c r="E1158" s="28"/>
    </row>
    <row r="1159" spans="5:5" customFormat="1" ht="13.2" x14ac:dyDescent="0.25">
      <c r="E1159" s="28"/>
    </row>
    <row r="1160" spans="5:5" customFormat="1" ht="13.2" x14ac:dyDescent="0.25">
      <c r="E1160" s="28"/>
    </row>
    <row r="1161" spans="5:5" customFormat="1" ht="13.2" x14ac:dyDescent="0.25">
      <c r="E1161" s="28"/>
    </row>
    <row r="1162" spans="5:5" customFormat="1" ht="13.2" x14ac:dyDescent="0.25">
      <c r="E1162" s="28"/>
    </row>
    <row r="1163" spans="5:5" customFormat="1" ht="13.2" x14ac:dyDescent="0.25">
      <c r="E1163" s="28"/>
    </row>
    <row r="1164" spans="5:5" customFormat="1" ht="13.2" x14ac:dyDescent="0.25">
      <c r="E1164" s="28"/>
    </row>
    <row r="1165" spans="5:5" customFormat="1" ht="13.2" x14ac:dyDescent="0.25">
      <c r="E1165" s="28"/>
    </row>
    <row r="1166" spans="5:5" customFormat="1" ht="13.2" x14ac:dyDescent="0.25">
      <c r="E1166" s="28"/>
    </row>
    <row r="1167" spans="5:5" customFormat="1" ht="13.2" x14ac:dyDescent="0.25">
      <c r="E1167" s="28"/>
    </row>
    <row r="1168" spans="5:5" customFormat="1" ht="13.2" x14ac:dyDescent="0.25">
      <c r="E1168" s="28"/>
    </row>
    <row r="1169" spans="5:5" customFormat="1" ht="13.2" x14ac:dyDescent="0.25">
      <c r="E1169" s="28"/>
    </row>
    <row r="1170" spans="5:5" customFormat="1" ht="13.2" x14ac:dyDescent="0.25">
      <c r="E1170" s="28"/>
    </row>
    <row r="1171" spans="5:5" customFormat="1" ht="13.2" x14ac:dyDescent="0.25">
      <c r="E1171" s="28"/>
    </row>
    <row r="1172" spans="5:5" customFormat="1" ht="13.2" x14ac:dyDescent="0.25">
      <c r="E1172" s="28"/>
    </row>
    <row r="1173" spans="5:5" customFormat="1" ht="13.2" x14ac:dyDescent="0.25">
      <c r="E1173" s="28"/>
    </row>
    <row r="1174" spans="5:5" customFormat="1" ht="13.2" x14ac:dyDescent="0.25">
      <c r="E1174" s="28"/>
    </row>
    <row r="1175" spans="5:5" customFormat="1" ht="13.2" x14ac:dyDescent="0.25">
      <c r="E1175" s="28"/>
    </row>
    <row r="1176" spans="5:5" customFormat="1" ht="13.2" x14ac:dyDescent="0.25">
      <c r="E1176" s="28"/>
    </row>
    <row r="1177" spans="5:5" customFormat="1" ht="13.2" x14ac:dyDescent="0.25">
      <c r="E1177" s="28"/>
    </row>
    <row r="1178" spans="5:5" customFormat="1" ht="13.2" x14ac:dyDescent="0.25">
      <c r="E1178" s="28"/>
    </row>
    <row r="1179" spans="5:5" customFormat="1" ht="13.2" x14ac:dyDescent="0.25">
      <c r="E1179" s="28"/>
    </row>
    <row r="1180" spans="5:5" customFormat="1" ht="13.2" x14ac:dyDescent="0.25">
      <c r="E1180" s="28"/>
    </row>
    <row r="1181" spans="5:5" customFormat="1" ht="13.2" x14ac:dyDescent="0.25">
      <c r="E1181" s="28"/>
    </row>
    <row r="1182" spans="5:5" customFormat="1" ht="13.2" x14ac:dyDescent="0.25">
      <c r="E1182" s="28"/>
    </row>
    <row r="1183" spans="5:5" customFormat="1" ht="13.2" x14ac:dyDescent="0.25">
      <c r="E1183" s="28"/>
    </row>
    <row r="1184" spans="5:5" customFormat="1" ht="13.2" x14ac:dyDescent="0.25">
      <c r="E1184" s="28"/>
    </row>
    <row r="1185" spans="5:5" customFormat="1" ht="13.2" x14ac:dyDescent="0.25">
      <c r="E1185" s="28"/>
    </row>
    <row r="1186" spans="5:5" customFormat="1" ht="13.2" x14ac:dyDescent="0.25">
      <c r="E1186" s="28"/>
    </row>
    <row r="1187" spans="5:5" customFormat="1" ht="13.2" x14ac:dyDescent="0.25">
      <c r="E1187" s="28"/>
    </row>
    <row r="1188" spans="5:5" customFormat="1" ht="13.2" x14ac:dyDescent="0.25">
      <c r="E1188" s="28"/>
    </row>
    <row r="1189" spans="5:5" customFormat="1" ht="13.2" x14ac:dyDescent="0.25">
      <c r="E1189" s="28"/>
    </row>
    <row r="1190" spans="5:5" customFormat="1" ht="13.2" x14ac:dyDescent="0.25">
      <c r="E1190" s="28"/>
    </row>
    <row r="1191" spans="5:5" customFormat="1" ht="13.2" x14ac:dyDescent="0.25">
      <c r="E1191" s="28"/>
    </row>
    <row r="1192" spans="5:5" customFormat="1" ht="13.2" x14ac:dyDescent="0.25">
      <c r="E1192" s="28"/>
    </row>
    <row r="1193" spans="5:5" customFormat="1" ht="13.2" x14ac:dyDescent="0.25">
      <c r="E1193" s="28"/>
    </row>
    <row r="1194" spans="5:5" customFormat="1" ht="13.2" x14ac:dyDescent="0.25">
      <c r="E1194" s="28"/>
    </row>
    <row r="1195" spans="5:5" customFormat="1" ht="13.2" x14ac:dyDescent="0.25">
      <c r="E1195" s="28"/>
    </row>
    <row r="1196" spans="5:5" customFormat="1" ht="13.2" x14ac:dyDescent="0.25">
      <c r="E1196" s="28"/>
    </row>
    <row r="1197" spans="5:5" customFormat="1" ht="13.2" x14ac:dyDescent="0.25">
      <c r="E1197" s="28"/>
    </row>
    <row r="1198" spans="5:5" customFormat="1" ht="13.2" x14ac:dyDescent="0.25">
      <c r="E1198" s="28"/>
    </row>
    <row r="1199" spans="5:5" customFormat="1" ht="13.2" x14ac:dyDescent="0.25">
      <c r="E1199" s="28"/>
    </row>
    <row r="1200" spans="5:5" customFormat="1" ht="13.2" x14ac:dyDescent="0.25">
      <c r="E1200" s="28"/>
    </row>
    <row r="1201" spans="5:5" customFormat="1" ht="13.2" x14ac:dyDescent="0.25">
      <c r="E1201" s="28"/>
    </row>
    <row r="1202" spans="5:5" customFormat="1" ht="13.2" x14ac:dyDescent="0.25">
      <c r="E1202" s="28"/>
    </row>
    <row r="1203" spans="5:5" customFormat="1" ht="13.2" x14ac:dyDescent="0.25">
      <c r="E1203" s="28"/>
    </row>
    <row r="1204" spans="5:5" customFormat="1" ht="13.2" x14ac:dyDescent="0.25">
      <c r="E1204" s="28"/>
    </row>
    <row r="1205" spans="5:5" customFormat="1" ht="13.2" x14ac:dyDescent="0.25">
      <c r="E1205" s="28"/>
    </row>
    <row r="1206" spans="5:5" customFormat="1" ht="13.2" x14ac:dyDescent="0.25">
      <c r="E1206" s="28"/>
    </row>
    <row r="1207" spans="5:5" customFormat="1" ht="13.2" x14ac:dyDescent="0.25">
      <c r="E1207" s="28"/>
    </row>
    <row r="1208" spans="5:5" customFormat="1" ht="13.2" x14ac:dyDescent="0.25">
      <c r="E1208" s="28"/>
    </row>
    <row r="1209" spans="5:5" customFormat="1" ht="13.2" x14ac:dyDescent="0.25">
      <c r="E1209" s="28"/>
    </row>
    <row r="1210" spans="5:5" customFormat="1" ht="13.2" x14ac:dyDescent="0.25">
      <c r="E1210" s="28"/>
    </row>
    <row r="1211" spans="5:5" customFormat="1" ht="13.2" x14ac:dyDescent="0.25">
      <c r="E1211" s="28"/>
    </row>
    <row r="1212" spans="5:5" customFormat="1" ht="13.2" x14ac:dyDescent="0.25">
      <c r="E1212" s="28"/>
    </row>
    <row r="1213" spans="5:5" customFormat="1" ht="13.2" x14ac:dyDescent="0.25">
      <c r="E1213" s="28"/>
    </row>
    <row r="1214" spans="5:5" customFormat="1" ht="13.2" x14ac:dyDescent="0.25">
      <c r="E1214" s="28"/>
    </row>
    <row r="1215" spans="5:5" customFormat="1" ht="13.2" x14ac:dyDescent="0.25">
      <c r="E1215" s="28"/>
    </row>
    <row r="1216" spans="5:5" customFormat="1" ht="13.2" x14ac:dyDescent="0.25">
      <c r="E1216" s="28"/>
    </row>
    <row r="1217" spans="5:5" customFormat="1" ht="13.2" x14ac:dyDescent="0.25">
      <c r="E1217" s="28"/>
    </row>
    <row r="1218" spans="5:5" customFormat="1" ht="13.2" x14ac:dyDescent="0.25">
      <c r="E1218" s="28"/>
    </row>
    <row r="1219" spans="5:5" customFormat="1" ht="13.2" x14ac:dyDescent="0.25">
      <c r="E1219" s="28"/>
    </row>
    <row r="1220" spans="5:5" customFormat="1" ht="13.2" x14ac:dyDescent="0.25">
      <c r="E1220" s="28"/>
    </row>
    <row r="1221" spans="5:5" customFormat="1" ht="13.2" x14ac:dyDescent="0.25">
      <c r="E1221" s="28"/>
    </row>
    <row r="1222" spans="5:5" customFormat="1" ht="13.2" x14ac:dyDescent="0.25">
      <c r="E1222" s="28"/>
    </row>
    <row r="1223" spans="5:5" customFormat="1" ht="13.2" x14ac:dyDescent="0.25">
      <c r="E1223" s="28"/>
    </row>
    <row r="1224" spans="5:5" customFormat="1" ht="13.2" x14ac:dyDescent="0.25">
      <c r="E1224" s="28"/>
    </row>
    <row r="1225" spans="5:5" customFormat="1" ht="13.2" x14ac:dyDescent="0.25">
      <c r="E1225" s="28"/>
    </row>
    <row r="1226" spans="5:5" customFormat="1" ht="13.2" x14ac:dyDescent="0.25">
      <c r="E1226" s="28"/>
    </row>
    <row r="1227" spans="5:5" customFormat="1" ht="13.2" x14ac:dyDescent="0.25">
      <c r="E1227" s="28"/>
    </row>
    <row r="1228" spans="5:5" customFormat="1" ht="13.2" x14ac:dyDescent="0.25">
      <c r="E1228" s="28"/>
    </row>
    <row r="1229" spans="5:5" customFormat="1" ht="13.2" x14ac:dyDescent="0.25">
      <c r="E1229" s="28"/>
    </row>
    <row r="1230" spans="5:5" customFormat="1" ht="13.2" x14ac:dyDescent="0.25">
      <c r="E1230" s="28"/>
    </row>
    <row r="1231" spans="5:5" customFormat="1" ht="13.2" x14ac:dyDescent="0.25">
      <c r="E1231" s="28"/>
    </row>
    <row r="1232" spans="5:5" customFormat="1" ht="13.2" x14ac:dyDescent="0.25">
      <c r="E1232" s="28"/>
    </row>
    <row r="1233" spans="5:5" customFormat="1" ht="13.2" x14ac:dyDescent="0.25">
      <c r="E1233" s="28"/>
    </row>
    <row r="1234" spans="5:5" customFormat="1" ht="13.2" x14ac:dyDescent="0.25">
      <c r="E1234" s="28"/>
    </row>
    <row r="1235" spans="5:5" customFormat="1" ht="13.2" x14ac:dyDescent="0.25">
      <c r="E1235" s="28"/>
    </row>
    <row r="1236" spans="5:5" customFormat="1" ht="13.2" x14ac:dyDescent="0.25">
      <c r="E1236" s="28"/>
    </row>
    <row r="1237" spans="5:5" customFormat="1" ht="13.2" x14ac:dyDescent="0.25">
      <c r="E1237" s="28"/>
    </row>
    <row r="1238" spans="5:5" customFormat="1" ht="13.2" x14ac:dyDescent="0.25">
      <c r="E1238" s="28"/>
    </row>
    <row r="1239" spans="5:5" customFormat="1" ht="13.2" x14ac:dyDescent="0.25">
      <c r="E1239" s="28"/>
    </row>
    <row r="1240" spans="5:5" customFormat="1" ht="13.2" x14ac:dyDescent="0.25">
      <c r="E1240" s="28"/>
    </row>
    <row r="1241" spans="5:5" customFormat="1" ht="13.2" x14ac:dyDescent="0.25">
      <c r="E1241" s="28"/>
    </row>
    <row r="1242" spans="5:5" customFormat="1" ht="13.2" x14ac:dyDescent="0.25">
      <c r="E1242" s="28"/>
    </row>
    <row r="1243" spans="5:5" customFormat="1" ht="13.2" x14ac:dyDescent="0.25">
      <c r="E1243" s="28"/>
    </row>
    <row r="1244" spans="5:5" customFormat="1" ht="13.2" x14ac:dyDescent="0.25">
      <c r="E1244" s="28"/>
    </row>
    <row r="1245" spans="5:5" customFormat="1" ht="13.2" x14ac:dyDescent="0.25">
      <c r="E1245" s="28"/>
    </row>
    <row r="1246" spans="5:5" customFormat="1" ht="13.2" x14ac:dyDescent="0.25">
      <c r="E1246" s="28"/>
    </row>
    <row r="1247" spans="5:5" customFormat="1" ht="13.2" x14ac:dyDescent="0.25">
      <c r="E1247" s="28"/>
    </row>
    <row r="1248" spans="5:5" customFormat="1" ht="13.2" x14ac:dyDescent="0.25">
      <c r="E1248" s="28"/>
    </row>
    <row r="1249" spans="5:5" customFormat="1" ht="13.2" x14ac:dyDescent="0.25">
      <c r="E1249" s="28"/>
    </row>
    <row r="1250" spans="5:5" customFormat="1" ht="13.2" x14ac:dyDescent="0.25">
      <c r="E1250" s="28"/>
    </row>
    <row r="1251" spans="5:5" customFormat="1" ht="13.2" x14ac:dyDescent="0.25">
      <c r="E1251" s="28"/>
    </row>
    <row r="1252" spans="5:5" customFormat="1" ht="13.2" x14ac:dyDescent="0.25">
      <c r="E1252" s="28"/>
    </row>
    <row r="1253" spans="5:5" customFormat="1" ht="13.2" x14ac:dyDescent="0.25">
      <c r="E1253" s="28"/>
    </row>
    <row r="1254" spans="5:5" customFormat="1" ht="13.2" x14ac:dyDescent="0.25">
      <c r="E1254" s="28"/>
    </row>
    <row r="1255" spans="5:5" customFormat="1" ht="13.2" x14ac:dyDescent="0.25">
      <c r="E1255" s="28"/>
    </row>
    <row r="1256" spans="5:5" customFormat="1" ht="13.2" x14ac:dyDescent="0.25">
      <c r="E1256" s="28"/>
    </row>
    <row r="1257" spans="5:5" customFormat="1" ht="13.2" x14ac:dyDescent="0.25">
      <c r="E1257" s="28"/>
    </row>
    <row r="1258" spans="5:5" customFormat="1" ht="13.2" x14ac:dyDescent="0.25">
      <c r="E1258" s="28"/>
    </row>
    <row r="1259" spans="5:5" customFormat="1" ht="13.2" x14ac:dyDescent="0.25">
      <c r="E1259" s="28"/>
    </row>
    <row r="1260" spans="5:5" customFormat="1" ht="13.2" x14ac:dyDescent="0.25">
      <c r="E1260" s="28"/>
    </row>
    <row r="1261" spans="5:5" customFormat="1" ht="13.2" x14ac:dyDescent="0.25">
      <c r="E1261" s="28"/>
    </row>
    <row r="1262" spans="5:5" customFormat="1" ht="13.2" x14ac:dyDescent="0.25">
      <c r="E1262" s="28"/>
    </row>
    <row r="1263" spans="5:5" customFormat="1" ht="13.2" x14ac:dyDescent="0.25">
      <c r="E1263" s="28"/>
    </row>
    <row r="1264" spans="5:5" customFormat="1" ht="13.2" x14ac:dyDescent="0.25">
      <c r="E1264" s="28"/>
    </row>
    <row r="1265" spans="5:5" customFormat="1" ht="13.2" x14ac:dyDescent="0.25">
      <c r="E1265" s="28"/>
    </row>
    <row r="1266" spans="5:5" customFormat="1" ht="13.2" x14ac:dyDescent="0.25">
      <c r="E1266" s="28"/>
    </row>
    <row r="1267" spans="5:5" customFormat="1" ht="13.2" x14ac:dyDescent="0.25">
      <c r="E1267" s="28"/>
    </row>
    <row r="1268" spans="5:5" customFormat="1" ht="13.2" x14ac:dyDescent="0.25">
      <c r="E1268" s="28"/>
    </row>
    <row r="1269" spans="5:5" customFormat="1" ht="13.2" x14ac:dyDescent="0.25">
      <c r="E1269" s="28"/>
    </row>
    <row r="1270" spans="5:5" customFormat="1" ht="13.2" x14ac:dyDescent="0.25">
      <c r="E1270" s="28"/>
    </row>
    <row r="1271" spans="5:5" customFormat="1" ht="13.2" x14ac:dyDescent="0.25">
      <c r="E1271" s="28"/>
    </row>
    <row r="1272" spans="5:5" customFormat="1" ht="13.2" x14ac:dyDescent="0.25">
      <c r="E1272" s="28"/>
    </row>
    <row r="1273" spans="5:5" customFormat="1" ht="13.2" x14ac:dyDescent="0.25">
      <c r="E1273" s="28"/>
    </row>
    <row r="1274" spans="5:5" customFormat="1" ht="13.2" x14ac:dyDescent="0.25">
      <c r="E1274" s="28"/>
    </row>
    <row r="1275" spans="5:5" customFormat="1" ht="13.2" x14ac:dyDescent="0.25">
      <c r="E1275" s="28"/>
    </row>
    <row r="1276" spans="5:5" customFormat="1" ht="13.2" x14ac:dyDescent="0.25">
      <c r="E1276" s="28"/>
    </row>
    <row r="1277" spans="5:5" customFormat="1" ht="13.2" x14ac:dyDescent="0.25">
      <c r="E1277" s="28"/>
    </row>
    <row r="1278" spans="5:5" customFormat="1" ht="13.2" x14ac:dyDescent="0.25">
      <c r="E1278" s="28"/>
    </row>
    <row r="1279" spans="5:5" customFormat="1" ht="13.2" x14ac:dyDescent="0.25">
      <c r="E1279" s="28"/>
    </row>
    <row r="1280" spans="5:5" customFormat="1" ht="13.2" x14ac:dyDescent="0.25">
      <c r="E1280" s="28"/>
    </row>
    <row r="1281" spans="5:5" customFormat="1" ht="13.2" x14ac:dyDescent="0.25">
      <c r="E1281" s="28"/>
    </row>
    <row r="1282" spans="5:5" customFormat="1" ht="13.2" x14ac:dyDescent="0.25">
      <c r="E1282" s="28"/>
    </row>
    <row r="1283" spans="5:5" customFormat="1" ht="13.2" x14ac:dyDescent="0.25">
      <c r="E1283" s="28"/>
    </row>
    <row r="1284" spans="5:5" customFormat="1" ht="13.2" x14ac:dyDescent="0.25">
      <c r="E1284" s="28"/>
    </row>
    <row r="1285" spans="5:5" customFormat="1" ht="13.2" x14ac:dyDescent="0.25">
      <c r="E1285" s="28"/>
    </row>
    <row r="1286" spans="5:5" customFormat="1" ht="13.2" x14ac:dyDescent="0.25">
      <c r="E1286" s="28"/>
    </row>
    <row r="1287" spans="5:5" customFormat="1" ht="13.2" x14ac:dyDescent="0.25">
      <c r="E1287" s="28"/>
    </row>
    <row r="1288" spans="5:5" customFormat="1" ht="13.2" x14ac:dyDescent="0.25">
      <c r="E1288" s="28"/>
    </row>
    <row r="1289" spans="5:5" customFormat="1" ht="13.2" x14ac:dyDescent="0.25">
      <c r="E1289" s="28"/>
    </row>
    <row r="1290" spans="5:5" customFormat="1" ht="13.2" x14ac:dyDescent="0.25">
      <c r="E1290" s="28"/>
    </row>
    <row r="1291" spans="5:5" customFormat="1" ht="13.2" x14ac:dyDescent="0.25">
      <c r="E1291" s="28"/>
    </row>
    <row r="1292" spans="5:5" customFormat="1" ht="13.2" x14ac:dyDescent="0.25">
      <c r="E1292" s="28"/>
    </row>
    <row r="1293" spans="5:5" customFormat="1" ht="13.2" x14ac:dyDescent="0.25">
      <c r="E1293" s="28"/>
    </row>
    <row r="1294" spans="5:5" customFormat="1" ht="13.2" x14ac:dyDescent="0.25">
      <c r="E1294" s="28"/>
    </row>
    <row r="1295" spans="5:5" customFormat="1" ht="13.2" x14ac:dyDescent="0.25">
      <c r="E1295" s="28"/>
    </row>
    <row r="1296" spans="5:5" customFormat="1" ht="13.2" x14ac:dyDescent="0.25">
      <c r="E1296" s="28"/>
    </row>
    <row r="1297" spans="5:5" customFormat="1" ht="13.2" x14ac:dyDescent="0.25">
      <c r="E1297" s="28"/>
    </row>
    <row r="1298" spans="5:5" customFormat="1" ht="13.2" x14ac:dyDescent="0.25">
      <c r="E1298" s="28"/>
    </row>
    <row r="1299" spans="5:5" customFormat="1" ht="13.2" x14ac:dyDescent="0.25">
      <c r="E1299" s="28"/>
    </row>
    <row r="1300" spans="5:5" customFormat="1" ht="13.2" x14ac:dyDescent="0.25">
      <c r="E1300" s="28"/>
    </row>
    <row r="1301" spans="5:5" customFormat="1" ht="13.2" x14ac:dyDescent="0.25">
      <c r="E1301" s="28"/>
    </row>
    <row r="1302" spans="5:5" customFormat="1" ht="13.2" x14ac:dyDescent="0.25">
      <c r="E1302" s="28"/>
    </row>
    <row r="1303" spans="5:5" customFormat="1" ht="13.2" x14ac:dyDescent="0.25">
      <c r="E1303" s="28"/>
    </row>
    <row r="1304" spans="5:5" customFormat="1" ht="13.2" x14ac:dyDescent="0.25">
      <c r="E1304" s="28"/>
    </row>
    <row r="1305" spans="5:5" customFormat="1" ht="13.2" x14ac:dyDescent="0.25">
      <c r="E1305" s="28"/>
    </row>
    <row r="1306" spans="5:5" customFormat="1" ht="13.2" x14ac:dyDescent="0.25">
      <c r="E1306" s="28"/>
    </row>
    <row r="1307" spans="5:5" customFormat="1" ht="13.2" x14ac:dyDescent="0.25">
      <c r="E1307" s="28"/>
    </row>
    <row r="1308" spans="5:5" customFormat="1" ht="13.2" x14ac:dyDescent="0.25">
      <c r="E1308" s="28"/>
    </row>
    <row r="1309" spans="5:5" customFormat="1" ht="13.2" x14ac:dyDescent="0.25">
      <c r="E1309" s="28"/>
    </row>
    <row r="1310" spans="5:5" customFormat="1" ht="13.2" x14ac:dyDescent="0.25">
      <c r="E1310" s="28"/>
    </row>
    <row r="1311" spans="5:5" customFormat="1" ht="13.2" x14ac:dyDescent="0.25">
      <c r="E1311" s="28"/>
    </row>
    <row r="1312" spans="5:5" customFormat="1" ht="13.2" x14ac:dyDescent="0.25">
      <c r="E1312" s="28"/>
    </row>
    <row r="1313" spans="5:5" customFormat="1" ht="13.2" x14ac:dyDescent="0.25">
      <c r="E1313" s="28"/>
    </row>
    <row r="1314" spans="5:5" customFormat="1" ht="13.2" x14ac:dyDescent="0.25">
      <c r="E1314" s="28"/>
    </row>
    <row r="1315" spans="5:5" customFormat="1" ht="13.2" x14ac:dyDescent="0.25">
      <c r="E1315" s="28"/>
    </row>
    <row r="1316" spans="5:5" customFormat="1" ht="13.2" x14ac:dyDescent="0.25">
      <c r="E1316" s="28"/>
    </row>
    <row r="1317" spans="5:5" customFormat="1" ht="13.2" x14ac:dyDescent="0.25">
      <c r="E1317" s="28"/>
    </row>
    <row r="1318" spans="5:5" customFormat="1" ht="13.2" x14ac:dyDescent="0.25">
      <c r="E1318" s="28"/>
    </row>
    <row r="1319" spans="5:5" customFormat="1" ht="13.2" x14ac:dyDescent="0.25">
      <c r="E1319" s="28"/>
    </row>
    <row r="1320" spans="5:5" customFormat="1" ht="13.2" x14ac:dyDescent="0.25">
      <c r="E1320" s="28"/>
    </row>
    <row r="1321" spans="5:5" customFormat="1" ht="13.2" x14ac:dyDescent="0.25">
      <c r="E1321" s="28"/>
    </row>
    <row r="1322" spans="5:5" customFormat="1" ht="13.2" x14ac:dyDescent="0.25">
      <c r="E1322" s="28"/>
    </row>
    <row r="1323" spans="5:5" customFormat="1" ht="13.2" x14ac:dyDescent="0.25">
      <c r="E1323" s="28"/>
    </row>
    <row r="1324" spans="5:5" customFormat="1" ht="13.2" x14ac:dyDescent="0.25">
      <c r="E1324" s="28"/>
    </row>
    <row r="1325" spans="5:5" customFormat="1" ht="13.2" x14ac:dyDescent="0.25">
      <c r="E1325" s="28"/>
    </row>
    <row r="1326" spans="5:5" customFormat="1" ht="13.2" x14ac:dyDescent="0.25">
      <c r="E1326" s="28"/>
    </row>
    <row r="1327" spans="5:5" customFormat="1" ht="13.2" x14ac:dyDescent="0.25">
      <c r="E1327" s="28"/>
    </row>
    <row r="1328" spans="5:5" customFormat="1" ht="13.2" x14ac:dyDescent="0.25">
      <c r="E1328" s="28"/>
    </row>
    <row r="1329" spans="5:5" customFormat="1" ht="13.2" x14ac:dyDescent="0.25">
      <c r="E1329" s="28"/>
    </row>
    <row r="1330" spans="5:5" customFormat="1" ht="13.2" x14ac:dyDescent="0.25">
      <c r="E1330" s="28"/>
    </row>
    <row r="1331" spans="5:5" customFormat="1" ht="13.2" x14ac:dyDescent="0.25">
      <c r="E1331" s="28"/>
    </row>
    <row r="1332" spans="5:5" customFormat="1" ht="13.2" x14ac:dyDescent="0.25">
      <c r="E1332" s="28"/>
    </row>
    <row r="1333" spans="5:5" customFormat="1" ht="13.2" x14ac:dyDescent="0.25">
      <c r="E1333" s="28"/>
    </row>
    <row r="1334" spans="5:5" customFormat="1" ht="13.2" x14ac:dyDescent="0.25">
      <c r="E1334" s="28"/>
    </row>
    <row r="1335" spans="5:5" customFormat="1" ht="13.2" x14ac:dyDescent="0.25">
      <c r="E1335" s="28"/>
    </row>
    <row r="1336" spans="5:5" customFormat="1" ht="13.2" x14ac:dyDescent="0.25">
      <c r="E1336" s="28"/>
    </row>
    <row r="1337" spans="5:5" customFormat="1" ht="13.2" x14ac:dyDescent="0.25">
      <c r="E1337" s="28"/>
    </row>
    <row r="1338" spans="5:5" customFormat="1" ht="13.2" x14ac:dyDescent="0.25">
      <c r="E1338" s="28"/>
    </row>
    <row r="1339" spans="5:5" customFormat="1" ht="13.2" x14ac:dyDescent="0.25">
      <c r="E1339" s="28"/>
    </row>
    <row r="1340" spans="5:5" customFormat="1" ht="13.2" x14ac:dyDescent="0.25">
      <c r="E1340" s="28"/>
    </row>
    <row r="1341" spans="5:5" customFormat="1" ht="13.2" x14ac:dyDescent="0.25">
      <c r="E1341" s="28"/>
    </row>
    <row r="1342" spans="5:5" customFormat="1" ht="13.2" x14ac:dyDescent="0.25">
      <c r="E1342" s="28"/>
    </row>
    <row r="1343" spans="5:5" customFormat="1" ht="13.2" x14ac:dyDescent="0.25">
      <c r="E1343" s="28"/>
    </row>
    <row r="1344" spans="5:5" customFormat="1" ht="13.2" x14ac:dyDescent="0.25">
      <c r="E1344" s="28"/>
    </row>
    <row r="1345" spans="5:5" customFormat="1" ht="13.2" x14ac:dyDescent="0.25">
      <c r="E1345" s="28"/>
    </row>
    <row r="1346" spans="5:5" customFormat="1" ht="13.2" x14ac:dyDescent="0.25">
      <c r="E1346" s="28"/>
    </row>
    <row r="1347" spans="5:5" customFormat="1" ht="13.2" x14ac:dyDescent="0.25">
      <c r="E1347" s="28"/>
    </row>
    <row r="1348" spans="5:5" customFormat="1" ht="13.2" x14ac:dyDescent="0.25">
      <c r="E1348" s="28"/>
    </row>
    <row r="1349" spans="5:5" customFormat="1" ht="13.2" x14ac:dyDescent="0.25">
      <c r="E1349" s="28"/>
    </row>
    <row r="1350" spans="5:5" customFormat="1" ht="13.2" x14ac:dyDescent="0.25">
      <c r="E1350" s="28"/>
    </row>
    <row r="1351" spans="5:5" customFormat="1" ht="13.2" x14ac:dyDescent="0.25">
      <c r="E1351" s="28"/>
    </row>
    <row r="1352" spans="5:5" customFormat="1" ht="13.2" x14ac:dyDescent="0.25">
      <c r="E1352" s="28"/>
    </row>
    <row r="1353" spans="5:5" customFormat="1" ht="13.2" x14ac:dyDescent="0.25">
      <c r="E1353" s="28"/>
    </row>
    <row r="1354" spans="5:5" customFormat="1" ht="13.2" x14ac:dyDescent="0.25">
      <c r="E1354" s="2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141E-0921-44EF-9BD2-30BC4D7A03BF}">
  <sheetPr>
    <pageSetUpPr fitToPage="1"/>
  </sheetPr>
  <dimension ref="A1:Y2307"/>
  <sheetViews>
    <sheetView tabSelected="1" zoomScale="55" zoomScaleNormal="55" workbookViewId="0">
      <selection activeCell="K2" sqref="K2"/>
    </sheetView>
  </sheetViews>
  <sheetFormatPr defaultColWidth="14.33203125" defaultRowHeight="15.6" x14ac:dyDescent="0.25"/>
  <cols>
    <col min="1" max="1" width="15.6640625" style="13" bestFit="1" customWidth="1"/>
    <col min="2" max="2" width="56.33203125" style="13" bestFit="1" customWidth="1"/>
    <col min="3" max="3" width="23" style="3" bestFit="1" customWidth="1"/>
    <col min="4" max="4" width="12.6640625" style="3" bestFit="1" customWidth="1"/>
    <col min="5" max="5" width="15.6640625" style="20" bestFit="1" customWidth="1"/>
    <col min="6" max="6" width="72.44140625" style="13" customWidth="1"/>
    <col min="7" max="7" width="19.88671875" style="13" customWidth="1"/>
    <col min="8" max="8" width="18.44140625" style="13" bestFit="1" customWidth="1"/>
    <col min="9" max="9" width="46.109375" style="13" bestFit="1" customWidth="1"/>
    <col min="10" max="10" width="14.6640625" style="13" bestFit="1" customWidth="1"/>
    <col min="11" max="11" width="17.88671875" style="13" bestFit="1" customWidth="1"/>
    <col min="12" max="15" width="14.33203125" style="13"/>
    <col min="16" max="16" width="14.33203125" style="13" customWidth="1"/>
    <col min="17" max="17" width="17.88671875" style="13" hidden="1" customWidth="1"/>
    <col min="18" max="18" width="15.6640625" style="3" bestFit="1" customWidth="1"/>
    <col min="19" max="19" width="19.44140625" style="13" bestFit="1" customWidth="1"/>
    <col min="20" max="20" width="0" style="13" hidden="1" customWidth="1"/>
    <col min="21" max="21" width="51.6640625" style="13" bestFit="1" customWidth="1"/>
    <col min="22" max="22" width="17.5546875" style="3" bestFit="1" customWidth="1"/>
    <col min="23" max="23" width="43.6640625" style="13" bestFit="1" customWidth="1"/>
    <col min="24" max="24" width="46.109375" style="13" bestFit="1" customWidth="1"/>
    <col min="25" max="25" width="11.6640625" style="3" bestFit="1" customWidth="1"/>
    <col min="26" max="16384" width="14.33203125" style="13"/>
  </cols>
  <sheetData>
    <row r="1" spans="1:25" s="26" customFormat="1" ht="18" x14ac:dyDescent="0.25">
      <c r="A1" s="21" t="s">
        <v>2811</v>
      </c>
      <c r="B1" s="22" t="s">
        <v>929</v>
      </c>
      <c r="C1" s="23" t="s">
        <v>923</v>
      </c>
      <c r="D1" s="23" t="s">
        <v>2002</v>
      </c>
      <c r="E1" s="24" t="s">
        <v>924</v>
      </c>
      <c r="F1" s="22" t="s">
        <v>925</v>
      </c>
      <c r="G1" s="22" t="s">
        <v>930</v>
      </c>
      <c r="H1" s="22" t="s">
        <v>2812</v>
      </c>
      <c r="I1" s="22" t="s">
        <v>931</v>
      </c>
      <c r="J1" s="25" t="s">
        <v>932</v>
      </c>
      <c r="K1" s="25" t="s">
        <v>2813</v>
      </c>
    </row>
    <row r="2" spans="1:25" x14ac:dyDescent="0.25">
      <c r="A2" s="10">
        <v>8169</v>
      </c>
      <c r="B2" s="9" t="s">
        <v>2010</v>
      </c>
      <c r="C2" s="12" t="str">
        <f>IFERROR(VLOOKUP(TED[[#This Row],[CENTRO]],'CENTRO DE CUSTO'!B:E,4,FALSE)," ")</f>
        <v>DENISE</v>
      </c>
      <c r="D2" s="12">
        <v>28</v>
      </c>
      <c r="E2" s="12">
        <v>28000</v>
      </c>
      <c r="F2" s="10" t="s">
        <v>2021</v>
      </c>
      <c r="G2" s="10">
        <v>220</v>
      </c>
      <c r="H2" s="11">
        <v>42716</v>
      </c>
      <c r="I2" s="10" t="s">
        <v>1990</v>
      </c>
      <c r="J2" s="12" t="str">
        <f>IF(OR(TED[[#This Row],[SITUACAO]]=1,TED[[#This Row],[SITUACAO]]=9,TED[[#This Row],[SITUACAO]]=18),"ATIVO","AFASTADO")</f>
        <v>ATIVO</v>
      </c>
      <c r="K2" s="12">
        <v>1</v>
      </c>
      <c r="R2" s="13"/>
      <c r="V2" s="13"/>
      <c r="Y2" s="13"/>
    </row>
    <row r="3" spans="1:25" x14ac:dyDescent="0.25">
      <c r="A3" s="10">
        <v>46874</v>
      </c>
      <c r="B3" s="9" t="s">
        <v>2316</v>
      </c>
      <c r="C3" s="12" t="str">
        <f>IFERROR(VLOOKUP(TED[[#This Row],[CENTRO]],'CENTRO DE CUSTO'!B:E,4,FALSE)," ")</f>
        <v>DENISE</v>
      </c>
      <c r="D3" s="12">
        <v>28</v>
      </c>
      <c r="E3" s="16">
        <v>28000</v>
      </c>
      <c r="F3" s="10" t="s">
        <v>2021</v>
      </c>
      <c r="G3" s="10">
        <v>100</v>
      </c>
      <c r="H3" s="11">
        <v>46195</v>
      </c>
      <c r="I3" s="10" t="s">
        <v>2022</v>
      </c>
      <c r="J3" s="12" t="str">
        <f>IF(OR(TED[[#This Row],[SITUACAO]]=1,TED[[#This Row],[SITUACAO]]=9,TED[[#This Row],[SITUACAO]]=18),"ATIVO","AFASTADO")</f>
        <v>ATIVO</v>
      </c>
      <c r="K3" s="12">
        <v>1</v>
      </c>
      <c r="R3" s="13"/>
      <c r="V3" s="13"/>
      <c r="Y3" s="13"/>
    </row>
    <row r="4" spans="1:25" x14ac:dyDescent="0.25">
      <c r="A4" s="10">
        <v>42332</v>
      </c>
      <c r="B4" s="9" t="s">
        <v>2012</v>
      </c>
      <c r="C4" s="12" t="str">
        <f>IFERROR(VLOOKUP(TED[[#This Row],[CENTRO]],'CENTRO DE CUSTO'!B:E,4,FALSE)," ")</f>
        <v>DENISE</v>
      </c>
      <c r="D4" s="12">
        <v>28</v>
      </c>
      <c r="E4" s="16">
        <v>28000</v>
      </c>
      <c r="F4" s="10" t="s">
        <v>2021</v>
      </c>
      <c r="G4" s="10">
        <v>220</v>
      </c>
      <c r="H4" s="11">
        <v>45980</v>
      </c>
      <c r="I4" s="10" t="s">
        <v>2027</v>
      </c>
      <c r="J4" s="12" t="str">
        <f>IF(OR(TED[[#This Row],[SITUACAO]]=1,TED[[#This Row],[SITUACAO]]=9,TED[[#This Row],[SITUACAO]]=18),"ATIVO","AFASTADO")</f>
        <v>ATIVO</v>
      </c>
      <c r="K4" s="12">
        <v>1</v>
      </c>
      <c r="R4" s="13"/>
      <c r="V4" s="13"/>
      <c r="Y4" s="13"/>
    </row>
    <row r="5" spans="1:25" x14ac:dyDescent="0.25">
      <c r="A5" s="10">
        <v>33482</v>
      </c>
      <c r="B5" s="9" t="s">
        <v>2019</v>
      </c>
      <c r="C5" s="12" t="str">
        <f>IFERROR(VLOOKUP(TED[[#This Row],[CENTRO]],'CENTRO DE CUSTO'!B:E,4,FALSE)," ")</f>
        <v>DENISE</v>
      </c>
      <c r="D5" s="12">
        <v>28</v>
      </c>
      <c r="E5" s="16">
        <v>28000</v>
      </c>
      <c r="F5" s="10" t="s">
        <v>2021</v>
      </c>
      <c r="G5" s="10">
        <v>220</v>
      </c>
      <c r="H5" s="11">
        <v>45512</v>
      </c>
      <c r="I5" s="10" t="s">
        <v>1990</v>
      </c>
      <c r="J5" s="12" t="str">
        <f>IF(OR(TED[[#This Row],[SITUACAO]]=1,TED[[#This Row],[SITUACAO]]=9,TED[[#This Row],[SITUACAO]]=18),"ATIVO","AFASTADO")</f>
        <v>ATIVO</v>
      </c>
      <c r="K5" s="12">
        <v>1</v>
      </c>
      <c r="R5" s="13"/>
      <c r="V5" s="13"/>
      <c r="Y5" s="13"/>
    </row>
    <row r="6" spans="1:25" x14ac:dyDescent="0.25">
      <c r="A6" s="10">
        <v>36981</v>
      </c>
      <c r="B6" s="9" t="s">
        <v>1004</v>
      </c>
      <c r="C6" s="12" t="str">
        <f>IFERROR(VLOOKUP(TED[[#This Row],[CENTRO]],'CENTRO DE CUSTO'!B:E,4,FALSE)," ")</f>
        <v>DENISE</v>
      </c>
      <c r="D6" s="12">
        <v>28</v>
      </c>
      <c r="E6" s="16">
        <v>28000</v>
      </c>
      <c r="F6" s="10" t="s">
        <v>2021</v>
      </c>
      <c r="G6" s="10">
        <v>220</v>
      </c>
      <c r="H6" s="11">
        <v>45705</v>
      </c>
      <c r="I6" s="10" t="s">
        <v>2806</v>
      </c>
      <c r="J6" s="12" t="str">
        <f>IF(OR(TED[[#This Row],[SITUACAO]]=1,TED[[#This Row],[SITUACAO]]=9,TED[[#This Row],[SITUACAO]]=18),"ATIVO","AFASTADO")</f>
        <v>ATIVO</v>
      </c>
      <c r="K6" s="12">
        <v>1</v>
      </c>
      <c r="R6" s="13"/>
      <c r="V6" s="13"/>
      <c r="Y6" s="13"/>
    </row>
    <row r="7" spans="1:25" x14ac:dyDescent="0.25">
      <c r="A7" s="10">
        <v>43442</v>
      </c>
      <c r="B7" s="9" t="s">
        <v>2061</v>
      </c>
      <c r="C7" s="12" t="str">
        <f>IFERROR(VLOOKUP(TED[[#This Row],[CENTRO]],'CENTRO DE CUSTO'!B:E,4,FALSE)," ")</f>
        <v>DENISE</v>
      </c>
      <c r="D7" s="12">
        <v>28</v>
      </c>
      <c r="E7" s="16">
        <v>28000</v>
      </c>
      <c r="F7" s="10" t="s">
        <v>2021</v>
      </c>
      <c r="G7" s="10">
        <v>220</v>
      </c>
      <c r="H7" s="11">
        <v>46055</v>
      </c>
      <c r="I7" s="10" t="s">
        <v>612</v>
      </c>
      <c r="J7" s="12" t="str">
        <f>IF(OR(TED[[#This Row],[SITUACAO]]=1,TED[[#This Row],[SITUACAO]]=9,TED[[#This Row],[SITUACAO]]=18),"ATIVO","AFASTADO")</f>
        <v>ATIVO</v>
      </c>
      <c r="K7" s="12">
        <v>1</v>
      </c>
      <c r="R7" s="13"/>
      <c r="V7" s="13"/>
      <c r="Y7" s="13"/>
    </row>
    <row r="8" spans="1:25" x14ac:dyDescent="0.25">
      <c r="A8" s="10">
        <v>40139</v>
      </c>
      <c r="B8" s="9" t="s">
        <v>1848</v>
      </c>
      <c r="C8" s="12" t="str">
        <f>IFERROR(VLOOKUP(TED[[#This Row],[CENTRO]],'CENTRO DE CUSTO'!B:E,4,FALSE)," ")</f>
        <v>DENISE</v>
      </c>
      <c r="D8" s="12">
        <v>28</v>
      </c>
      <c r="E8" s="16">
        <v>28000</v>
      </c>
      <c r="F8" s="10" t="s">
        <v>2021</v>
      </c>
      <c r="G8" s="10">
        <v>220</v>
      </c>
      <c r="H8" s="11">
        <v>45901</v>
      </c>
      <c r="I8" s="10" t="s">
        <v>1</v>
      </c>
      <c r="J8" s="12" t="str">
        <f>IF(OR(TED[[#This Row],[SITUACAO]]=1,TED[[#This Row],[SITUACAO]]=9,TED[[#This Row],[SITUACAO]]=18),"ATIVO","AFASTADO")</f>
        <v>ATIVO</v>
      </c>
      <c r="K8" s="12">
        <v>1</v>
      </c>
      <c r="R8" s="13"/>
      <c r="V8" s="13"/>
      <c r="Y8" s="13"/>
    </row>
    <row r="9" spans="1:25" x14ac:dyDescent="0.25">
      <c r="A9" s="10">
        <v>5138</v>
      </c>
      <c r="B9" s="9" t="s">
        <v>2008</v>
      </c>
      <c r="C9" s="12" t="str">
        <f>IFERROR(VLOOKUP(TED[[#This Row],[CENTRO]],'CENTRO DE CUSTO'!B:E,4,FALSE)," ")</f>
        <v>DENISE</v>
      </c>
      <c r="D9" s="12">
        <v>28</v>
      </c>
      <c r="E9" s="16">
        <v>28000</v>
      </c>
      <c r="F9" s="10" t="s">
        <v>2021</v>
      </c>
      <c r="G9" s="10">
        <v>220</v>
      </c>
      <c r="H9" s="11">
        <v>42309</v>
      </c>
      <c r="I9" s="10" t="s">
        <v>2024</v>
      </c>
      <c r="J9" s="12" t="str">
        <f>IF(OR(TED[[#This Row],[SITUACAO]]=1,TED[[#This Row],[SITUACAO]]=9,TED[[#This Row],[SITUACAO]]=18),"ATIVO","AFASTADO")</f>
        <v>ATIVO</v>
      </c>
      <c r="K9" s="12">
        <v>1</v>
      </c>
      <c r="R9" s="13"/>
      <c r="V9" s="13"/>
      <c r="Y9" s="13"/>
    </row>
    <row r="10" spans="1:25" x14ac:dyDescent="0.25">
      <c r="A10" s="10">
        <v>29260</v>
      </c>
      <c r="B10" s="9" t="s">
        <v>2016</v>
      </c>
      <c r="C10" s="12" t="str">
        <f>IFERROR(VLOOKUP(TED[[#This Row],[CENTRO]],'CENTRO DE CUSTO'!B:E,4,FALSE)," ")</f>
        <v>DENISE</v>
      </c>
      <c r="D10" s="12">
        <v>28</v>
      </c>
      <c r="E10" s="16">
        <v>28000</v>
      </c>
      <c r="F10" s="10" t="s">
        <v>2021</v>
      </c>
      <c r="G10" s="10">
        <v>220</v>
      </c>
      <c r="H10" s="11">
        <v>45251</v>
      </c>
      <c r="I10" s="10" t="s">
        <v>947</v>
      </c>
      <c r="J10" s="12" t="str">
        <f>IF(OR(TED[[#This Row],[SITUACAO]]=1,TED[[#This Row],[SITUACAO]]=9,TED[[#This Row],[SITUACAO]]=18),"ATIVO","AFASTADO")</f>
        <v>ATIVO</v>
      </c>
      <c r="K10" s="12">
        <v>1</v>
      </c>
      <c r="R10" s="13"/>
      <c r="V10" s="13"/>
      <c r="Y10" s="13"/>
    </row>
    <row r="11" spans="1:25" x14ac:dyDescent="0.25">
      <c r="A11" s="10">
        <v>46882</v>
      </c>
      <c r="B11" s="9" t="s">
        <v>2317</v>
      </c>
      <c r="C11" s="12" t="str">
        <f>IFERROR(VLOOKUP(TED[[#This Row],[CENTRO]],'CENTRO DE CUSTO'!B:E,4,FALSE)," ")</f>
        <v>DENISE</v>
      </c>
      <c r="D11" s="12">
        <v>28</v>
      </c>
      <c r="E11" s="16">
        <v>28000</v>
      </c>
      <c r="F11" s="10" t="s">
        <v>2021</v>
      </c>
      <c r="G11" s="10">
        <v>220</v>
      </c>
      <c r="H11" s="11">
        <v>46195</v>
      </c>
      <c r="I11" s="10" t="s">
        <v>947</v>
      </c>
      <c r="J11" s="12" t="str">
        <f>IF(OR(TED[[#This Row],[SITUACAO]]=1,TED[[#This Row],[SITUACAO]]=9,TED[[#This Row],[SITUACAO]]=18),"ATIVO","AFASTADO")</f>
        <v>ATIVO</v>
      </c>
      <c r="K11" s="12">
        <v>1</v>
      </c>
      <c r="R11" s="13"/>
      <c r="V11" s="13"/>
      <c r="Y11" s="13"/>
    </row>
    <row r="12" spans="1:25" x14ac:dyDescent="0.25">
      <c r="A12" s="10">
        <v>43374</v>
      </c>
      <c r="B12" s="9" t="s">
        <v>2060</v>
      </c>
      <c r="C12" s="12" t="str">
        <f>IFERROR(VLOOKUP(TED[[#This Row],[CENTRO]],'CENTRO DE CUSTO'!B:E,4,FALSE)," ")</f>
        <v>DENISE</v>
      </c>
      <c r="D12" s="12">
        <v>28</v>
      </c>
      <c r="E12" s="16">
        <v>28000</v>
      </c>
      <c r="F12" s="10" t="s">
        <v>2021</v>
      </c>
      <c r="G12" s="10">
        <v>100</v>
      </c>
      <c r="H12" s="11">
        <v>46048</v>
      </c>
      <c r="I12" s="10" t="s">
        <v>2022</v>
      </c>
      <c r="J12" s="12" t="str">
        <f>IF(OR(TED[[#This Row],[SITUACAO]]=1,TED[[#This Row],[SITUACAO]]=9,TED[[#This Row],[SITUACAO]]=18),"ATIVO","AFASTADO")</f>
        <v>ATIVO</v>
      </c>
      <c r="K12" s="12">
        <v>1</v>
      </c>
      <c r="R12" s="13"/>
      <c r="V12" s="13"/>
      <c r="Y12" s="13"/>
    </row>
    <row r="13" spans="1:25" x14ac:dyDescent="0.25">
      <c r="A13" s="10">
        <v>18547</v>
      </c>
      <c r="B13" s="9" t="s">
        <v>2006</v>
      </c>
      <c r="C13" s="12" t="str">
        <f>IFERROR(VLOOKUP(TED[[#This Row],[CENTRO]],'CENTRO DE CUSTO'!B:E,4,FALSE)," ")</f>
        <v>DENISE</v>
      </c>
      <c r="D13" s="12">
        <v>28</v>
      </c>
      <c r="E13" s="16">
        <v>28000</v>
      </c>
      <c r="F13" s="10" t="s">
        <v>2021</v>
      </c>
      <c r="G13" s="10">
        <v>220</v>
      </c>
      <c r="H13" s="11">
        <v>44578</v>
      </c>
      <c r="I13" s="10" t="s">
        <v>612</v>
      </c>
      <c r="J13" s="12" t="str">
        <f>IF(OR(TED[[#This Row],[SITUACAO]]=1,TED[[#This Row],[SITUACAO]]=9,TED[[#This Row],[SITUACAO]]=18),"ATIVO","AFASTADO")</f>
        <v>ATIVO</v>
      </c>
      <c r="K13" s="12">
        <v>1</v>
      </c>
      <c r="R13" s="13"/>
      <c r="V13" s="13"/>
      <c r="Y13" s="13"/>
    </row>
    <row r="14" spans="1:25" x14ac:dyDescent="0.25">
      <c r="A14" s="10">
        <v>40442</v>
      </c>
      <c r="B14" s="9" t="s">
        <v>2009</v>
      </c>
      <c r="C14" s="12" t="str">
        <f>IFERROR(VLOOKUP(TED[[#This Row],[CENTRO]],'CENTRO DE CUSTO'!B:E,4,FALSE)," ")</f>
        <v>DENISE</v>
      </c>
      <c r="D14" s="12">
        <v>28</v>
      </c>
      <c r="E14" s="16">
        <v>28000</v>
      </c>
      <c r="F14" s="10" t="s">
        <v>2021</v>
      </c>
      <c r="G14" s="10">
        <v>220</v>
      </c>
      <c r="H14" s="11">
        <v>45902</v>
      </c>
      <c r="I14" s="10" t="s">
        <v>2025</v>
      </c>
      <c r="J14" s="12" t="str">
        <f>IF(OR(TED[[#This Row],[SITUACAO]]=1,TED[[#This Row],[SITUACAO]]=9,TED[[#This Row],[SITUACAO]]=18),"ATIVO","AFASTADO")</f>
        <v>ATIVO</v>
      </c>
      <c r="K14" s="12">
        <v>1</v>
      </c>
      <c r="R14" s="13"/>
      <c r="V14" s="13"/>
      <c r="Y14" s="13"/>
    </row>
    <row r="15" spans="1:25" x14ac:dyDescent="0.25">
      <c r="A15" s="10">
        <v>47035</v>
      </c>
      <c r="B15" s="9" t="s">
        <v>2318</v>
      </c>
      <c r="C15" s="12" t="str">
        <f>IFERROR(VLOOKUP(TED[[#This Row],[CENTRO]],'CENTRO DE CUSTO'!B:E,4,FALSE)," ")</f>
        <v>DENISE</v>
      </c>
      <c r="D15" s="12">
        <v>28</v>
      </c>
      <c r="E15" s="16">
        <v>28000</v>
      </c>
      <c r="F15" s="10" t="s">
        <v>2021</v>
      </c>
      <c r="G15" s="10">
        <v>100</v>
      </c>
      <c r="H15" s="11">
        <v>46209</v>
      </c>
      <c r="I15" s="10" t="s">
        <v>2022</v>
      </c>
      <c r="J15" s="12" t="str">
        <f>IF(OR(TED[[#This Row],[SITUACAO]]=1,TED[[#This Row],[SITUACAO]]=9,TED[[#This Row],[SITUACAO]]=18),"ATIVO","AFASTADO")</f>
        <v>ATIVO</v>
      </c>
      <c r="K15" s="12">
        <v>1</v>
      </c>
      <c r="R15" s="13"/>
      <c r="V15" s="13"/>
      <c r="Y15" s="13"/>
    </row>
    <row r="16" spans="1:25" x14ac:dyDescent="0.25">
      <c r="A16" s="10">
        <v>38671</v>
      </c>
      <c r="B16" s="9" t="s">
        <v>2013</v>
      </c>
      <c r="C16" s="12" t="str">
        <f>IFERROR(VLOOKUP(TED[[#This Row],[CENTRO]],'CENTRO DE CUSTO'!B:E,4,FALSE)," ")</f>
        <v>DENISE</v>
      </c>
      <c r="D16" s="12">
        <v>28</v>
      </c>
      <c r="E16" s="16">
        <v>28000</v>
      </c>
      <c r="F16" s="10" t="s">
        <v>2021</v>
      </c>
      <c r="G16" s="10">
        <v>100</v>
      </c>
      <c r="H16" s="11">
        <v>45789</v>
      </c>
      <c r="I16" s="10" t="s">
        <v>2022</v>
      </c>
      <c r="J16" s="12" t="str">
        <f>IF(OR(TED[[#This Row],[SITUACAO]]=1,TED[[#This Row],[SITUACAO]]=9,TED[[#This Row],[SITUACAO]]=18),"ATIVO","AFASTADO")</f>
        <v>ATIVO</v>
      </c>
      <c r="K16" s="12">
        <v>1</v>
      </c>
      <c r="R16" s="13"/>
      <c r="V16" s="13"/>
      <c r="Y16" s="13"/>
    </row>
    <row r="17" spans="1:25" x14ac:dyDescent="0.25">
      <c r="A17" s="10">
        <v>16078</v>
      </c>
      <c r="B17" s="9" t="s">
        <v>2011</v>
      </c>
      <c r="C17" s="12" t="str">
        <f>IFERROR(VLOOKUP(TED[[#This Row],[CENTRO]],'CENTRO DE CUSTO'!B:E,4,FALSE)," ")</f>
        <v>DENISE</v>
      </c>
      <c r="D17" s="12">
        <v>28</v>
      </c>
      <c r="E17" s="16">
        <v>28000</v>
      </c>
      <c r="F17" s="10" t="s">
        <v>2021</v>
      </c>
      <c r="G17" s="10">
        <v>220</v>
      </c>
      <c r="H17" s="11">
        <v>44326</v>
      </c>
      <c r="I17" s="10" t="s">
        <v>2026</v>
      </c>
      <c r="J17" s="12" t="str">
        <f>IF(OR(TED[[#This Row],[SITUACAO]]=1,TED[[#This Row],[SITUACAO]]=9,TED[[#This Row],[SITUACAO]]=18),"ATIVO","AFASTADO")</f>
        <v>ATIVO</v>
      </c>
      <c r="K17" s="12">
        <v>1</v>
      </c>
      <c r="R17" s="13"/>
      <c r="V17" s="13"/>
      <c r="Y17" s="13"/>
    </row>
    <row r="18" spans="1:25" x14ac:dyDescent="0.25">
      <c r="A18" s="10">
        <v>22228</v>
      </c>
      <c r="B18" s="9" t="s">
        <v>2015</v>
      </c>
      <c r="C18" s="12" t="str">
        <f>IFERROR(VLOOKUP(TED[[#This Row],[CENTRO]],'CENTRO DE CUSTO'!B:E,4,FALSE)," ")</f>
        <v>DENISE</v>
      </c>
      <c r="D18" s="12">
        <v>28</v>
      </c>
      <c r="E18" s="16">
        <v>28000</v>
      </c>
      <c r="F18" s="10" t="s">
        <v>2021</v>
      </c>
      <c r="G18" s="10">
        <v>220</v>
      </c>
      <c r="H18" s="11">
        <v>44729</v>
      </c>
      <c r="I18" s="10" t="s">
        <v>612</v>
      </c>
      <c r="J18" s="12" t="str">
        <f>IF(OR(TED[[#This Row],[SITUACAO]]=1,TED[[#This Row],[SITUACAO]]=9,TED[[#This Row],[SITUACAO]]=18),"ATIVO","AFASTADO")</f>
        <v>ATIVO</v>
      </c>
      <c r="K18" s="12">
        <v>1</v>
      </c>
      <c r="R18" s="13"/>
      <c r="V18" s="13"/>
      <c r="Y18" s="13"/>
    </row>
    <row r="19" spans="1:25" x14ac:dyDescent="0.25">
      <c r="A19" s="10">
        <v>22275</v>
      </c>
      <c r="B19" s="9" t="s">
        <v>2020</v>
      </c>
      <c r="C19" s="12" t="str">
        <f>IFERROR(VLOOKUP(TED[[#This Row],[CENTRO]],'CENTRO DE CUSTO'!B:E,4,FALSE)," ")</f>
        <v>DENISE</v>
      </c>
      <c r="D19" s="12">
        <v>28</v>
      </c>
      <c r="E19" s="16">
        <v>28000</v>
      </c>
      <c r="F19" s="10" t="s">
        <v>2021</v>
      </c>
      <c r="G19" s="10">
        <v>220</v>
      </c>
      <c r="H19" s="11">
        <v>44739</v>
      </c>
      <c r="I19" s="10" t="s">
        <v>947</v>
      </c>
      <c r="J19" s="12" t="str">
        <f>IF(OR(TED[[#This Row],[SITUACAO]]=1,TED[[#This Row],[SITUACAO]]=9,TED[[#This Row],[SITUACAO]]=18),"ATIVO","AFASTADO")</f>
        <v>ATIVO</v>
      </c>
      <c r="K19" s="12">
        <v>1</v>
      </c>
      <c r="R19" s="13"/>
      <c r="V19" s="13"/>
      <c r="Y19" s="13"/>
    </row>
    <row r="20" spans="1:25" x14ac:dyDescent="0.25">
      <c r="A20" s="10">
        <v>28515</v>
      </c>
      <c r="B20" s="9" t="s">
        <v>2014</v>
      </c>
      <c r="C20" s="29" t="str">
        <f>IFERROR(VLOOKUP(TED[[#This Row],[CENTRO]],'CENTRO DE CUSTO'!B:E,4,FALSE)," ")</f>
        <v>DENISE</v>
      </c>
      <c r="D20" s="12">
        <v>28</v>
      </c>
      <c r="E20" s="16">
        <v>28000</v>
      </c>
      <c r="F20" s="10" t="s">
        <v>2021</v>
      </c>
      <c r="G20" s="10">
        <v>220</v>
      </c>
      <c r="H20" s="11">
        <v>45187</v>
      </c>
      <c r="I20" s="10" t="s">
        <v>956</v>
      </c>
      <c r="J20" s="12" t="str">
        <f>IF(OR(TED[[#This Row],[SITUACAO]]=1,TED[[#This Row],[SITUACAO]]=9,TED[[#This Row],[SITUACAO]]=18),"ATIVO","AFASTADO")</f>
        <v>ATIVO</v>
      </c>
      <c r="K20" s="12">
        <v>1</v>
      </c>
      <c r="R20" s="13"/>
      <c r="V20" s="13"/>
      <c r="Y20" s="13"/>
    </row>
    <row r="21" spans="1:25" x14ac:dyDescent="0.25">
      <c r="A21" s="10">
        <v>44546</v>
      </c>
      <c r="B21" s="9" t="s">
        <v>2137</v>
      </c>
      <c r="C21" s="12" t="str">
        <f>IFERROR(VLOOKUP(TED[[#This Row],[CENTRO]],'CENTRO DE CUSTO'!B:E,4,FALSE)," ")</f>
        <v>DENISE</v>
      </c>
      <c r="D21" s="12">
        <v>28</v>
      </c>
      <c r="E21" s="16">
        <v>28000</v>
      </c>
      <c r="F21" s="10" t="s">
        <v>2021</v>
      </c>
      <c r="G21" s="10">
        <v>220</v>
      </c>
      <c r="H21" s="11">
        <v>46097</v>
      </c>
      <c r="I21" s="10" t="s">
        <v>21</v>
      </c>
      <c r="J21" s="12" t="str">
        <f>IF(OR(TED[[#This Row],[SITUACAO]]=1,TED[[#This Row],[SITUACAO]]=9,TED[[#This Row],[SITUACAO]]=18),"ATIVO","AFASTADO")</f>
        <v>ATIVO</v>
      </c>
      <c r="K21" s="12">
        <v>1</v>
      </c>
      <c r="R21" s="13"/>
      <c r="V21" s="13"/>
      <c r="Y21" s="13"/>
    </row>
    <row r="22" spans="1:25" x14ac:dyDescent="0.25">
      <c r="A22" s="10">
        <v>37838</v>
      </c>
      <c r="B22" s="9" t="s">
        <v>2018</v>
      </c>
      <c r="C22" s="12" t="str">
        <f>IFERROR(VLOOKUP(TED[[#This Row],[CENTRO]],'CENTRO DE CUSTO'!B:E,4,FALSE)," ")</f>
        <v>DENISE</v>
      </c>
      <c r="D22" s="12">
        <v>28</v>
      </c>
      <c r="E22" s="16">
        <v>28000</v>
      </c>
      <c r="F22" s="10" t="s">
        <v>2021</v>
      </c>
      <c r="G22" s="10">
        <v>220</v>
      </c>
      <c r="H22" s="11">
        <v>45740</v>
      </c>
      <c r="I22" s="10" t="s">
        <v>947</v>
      </c>
      <c r="J22" s="12" t="str">
        <f>IF(OR(TED[[#This Row],[SITUACAO]]=1,TED[[#This Row],[SITUACAO]]=9,TED[[#This Row],[SITUACAO]]=18),"ATIVO","AFASTADO")</f>
        <v>ATIVO</v>
      </c>
      <c r="K22" s="12">
        <v>1</v>
      </c>
      <c r="R22" s="13"/>
      <c r="V22" s="13"/>
      <c r="Y22" s="13"/>
    </row>
    <row r="23" spans="1:25" x14ac:dyDescent="0.25">
      <c r="A23" s="10">
        <v>42356</v>
      </c>
      <c r="B23" s="9" t="s">
        <v>2017</v>
      </c>
      <c r="C23" s="12" t="str">
        <f>IFERROR(VLOOKUP(TED[[#This Row],[CENTRO]],'CENTRO DE CUSTO'!B:E,4,FALSE)," ")</f>
        <v>DENISE</v>
      </c>
      <c r="D23" s="12">
        <v>28</v>
      </c>
      <c r="E23" s="16">
        <v>28000</v>
      </c>
      <c r="F23" s="10" t="s">
        <v>2021</v>
      </c>
      <c r="G23" s="10">
        <v>220</v>
      </c>
      <c r="H23" s="11">
        <v>45985</v>
      </c>
      <c r="I23" s="10" t="s">
        <v>947</v>
      </c>
      <c r="J23" s="12" t="str">
        <f>IF(OR(TED[[#This Row],[SITUACAO]]=1,TED[[#This Row],[SITUACAO]]=9,TED[[#This Row],[SITUACAO]]=18),"ATIVO","AFASTADO")</f>
        <v>ATIVO</v>
      </c>
      <c r="K23" s="12">
        <v>1</v>
      </c>
      <c r="R23" s="13"/>
      <c r="V23" s="13"/>
      <c r="Y23" s="13"/>
    </row>
    <row r="24" spans="1:25" x14ac:dyDescent="0.25">
      <c r="A24" s="10">
        <v>37020</v>
      </c>
      <c r="B24" s="9" t="s">
        <v>2005</v>
      </c>
      <c r="C24" s="12" t="str">
        <f>IFERROR(VLOOKUP(TED[[#This Row],[CENTRO]],'CENTRO DE CUSTO'!B:E,4,FALSE)," ")</f>
        <v>DENISE</v>
      </c>
      <c r="D24" s="12">
        <v>28</v>
      </c>
      <c r="E24" s="16">
        <v>28000</v>
      </c>
      <c r="F24" s="10" t="s">
        <v>2021</v>
      </c>
      <c r="G24" s="10">
        <v>100</v>
      </c>
      <c r="H24" s="11">
        <v>45705</v>
      </c>
      <c r="I24" s="10" t="s">
        <v>2022</v>
      </c>
      <c r="J24" s="12" t="str">
        <f>IF(OR(TED[[#This Row],[SITUACAO]]=1,TED[[#This Row],[SITUACAO]]=9,TED[[#This Row],[SITUACAO]]=18),"ATIVO","AFASTADO")</f>
        <v>ATIVO</v>
      </c>
      <c r="K24" s="12">
        <v>1</v>
      </c>
      <c r="R24" s="13"/>
      <c r="V24" s="13"/>
      <c r="Y24" s="13"/>
    </row>
    <row r="25" spans="1:25" x14ac:dyDescent="0.25">
      <c r="A25" s="10">
        <v>45247</v>
      </c>
      <c r="B25" s="9" t="s">
        <v>2214</v>
      </c>
      <c r="C25" s="12" t="str">
        <f>IFERROR(VLOOKUP(TED[[#This Row],[CENTRO]],'CENTRO DE CUSTO'!B:E,4,FALSE)," ")</f>
        <v>DENISE</v>
      </c>
      <c r="D25" s="12">
        <v>28</v>
      </c>
      <c r="E25" s="16">
        <v>28000</v>
      </c>
      <c r="F25" s="10" t="s">
        <v>2021</v>
      </c>
      <c r="G25" s="10">
        <v>100</v>
      </c>
      <c r="H25" s="11">
        <v>46139</v>
      </c>
      <c r="I25" s="10" t="s">
        <v>2022</v>
      </c>
      <c r="J25" s="12" t="str">
        <f>IF(OR(TED[[#This Row],[SITUACAO]]=1,TED[[#This Row],[SITUACAO]]=9,TED[[#This Row],[SITUACAO]]=18),"ATIVO","AFASTADO")</f>
        <v>ATIVO</v>
      </c>
      <c r="K25" s="12">
        <v>1</v>
      </c>
      <c r="R25" s="13"/>
      <c r="V25" s="13"/>
      <c r="Y25" s="13"/>
    </row>
    <row r="26" spans="1:25" x14ac:dyDescent="0.25">
      <c r="A26" s="10">
        <v>9085</v>
      </c>
      <c r="B26" s="9" t="s">
        <v>2007</v>
      </c>
      <c r="C26" s="12" t="str">
        <f>IFERROR(VLOOKUP(TED[[#This Row],[CENTRO]],'CENTRO DE CUSTO'!B:E,4,FALSE)," ")</f>
        <v>DENISE</v>
      </c>
      <c r="D26" s="12">
        <v>28</v>
      </c>
      <c r="E26" s="16">
        <v>28000</v>
      </c>
      <c r="F26" s="10" t="s">
        <v>2021</v>
      </c>
      <c r="G26" s="10">
        <v>220</v>
      </c>
      <c r="H26" s="11">
        <v>42857</v>
      </c>
      <c r="I26" s="10" t="s">
        <v>2023</v>
      </c>
      <c r="J26" s="12" t="str">
        <f>IF(OR(TED[[#This Row],[SITUACAO]]=1,TED[[#This Row],[SITUACAO]]=9,TED[[#This Row],[SITUACAO]]=18),"ATIVO","AFASTADO")</f>
        <v>ATIVO</v>
      </c>
      <c r="K26" s="12">
        <v>1</v>
      </c>
      <c r="R26" s="13"/>
      <c r="V26" s="13"/>
      <c r="Y26" s="13"/>
    </row>
    <row r="27" spans="1:25" x14ac:dyDescent="0.25">
      <c r="A27" s="10">
        <v>6515</v>
      </c>
      <c r="B27" s="9" t="s">
        <v>1027</v>
      </c>
      <c r="C27" s="12" t="str">
        <f>IFERROR(VLOOKUP(TED[[#This Row],[CENTRO]],'CENTRO DE CUSTO'!B:E,4,FALSE)," ")</f>
        <v>ROGÉRIO</v>
      </c>
      <c r="D27" s="12">
        <v>76</v>
      </c>
      <c r="E27" s="16">
        <v>76000</v>
      </c>
      <c r="F27" s="10" t="s">
        <v>1898</v>
      </c>
      <c r="G27" s="10">
        <v>220</v>
      </c>
      <c r="H27" s="11">
        <v>42332</v>
      </c>
      <c r="I27" s="10" t="s">
        <v>950</v>
      </c>
      <c r="J27" s="12" t="str">
        <f>IF(OR(TED[[#This Row],[SITUACAO]]=1,TED[[#This Row],[SITUACAO]]=9,TED[[#This Row],[SITUACAO]]=18),"ATIVO","AFASTADO")</f>
        <v>ATIVO</v>
      </c>
      <c r="K27" s="12">
        <v>1</v>
      </c>
      <c r="R27" s="13"/>
      <c r="V27" s="13"/>
      <c r="Y27" s="13"/>
    </row>
    <row r="28" spans="1:25" x14ac:dyDescent="0.25">
      <c r="A28" s="10">
        <v>25855</v>
      </c>
      <c r="B28" s="9" t="s">
        <v>1051</v>
      </c>
      <c r="C28" s="12" t="str">
        <f>IFERROR(VLOOKUP(TED[[#This Row],[CENTRO]],'CENTRO DE CUSTO'!B:E,4,FALSE)," ")</f>
        <v>ROGÉRIO</v>
      </c>
      <c r="D28" s="12">
        <v>76</v>
      </c>
      <c r="E28" s="16">
        <v>76000</v>
      </c>
      <c r="F28" s="10" t="s">
        <v>1898</v>
      </c>
      <c r="G28" s="10">
        <v>220</v>
      </c>
      <c r="H28" s="11">
        <v>44998</v>
      </c>
      <c r="I28" s="10" t="s">
        <v>950</v>
      </c>
      <c r="J28" s="12" t="str">
        <f>IF(OR(TED[[#This Row],[SITUACAO]]=1,TED[[#This Row],[SITUACAO]]=9,TED[[#This Row],[SITUACAO]]=18),"ATIVO","AFASTADO")</f>
        <v>ATIVO</v>
      </c>
      <c r="K28" s="12">
        <v>1</v>
      </c>
      <c r="R28" s="13"/>
      <c r="V28" s="13"/>
      <c r="Y28" s="13"/>
    </row>
    <row r="29" spans="1:25" x14ac:dyDescent="0.25">
      <c r="A29" s="10">
        <v>10467</v>
      </c>
      <c r="B29" s="9" t="s">
        <v>1048</v>
      </c>
      <c r="C29" s="12" t="str">
        <f>IFERROR(VLOOKUP(TED[[#This Row],[CENTRO]],'CENTRO DE CUSTO'!B:E,4,FALSE)," ")</f>
        <v>ROGÉRIO</v>
      </c>
      <c r="D29" s="12">
        <v>76</v>
      </c>
      <c r="E29" s="16">
        <v>76000</v>
      </c>
      <c r="F29" s="10" t="s">
        <v>1898</v>
      </c>
      <c r="G29" s="10">
        <v>220</v>
      </c>
      <c r="H29" s="11">
        <v>43231</v>
      </c>
      <c r="I29" s="10" t="s">
        <v>950</v>
      </c>
      <c r="J29" s="12" t="str">
        <f>IF(OR(TED[[#This Row],[SITUACAO]]=1,TED[[#This Row],[SITUACAO]]=9,TED[[#This Row],[SITUACAO]]=18),"ATIVO","AFASTADO")</f>
        <v>ATIVO</v>
      </c>
      <c r="K29" s="12">
        <v>1</v>
      </c>
      <c r="R29" s="13"/>
      <c r="V29" s="13"/>
      <c r="Y29" s="13"/>
    </row>
    <row r="30" spans="1:25" x14ac:dyDescent="0.25">
      <c r="A30" s="10">
        <v>6908</v>
      </c>
      <c r="B30" s="9" t="s">
        <v>1034</v>
      </c>
      <c r="C30" s="12" t="str">
        <f>IFERROR(VLOOKUP(TED[[#This Row],[CENTRO]],'CENTRO DE CUSTO'!B:E,4,FALSE)," ")</f>
        <v>ROGÉRIO</v>
      </c>
      <c r="D30" s="12">
        <v>76</v>
      </c>
      <c r="E30" s="16">
        <v>76000</v>
      </c>
      <c r="F30" s="10" t="s">
        <v>1898</v>
      </c>
      <c r="G30" s="10">
        <v>220</v>
      </c>
      <c r="H30" s="11">
        <v>42354</v>
      </c>
      <c r="I30" s="10" t="s">
        <v>950</v>
      </c>
      <c r="J30" s="12" t="str">
        <f>IF(OR(TED[[#This Row],[SITUACAO]]=1,TED[[#This Row],[SITUACAO]]=9,TED[[#This Row],[SITUACAO]]=18),"ATIVO","AFASTADO")</f>
        <v>ATIVO</v>
      </c>
      <c r="K30" s="12">
        <v>1</v>
      </c>
      <c r="R30" s="13"/>
      <c r="V30" s="13"/>
      <c r="Y30" s="13"/>
    </row>
    <row r="31" spans="1:25" x14ac:dyDescent="0.25">
      <c r="A31" s="10">
        <v>14243</v>
      </c>
      <c r="B31" s="9" t="s">
        <v>1018</v>
      </c>
      <c r="C31" s="12" t="str">
        <f>IFERROR(VLOOKUP(TED[[#This Row],[CENTRO]],'CENTRO DE CUSTO'!B:E,4,FALSE)," ")</f>
        <v>ROGÉRIO</v>
      </c>
      <c r="D31" s="12">
        <v>76</v>
      </c>
      <c r="E31" s="16">
        <v>76000</v>
      </c>
      <c r="F31" s="10" t="s">
        <v>1898</v>
      </c>
      <c r="G31" s="10">
        <v>220</v>
      </c>
      <c r="H31" s="11">
        <v>43901</v>
      </c>
      <c r="I31" s="10" t="s">
        <v>950</v>
      </c>
      <c r="J31" s="12" t="str">
        <f>IF(OR(TED[[#This Row],[SITUACAO]]=1,TED[[#This Row],[SITUACAO]]=9,TED[[#This Row],[SITUACAO]]=18),"ATIVO","AFASTADO")</f>
        <v>ATIVO</v>
      </c>
      <c r="K31" s="12">
        <v>1</v>
      </c>
      <c r="R31" s="13"/>
      <c r="V31" s="13"/>
      <c r="Y31" s="13"/>
    </row>
    <row r="32" spans="1:25" x14ac:dyDescent="0.25">
      <c r="A32" s="10">
        <v>3747</v>
      </c>
      <c r="B32" s="9" t="s">
        <v>1039</v>
      </c>
      <c r="C32" s="12" t="str">
        <f>IFERROR(VLOOKUP(TED[[#This Row],[CENTRO]],'CENTRO DE CUSTO'!B:E,4,FALSE)," ")</f>
        <v>ROGÉRIO</v>
      </c>
      <c r="D32" s="12">
        <v>76</v>
      </c>
      <c r="E32" s="16">
        <v>76000</v>
      </c>
      <c r="F32" s="10" t="s">
        <v>1898</v>
      </c>
      <c r="G32" s="10">
        <v>220</v>
      </c>
      <c r="H32" s="11">
        <v>41708</v>
      </c>
      <c r="I32" s="10" t="s">
        <v>950</v>
      </c>
      <c r="J32" s="12" t="str">
        <f>IF(OR(TED[[#This Row],[SITUACAO]]=1,TED[[#This Row],[SITUACAO]]=9,TED[[#This Row],[SITUACAO]]=18),"ATIVO","AFASTADO")</f>
        <v>ATIVO</v>
      </c>
      <c r="K32" s="12">
        <v>1</v>
      </c>
      <c r="R32" s="13"/>
      <c r="V32" s="13"/>
      <c r="Y32" s="13"/>
    </row>
    <row r="33" spans="1:25" x14ac:dyDescent="0.25">
      <c r="A33" s="10">
        <v>4243</v>
      </c>
      <c r="B33" s="9" t="s">
        <v>1029</v>
      </c>
      <c r="C33" s="12" t="str">
        <f>IFERROR(VLOOKUP(TED[[#This Row],[CENTRO]],'CENTRO DE CUSTO'!B:E,4,FALSE)," ")</f>
        <v>ROGÉRIO</v>
      </c>
      <c r="D33" s="12">
        <v>76</v>
      </c>
      <c r="E33" s="16">
        <v>76000</v>
      </c>
      <c r="F33" s="10" t="s">
        <v>1898</v>
      </c>
      <c r="G33" s="10">
        <v>220</v>
      </c>
      <c r="H33" s="11">
        <v>41852</v>
      </c>
      <c r="I33" s="10" t="s">
        <v>950</v>
      </c>
      <c r="J33" s="12" t="str">
        <f>IF(OR(TED[[#This Row],[SITUACAO]]=1,TED[[#This Row],[SITUACAO]]=9,TED[[#This Row],[SITUACAO]]=18),"ATIVO","AFASTADO")</f>
        <v>ATIVO</v>
      </c>
      <c r="K33" s="12">
        <v>1</v>
      </c>
      <c r="R33" s="13"/>
      <c r="V33" s="13"/>
      <c r="Y33" s="13"/>
    </row>
    <row r="34" spans="1:25" x14ac:dyDescent="0.25">
      <c r="A34" s="10">
        <v>6907</v>
      </c>
      <c r="B34" s="9" t="s">
        <v>1030</v>
      </c>
      <c r="C34" s="12" t="str">
        <f>IFERROR(VLOOKUP(TED[[#This Row],[CENTRO]],'CENTRO DE CUSTO'!B:E,4,FALSE)," ")</f>
        <v>ROGÉRIO</v>
      </c>
      <c r="D34" s="12">
        <v>76</v>
      </c>
      <c r="E34" s="16">
        <v>76000</v>
      </c>
      <c r="F34" s="10" t="s">
        <v>1898</v>
      </c>
      <c r="G34" s="10">
        <v>220</v>
      </c>
      <c r="H34" s="11">
        <v>42354</v>
      </c>
      <c r="I34" s="10" t="s">
        <v>950</v>
      </c>
      <c r="J34" s="12" t="str">
        <f>IF(OR(TED[[#This Row],[SITUACAO]]=1,TED[[#This Row],[SITUACAO]]=9,TED[[#This Row],[SITUACAO]]=18),"ATIVO","AFASTADO")</f>
        <v>ATIVO</v>
      </c>
      <c r="K34" s="12">
        <v>1</v>
      </c>
      <c r="R34" s="13"/>
      <c r="V34" s="13"/>
      <c r="Y34" s="13"/>
    </row>
    <row r="35" spans="1:25" x14ac:dyDescent="0.25">
      <c r="A35" s="10">
        <v>41425</v>
      </c>
      <c r="B35" s="9" t="s">
        <v>1153</v>
      </c>
      <c r="C35" s="12" t="str">
        <f>IFERROR(VLOOKUP(TED[[#This Row],[CENTRO]],'CENTRO DE CUSTO'!B:E,4,FALSE)," ")</f>
        <v>ROGÉRIO</v>
      </c>
      <c r="D35" s="12">
        <v>76</v>
      </c>
      <c r="E35" s="16">
        <v>76000</v>
      </c>
      <c r="F35" s="10" t="s">
        <v>1898</v>
      </c>
      <c r="G35" s="10">
        <v>220</v>
      </c>
      <c r="H35" s="11">
        <v>45927</v>
      </c>
      <c r="I35" s="10" t="s">
        <v>950</v>
      </c>
      <c r="J35" s="12" t="str">
        <f>IF(OR(TED[[#This Row],[SITUACAO]]=1,TED[[#This Row],[SITUACAO]]=9,TED[[#This Row],[SITUACAO]]=18),"ATIVO","AFASTADO")</f>
        <v>ATIVO</v>
      </c>
      <c r="K35" s="12">
        <v>1</v>
      </c>
      <c r="R35" s="13"/>
      <c r="V35" s="13"/>
      <c r="Y35" s="13"/>
    </row>
    <row r="36" spans="1:25" x14ac:dyDescent="0.25">
      <c r="A36" s="10">
        <v>6904</v>
      </c>
      <c r="B36" s="9" t="s">
        <v>1015</v>
      </c>
      <c r="C36" s="12" t="str">
        <f>IFERROR(VLOOKUP(TED[[#This Row],[CENTRO]],'CENTRO DE CUSTO'!B:E,4,FALSE)," ")</f>
        <v>ROGÉRIO</v>
      </c>
      <c r="D36" s="12">
        <v>76</v>
      </c>
      <c r="E36" s="16">
        <v>76000</v>
      </c>
      <c r="F36" s="10" t="s">
        <v>1898</v>
      </c>
      <c r="G36" s="10">
        <v>220</v>
      </c>
      <c r="H36" s="11">
        <v>42387</v>
      </c>
      <c r="I36" s="10" t="s">
        <v>950</v>
      </c>
      <c r="J36" s="12" t="str">
        <f>IF(OR(TED[[#This Row],[SITUACAO]]=1,TED[[#This Row],[SITUACAO]]=9,TED[[#This Row],[SITUACAO]]=18),"ATIVO","AFASTADO")</f>
        <v>ATIVO</v>
      </c>
      <c r="K36" s="12">
        <v>1</v>
      </c>
      <c r="R36" s="13"/>
      <c r="V36" s="13"/>
      <c r="Y36" s="13"/>
    </row>
    <row r="37" spans="1:25" x14ac:dyDescent="0.25">
      <c r="A37" s="10">
        <v>34350</v>
      </c>
      <c r="B37" s="9" t="s">
        <v>1037</v>
      </c>
      <c r="C37" s="12" t="str">
        <f>IFERROR(VLOOKUP(TED[[#This Row],[CENTRO]],'CENTRO DE CUSTO'!B:E,4,FALSE)," ")</f>
        <v>ROGÉRIO</v>
      </c>
      <c r="D37" s="12">
        <v>76</v>
      </c>
      <c r="E37" s="16">
        <v>76000</v>
      </c>
      <c r="F37" s="10" t="s">
        <v>1898</v>
      </c>
      <c r="G37" s="10">
        <v>220</v>
      </c>
      <c r="H37" s="11">
        <v>45588</v>
      </c>
      <c r="I37" s="10" t="s">
        <v>958</v>
      </c>
      <c r="J37" s="12" t="str">
        <f>IF(OR(TED[[#This Row],[SITUACAO]]=1,TED[[#This Row],[SITUACAO]]=9,TED[[#This Row],[SITUACAO]]=18),"ATIVO","AFASTADO")</f>
        <v>ATIVO</v>
      </c>
      <c r="K37" s="12">
        <v>1</v>
      </c>
      <c r="R37" s="13"/>
      <c r="V37" s="13"/>
      <c r="Y37" s="13"/>
    </row>
    <row r="38" spans="1:25" x14ac:dyDescent="0.25">
      <c r="A38" s="10">
        <v>7088</v>
      </c>
      <c r="B38" s="9" t="s">
        <v>1041</v>
      </c>
      <c r="C38" s="12" t="str">
        <f>IFERROR(VLOOKUP(TED[[#This Row],[CENTRO]],'CENTRO DE CUSTO'!B:E,4,FALSE)," ")</f>
        <v>ROGÉRIO</v>
      </c>
      <c r="D38" s="12">
        <v>76</v>
      </c>
      <c r="E38" s="16">
        <v>76000</v>
      </c>
      <c r="F38" s="10" t="s">
        <v>1898</v>
      </c>
      <c r="G38" s="10">
        <v>220</v>
      </c>
      <c r="H38" s="11">
        <v>42485</v>
      </c>
      <c r="I38" s="10" t="s">
        <v>950</v>
      </c>
      <c r="J38" s="12" t="str">
        <f>IF(OR(TED[[#This Row],[SITUACAO]]=1,TED[[#This Row],[SITUACAO]]=9,TED[[#This Row],[SITUACAO]]=18),"ATIVO","AFASTADO")</f>
        <v>ATIVO</v>
      </c>
      <c r="K38" s="12">
        <v>1</v>
      </c>
      <c r="R38" s="13"/>
      <c r="V38" s="13"/>
      <c r="Y38" s="13"/>
    </row>
    <row r="39" spans="1:25" x14ac:dyDescent="0.25">
      <c r="A39" s="10">
        <v>11189</v>
      </c>
      <c r="B39" s="9" t="s">
        <v>1003</v>
      </c>
      <c r="C39" s="12" t="str">
        <f>IFERROR(VLOOKUP(TED[[#This Row],[CENTRO]],'CENTRO DE CUSTO'!B:E,4,FALSE)," ")</f>
        <v>ROGÉRIO</v>
      </c>
      <c r="D39" s="12">
        <v>76</v>
      </c>
      <c r="E39" s="16">
        <v>76000</v>
      </c>
      <c r="F39" s="10" t="s">
        <v>1898</v>
      </c>
      <c r="G39" s="10">
        <v>220</v>
      </c>
      <c r="H39" s="11">
        <v>43382</v>
      </c>
      <c r="I39" s="10" t="s">
        <v>950</v>
      </c>
      <c r="J39" s="12" t="str">
        <f>IF(OR(TED[[#This Row],[SITUACAO]]=1,TED[[#This Row],[SITUACAO]]=9,TED[[#This Row],[SITUACAO]]=18),"ATIVO","AFASTADO")</f>
        <v>AFASTADO</v>
      </c>
      <c r="K39" s="12">
        <v>6</v>
      </c>
      <c r="R39" s="13"/>
      <c r="V39" s="13"/>
      <c r="Y39" s="13"/>
    </row>
    <row r="40" spans="1:25" x14ac:dyDescent="0.25">
      <c r="A40" s="10">
        <v>7086</v>
      </c>
      <c r="B40" s="9" t="s">
        <v>1050</v>
      </c>
      <c r="C40" s="12" t="str">
        <f>IFERROR(VLOOKUP(TED[[#This Row],[CENTRO]],'CENTRO DE CUSTO'!B:E,4,FALSE)," ")</f>
        <v>ROGÉRIO</v>
      </c>
      <c r="D40" s="12">
        <v>76</v>
      </c>
      <c r="E40" s="16">
        <v>76000</v>
      </c>
      <c r="F40" s="10" t="s">
        <v>1898</v>
      </c>
      <c r="G40" s="10">
        <v>220</v>
      </c>
      <c r="H40" s="11">
        <v>42464</v>
      </c>
      <c r="I40" s="10" t="s">
        <v>950</v>
      </c>
      <c r="J40" s="12" t="str">
        <f>IF(OR(TED[[#This Row],[SITUACAO]]=1,TED[[#This Row],[SITUACAO]]=9,TED[[#This Row],[SITUACAO]]=18),"ATIVO","AFASTADO")</f>
        <v>ATIVO</v>
      </c>
      <c r="K40" s="12">
        <v>1</v>
      </c>
      <c r="R40" s="13"/>
      <c r="V40" s="13"/>
      <c r="Y40" s="13"/>
    </row>
    <row r="41" spans="1:25" x14ac:dyDescent="0.25">
      <c r="A41" s="10">
        <v>6032</v>
      </c>
      <c r="B41" s="9" t="s">
        <v>1021</v>
      </c>
      <c r="C41" s="12" t="str">
        <f>IFERROR(VLOOKUP(TED[[#This Row],[CENTRO]],'CENTRO DE CUSTO'!B:E,4,FALSE)," ")</f>
        <v>ROGÉRIO</v>
      </c>
      <c r="D41" s="12">
        <v>76</v>
      </c>
      <c r="E41" s="16">
        <v>76000</v>
      </c>
      <c r="F41" s="10" t="s">
        <v>1898</v>
      </c>
      <c r="G41" s="10">
        <v>220</v>
      </c>
      <c r="H41" s="11">
        <v>42230</v>
      </c>
      <c r="I41" s="10" t="s">
        <v>950</v>
      </c>
      <c r="J41" s="12" t="str">
        <f>IF(OR(TED[[#This Row],[SITUACAO]]=1,TED[[#This Row],[SITUACAO]]=9,TED[[#This Row],[SITUACAO]]=18),"ATIVO","AFASTADO")</f>
        <v>ATIVO</v>
      </c>
      <c r="K41" s="12">
        <v>1</v>
      </c>
      <c r="R41" s="13"/>
      <c r="V41" s="13"/>
      <c r="Y41" s="13"/>
    </row>
    <row r="42" spans="1:25" x14ac:dyDescent="0.25">
      <c r="A42" s="10">
        <v>34591</v>
      </c>
      <c r="B42" s="9" t="s">
        <v>1032</v>
      </c>
      <c r="C42" s="12" t="str">
        <f>IFERROR(VLOOKUP(TED[[#This Row],[CENTRO]],'CENTRO DE CUSTO'!B:E,4,FALSE)," ")</f>
        <v>ROGÉRIO</v>
      </c>
      <c r="D42" s="12">
        <v>76</v>
      </c>
      <c r="E42" s="16">
        <v>76000</v>
      </c>
      <c r="F42" s="10" t="s">
        <v>1898</v>
      </c>
      <c r="G42" s="10">
        <v>220</v>
      </c>
      <c r="H42" s="11">
        <v>45608</v>
      </c>
      <c r="I42" s="10" t="s">
        <v>950</v>
      </c>
      <c r="J42" s="12" t="str">
        <f>IF(OR(TED[[#This Row],[SITUACAO]]=1,TED[[#This Row],[SITUACAO]]=9,TED[[#This Row],[SITUACAO]]=18),"ATIVO","AFASTADO")</f>
        <v>ATIVO</v>
      </c>
      <c r="K42" s="12">
        <v>1</v>
      </c>
      <c r="R42" s="13"/>
      <c r="V42" s="13"/>
      <c r="Y42" s="13"/>
    </row>
    <row r="43" spans="1:25" x14ac:dyDescent="0.25">
      <c r="A43" s="10">
        <v>24460</v>
      </c>
      <c r="B43" s="9" t="s">
        <v>1024</v>
      </c>
      <c r="C43" s="12" t="str">
        <f>IFERROR(VLOOKUP(TED[[#This Row],[CENTRO]],'CENTRO DE CUSTO'!B:E,4,FALSE)," ")</f>
        <v>ROGÉRIO</v>
      </c>
      <c r="D43" s="12">
        <v>76</v>
      </c>
      <c r="E43" s="16">
        <v>76000</v>
      </c>
      <c r="F43" s="10" t="s">
        <v>1898</v>
      </c>
      <c r="G43" s="10">
        <v>220</v>
      </c>
      <c r="H43" s="11">
        <v>44916</v>
      </c>
      <c r="I43" s="10" t="s">
        <v>950</v>
      </c>
      <c r="J43" s="12" t="str">
        <f>IF(OR(TED[[#This Row],[SITUACAO]]=1,TED[[#This Row],[SITUACAO]]=9,TED[[#This Row],[SITUACAO]]=18),"ATIVO","AFASTADO")</f>
        <v>ATIVO</v>
      </c>
      <c r="K43" s="12">
        <v>1</v>
      </c>
      <c r="R43" s="13"/>
      <c r="V43" s="13"/>
      <c r="Y43" s="13"/>
    </row>
    <row r="44" spans="1:25" x14ac:dyDescent="0.25">
      <c r="A44" s="10">
        <v>17342</v>
      </c>
      <c r="B44" s="9" t="s">
        <v>1044</v>
      </c>
      <c r="C44" s="12" t="str">
        <f>IFERROR(VLOOKUP(TED[[#This Row],[CENTRO]],'CENTRO DE CUSTO'!B:E,4,FALSE)," ")</f>
        <v>ROGÉRIO</v>
      </c>
      <c r="D44" s="12">
        <v>76</v>
      </c>
      <c r="E44" s="16">
        <v>76000</v>
      </c>
      <c r="F44" s="10" t="s">
        <v>1898</v>
      </c>
      <c r="G44" s="10">
        <v>220</v>
      </c>
      <c r="H44" s="11">
        <v>44420</v>
      </c>
      <c r="I44" s="10" t="s">
        <v>950</v>
      </c>
      <c r="J44" s="12" t="str">
        <f>IF(OR(TED[[#This Row],[SITUACAO]]=1,TED[[#This Row],[SITUACAO]]=9,TED[[#This Row],[SITUACAO]]=18),"ATIVO","AFASTADO")</f>
        <v>ATIVO</v>
      </c>
      <c r="K44" s="12">
        <v>1</v>
      </c>
      <c r="R44" s="13"/>
      <c r="V44" s="13"/>
      <c r="Y44" s="13"/>
    </row>
    <row r="45" spans="1:25" x14ac:dyDescent="0.25">
      <c r="A45" s="10">
        <v>38529</v>
      </c>
      <c r="B45" s="9" t="s">
        <v>1049</v>
      </c>
      <c r="C45" s="12" t="str">
        <f>IFERROR(VLOOKUP(TED[[#This Row],[CENTRO]],'CENTRO DE CUSTO'!B:E,4,FALSE)," ")</f>
        <v>ROGÉRIO</v>
      </c>
      <c r="D45" s="12">
        <v>76</v>
      </c>
      <c r="E45" s="16">
        <v>76000</v>
      </c>
      <c r="F45" s="10" t="s">
        <v>1898</v>
      </c>
      <c r="G45" s="10">
        <v>220</v>
      </c>
      <c r="H45" s="11">
        <v>45779</v>
      </c>
      <c r="I45" s="10" t="s">
        <v>950</v>
      </c>
      <c r="J45" s="12" t="str">
        <f>IF(OR(TED[[#This Row],[SITUACAO]]=1,TED[[#This Row],[SITUACAO]]=9,TED[[#This Row],[SITUACAO]]=18),"ATIVO","AFASTADO")</f>
        <v>ATIVO</v>
      </c>
      <c r="K45" s="12">
        <v>1</v>
      </c>
      <c r="R45" s="13"/>
      <c r="V45" s="13"/>
      <c r="Y45" s="13"/>
    </row>
    <row r="46" spans="1:25" x14ac:dyDescent="0.25">
      <c r="A46" s="10">
        <v>7089</v>
      </c>
      <c r="B46" s="9" t="s">
        <v>980</v>
      </c>
      <c r="C46" s="12" t="str">
        <f>IFERROR(VLOOKUP(TED[[#This Row],[CENTRO]],'CENTRO DE CUSTO'!B:E,4,FALSE)," ")</f>
        <v>ROGÉRIO</v>
      </c>
      <c r="D46" s="12">
        <v>76</v>
      </c>
      <c r="E46" s="16">
        <v>76000</v>
      </c>
      <c r="F46" s="10" t="s">
        <v>1898</v>
      </c>
      <c r="G46" s="10">
        <v>220</v>
      </c>
      <c r="H46" s="11">
        <v>42389</v>
      </c>
      <c r="I46" s="10" t="s">
        <v>950</v>
      </c>
      <c r="J46" s="12" t="str">
        <f>IF(OR(TED[[#This Row],[SITUACAO]]=1,TED[[#This Row],[SITUACAO]]=9,TED[[#This Row],[SITUACAO]]=18),"ATIVO","AFASTADO")</f>
        <v>AFASTADO</v>
      </c>
      <c r="K46" s="12">
        <v>6</v>
      </c>
      <c r="R46" s="13"/>
      <c r="V46" s="13"/>
      <c r="Y46" s="13"/>
    </row>
    <row r="47" spans="1:25" x14ac:dyDescent="0.25">
      <c r="A47" s="10">
        <v>12035</v>
      </c>
      <c r="B47" s="9" t="s">
        <v>1045</v>
      </c>
      <c r="C47" s="12" t="str">
        <f>IFERROR(VLOOKUP(TED[[#This Row],[CENTRO]],'CENTRO DE CUSTO'!B:E,4,FALSE)," ")</f>
        <v>ROGÉRIO</v>
      </c>
      <c r="D47" s="12">
        <v>76</v>
      </c>
      <c r="E47" s="16">
        <v>76000</v>
      </c>
      <c r="F47" s="10" t="s">
        <v>1898</v>
      </c>
      <c r="G47" s="10">
        <v>220</v>
      </c>
      <c r="H47" s="11">
        <v>43522</v>
      </c>
      <c r="I47" s="10" t="s">
        <v>950</v>
      </c>
      <c r="J47" s="12" t="str">
        <f>IF(OR(TED[[#This Row],[SITUACAO]]=1,TED[[#This Row],[SITUACAO]]=9,TED[[#This Row],[SITUACAO]]=18),"ATIVO","AFASTADO")</f>
        <v>ATIVO</v>
      </c>
      <c r="K47" s="12">
        <v>1</v>
      </c>
      <c r="R47" s="13"/>
      <c r="V47" s="13"/>
      <c r="Y47" s="13"/>
    </row>
    <row r="48" spans="1:25" x14ac:dyDescent="0.25">
      <c r="A48" s="10">
        <v>26020</v>
      </c>
      <c r="B48" s="9" t="s">
        <v>1036</v>
      </c>
      <c r="C48" s="12" t="str">
        <f>IFERROR(VLOOKUP(TED[[#This Row],[CENTRO]],'CENTRO DE CUSTO'!B:E,4,FALSE)," ")</f>
        <v>ROGÉRIO</v>
      </c>
      <c r="D48" s="12">
        <v>76</v>
      </c>
      <c r="E48" s="16">
        <v>76000</v>
      </c>
      <c r="F48" s="10" t="s">
        <v>1898</v>
      </c>
      <c r="G48" s="10">
        <v>220</v>
      </c>
      <c r="H48" s="11">
        <v>45007</v>
      </c>
      <c r="I48" s="10" t="s">
        <v>950</v>
      </c>
      <c r="J48" s="12" t="str">
        <f>IF(OR(TED[[#This Row],[SITUACAO]]=1,TED[[#This Row],[SITUACAO]]=9,TED[[#This Row],[SITUACAO]]=18),"ATIVO","AFASTADO")</f>
        <v>ATIVO</v>
      </c>
      <c r="K48" s="12">
        <v>1</v>
      </c>
      <c r="R48" s="13"/>
      <c r="V48" s="13"/>
      <c r="Y48" s="13"/>
    </row>
    <row r="49" spans="1:25" x14ac:dyDescent="0.25">
      <c r="A49" s="10">
        <v>43021</v>
      </c>
      <c r="B49" s="9" t="s">
        <v>1023</v>
      </c>
      <c r="C49" s="12" t="str">
        <f>IFERROR(VLOOKUP(TED[[#This Row],[CENTRO]],'CENTRO DE CUSTO'!B:E,4,FALSE)," ")</f>
        <v>ROGÉRIO</v>
      </c>
      <c r="D49" s="12">
        <v>76</v>
      </c>
      <c r="E49" s="16">
        <v>76000</v>
      </c>
      <c r="F49" s="10" t="s">
        <v>1898</v>
      </c>
      <c r="G49" s="10">
        <v>220</v>
      </c>
      <c r="H49" s="11">
        <v>46000</v>
      </c>
      <c r="I49" s="10" t="s">
        <v>950</v>
      </c>
      <c r="J49" s="12" t="str">
        <f>IF(OR(TED[[#This Row],[SITUACAO]]=1,TED[[#This Row],[SITUACAO]]=9,TED[[#This Row],[SITUACAO]]=18),"ATIVO","AFASTADO")</f>
        <v>ATIVO</v>
      </c>
      <c r="K49" s="12">
        <v>1</v>
      </c>
      <c r="R49" s="13"/>
      <c r="V49" s="13"/>
      <c r="Y49" s="13"/>
    </row>
    <row r="50" spans="1:25" x14ac:dyDescent="0.25">
      <c r="A50" s="10">
        <v>4108</v>
      </c>
      <c r="B50" s="9" t="s">
        <v>1040</v>
      </c>
      <c r="C50" s="12" t="str">
        <f>IFERROR(VLOOKUP(TED[[#This Row],[CENTRO]],'CENTRO DE CUSTO'!B:E,4,FALSE)," ")</f>
        <v>ROGÉRIO</v>
      </c>
      <c r="D50" s="12">
        <v>76</v>
      </c>
      <c r="E50" s="16">
        <v>76000</v>
      </c>
      <c r="F50" s="10" t="s">
        <v>1898</v>
      </c>
      <c r="G50" s="10">
        <v>220</v>
      </c>
      <c r="H50" s="11">
        <v>41754</v>
      </c>
      <c r="I50" s="10" t="s">
        <v>950</v>
      </c>
      <c r="J50" s="12" t="str">
        <f>IF(OR(TED[[#This Row],[SITUACAO]]=1,TED[[#This Row],[SITUACAO]]=9,TED[[#This Row],[SITUACAO]]=18),"ATIVO","AFASTADO")</f>
        <v>ATIVO</v>
      </c>
      <c r="K50" s="12">
        <v>1</v>
      </c>
      <c r="R50" s="13"/>
      <c r="V50" s="13"/>
      <c r="Y50" s="13"/>
    </row>
    <row r="51" spans="1:25" x14ac:dyDescent="0.25">
      <c r="A51" s="10">
        <v>12036</v>
      </c>
      <c r="B51" s="9" t="s">
        <v>1019</v>
      </c>
      <c r="C51" s="12" t="str">
        <f>IFERROR(VLOOKUP(TED[[#This Row],[CENTRO]],'CENTRO DE CUSTO'!B:E,4,FALSE)," ")</f>
        <v>ROGÉRIO</v>
      </c>
      <c r="D51" s="12">
        <v>76</v>
      </c>
      <c r="E51" s="16">
        <v>76000</v>
      </c>
      <c r="F51" s="10" t="s">
        <v>1898</v>
      </c>
      <c r="G51" s="10">
        <v>220</v>
      </c>
      <c r="H51" s="11">
        <v>43522</v>
      </c>
      <c r="I51" s="10" t="s">
        <v>950</v>
      </c>
      <c r="J51" s="12" t="str">
        <f>IF(OR(TED[[#This Row],[SITUACAO]]=1,TED[[#This Row],[SITUACAO]]=9,TED[[#This Row],[SITUACAO]]=18),"ATIVO","AFASTADO")</f>
        <v>ATIVO</v>
      </c>
      <c r="K51" s="12">
        <v>1</v>
      </c>
      <c r="R51" s="13"/>
      <c r="V51" s="13"/>
      <c r="Y51" s="13"/>
    </row>
    <row r="52" spans="1:25" x14ac:dyDescent="0.25">
      <c r="A52" s="10">
        <v>37226</v>
      </c>
      <c r="B52" s="9" t="s">
        <v>1022</v>
      </c>
      <c r="C52" s="12" t="str">
        <f>IFERROR(VLOOKUP(TED[[#This Row],[CENTRO]],'CENTRO DE CUSTO'!B:E,4,FALSE)," ")</f>
        <v>ROGÉRIO</v>
      </c>
      <c r="D52" s="12">
        <v>76</v>
      </c>
      <c r="E52" s="16">
        <v>76000</v>
      </c>
      <c r="F52" s="10" t="s">
        <v>1898</v>
      </c>
      <c r="G52" s="10">
        <v>220</v>
      </c>
      <c r="H52" s="11">
        <v>45709</v>
      </c>
      <c r="I52" s="10" t="s">
        <v>950</v>
      </c>
      <c r="J52" s="12" t="str">
        <f>IF(OR(TED[[#This Row],[SITUACAO]]=1,TED[[#This Row],[SITUACAO]]=9,TED[[#This Row],[SITUACAO]]=18),"ATIVO","AFASTADO")</f>
        <v>ATIVO</v>
      </c>
      <c r="K52" s="12">
        <v>1</v>
      </c>
      <c r="R52" s="13"/>
      <c r="V52" s="13"/>
      <c r="Y52" s="13"/>
    </row>
    <row r="53" spans="1:25" x14ac:dyDescent="0.25">
      <c r="A53" s="10">
        <v>40889</v>
      </c>
      <c r="B53" s="9" t="s">
        <v>1042</v>
      </c>
      <c r="C53" s="12" t="str">
        <f>IFERROR(VLOOKUP(TED[[#This Row],[CENTRO]],'CENTRO DE CUSTO'!B:E,4,FALSE)," ")</f>
        <v>ROGÉRIO</v>
      </c>
      <c r="D53" s="12">
        <v>76</v>
      </c>
      <c r="E53" s="16">
        <v>76000</v>
      </c>
      <c r="F53" s="10" t="s">
        <v>1898</v>
      </c>
      <c r="G53" s="10">
        <v>220</v>
      </c>
      <c r="H53" s="11">
        <v>45916</v>
      </c>
      <c r="I53" s="10" t="s">
        <v>950</v>
      </c>
      <c r="J53" s="12" t="str">
        <f>IF(OR(TED[[#This Row],[SITUACAO]]=1,TED[[#This Row],[SITUACAO]]=9,TED[[#This Row],[SITUACAO]]=18),"ATIVO","AFASTADO")</f>
        <v>ATIVO</v>
      </c>
      <c r="K53" s="12">
        <v>1</v>
      </c>
      <c r="R53" s="13"/>
      <c r="V53" s="13"/>
      <c r="Y53" s="13"/>
    </row>
    <row r="54" spans="1:25" x14ac:dyDescent="0.25">
      <c r="A54" s="10">
        <v>12037</v>
      </c>
      <c r="B54" s="9" t="s">
        <v>1026</v>
      </c>
      <c r="C54" s="12" t="str">
        <f>IFERROR(VLOOKUP(TED[[#This Row],[CENTRO]],'CENTRO DE CUSTO'!B:E,4,FALSE)," ")</f>
        <v>ROGÉRIO</v>
      </c>
      <c r="D54" s="12">
        <v>76</v>
      </c>
      <c r="E54" s="16">
        <v>76000</v>
      </c>
      <c r="F54" s="10" t="s">
        <v>1898</v>
      </c>
      <c r="G54" s="10">
        <v>220</v>
      </c>
      <c r="H54" s="11">
        <v>43522</v>
      </c>
      <c r="I54" s="10" t="s">
        <v>950</v>
      </c>
      <c r="J54" s="12" t="str">
        <f>IF(OR(TED[[#This Row],[SITUACAO]]=1,TED[[#This Row],[SITUACAO]]=9,TED[[#This Row],[SITUACAO]]=18),"ATIVO","AFASTADO")</f>
        <v>ATIVO</v>
      </c>
      <c r="K54" s="12">
        <v>1</v>
      </c>
      <c r="R54" s="13"/>
      <c r="V54" s="13"/>
      <c r="Y54" s="13"/>
    </row>
    <row r="55" spans="1:25" x14ac:dyDescent="0.25">
      <c r="A55" s="10">
        <v>18786</v>
      </c>
      <c r="B55" s="9" t="s">
        <v>1017</v>
      </c>
      <c r="C55" s="12" t="str">
        <f>IFERROR(VLOOKUP(TED[[#This Row],[CENTRO]],'CENTRO DE CUSTO'!B:E,4,FALSE)," ")</f>
        <v>ROGÉRIO</v>
      </c>
      <c r="D55" s="12">
        <v>76</v>
      </c>
      <c r="E55" s="16">
        <v>76000</v>
      </c>
      <c r="F55" s="10" t="s">
        <v>1898</v>
      </c>
      <c r="G55" s="10">
        <v>220</v>
      </c>
      <c r="H55" s="11">
        <v>44585</v>
      </c>
      <c r="I55" s="10" t="s">
        <v>950</v>
      </c>
      <c r="J55" s="12" t="str">
        <f>IF(OR(TED[[#This Row],[SITUACAO]]=1,TED[[#This Row],[SITUACAO]]=9,TED[[#This Row],[SITUACAO]]=18),"ATIVO","AFASTADO")</f>
        <v>ATIVO</v>
      </c>
      <c r="K55" s="12">
        <v>1</v>
      </c>
      <c r="R55" s="13"/>
      <c r="V55" s="13"/>
      <c r="Y55" s="13"/>
    </row>
    <row r="56" spans="1:25" x14ac:dyDescent="0.25">
      <c r="A56" s="10">
        <v>33962</v>
      </c>
      <c r="B56" s="9" t="s">
        <v>1016</v>
      </c>
      <c r="C56" s="12" t="str">
        <f>IFERROR(VLOOKUP(TED[[#This Row],[CENTRO]],'CENTRO DE CUSTO'!B:E,4,FALSE)," ")</f>
        <v>ROGÉRIO</v>
      </c>
      <c r="D56" s="12">
        <v>76</v>
      </c>
      <c r="E56" s="16">
        <v>76000</v>
      </c>
      <c r="F56" s="10" t="s">
        <v>1898</v>
      </c>
      <c r="G56" s="10">
        <v>220</v>
      </c>
      <c r="H56" s="11">
        <v>45556</v>
      </c>
      <c r="I56" s="10" t="s">
        <v>934</v>
      </c>
      <c r="J56" s="12" t="str">
        <f>IF(OR(TED[[#This Row],[SITUACAO]]=1,TED[[#This Row],[SITUACAO]]=9,TED[[#This Row],[SITUACAO]]=18),"ATIVO","AFASTADO")</f>
        <v>ATIVO</v>
      </c>
      <c r="K56" s="12">
        <v>9</v>
      </c>
      <c r="R56" s="13"/>
      <c r="V56" s="13"/>
      <c r="Y56" s="13"/>
    </row>
    <row r="57" spans="1:25" x14ac:dyDescent="0.25">
      <c r="A57" s="10">
        <v>20812</v>
      </c>
      <c r="B57" s="9" t="s">
        <v>1052</v>
      </c>
      <c r="C57" s="12" t="str">
        <f>IFERROR(VLOOKUP(TED[[#This Row],[CENTRO]],'CENTRO DE CUSTO'!B:E,4,FALSE)," ")</f>
        <v>ROGÉRIO</v>
      </c>
      <c r="D57" s="12">
        <v>76</v>
      </c>
      <c r="E57" s="16">
        <v>76001</v>
      </c>
      <c r="F57" s="10" t="s">
        <v>1899</v>
      </c>
      <c r="G57" s="10">
        <v>220</v>
      </c>
      <c r="H57" s="11">
        <v>44652</v>
      </c>
      <c r="I57" s="10" t="s">
        <v>958</v>
      </c>
      <c r="J57" s="12" t="str">
        <f>IF(OR(TED[[#This Row],[SITUACAO]]=1,TED[[#This Row],[SITUACAO]]=9,TED[[#This Row],[SITUACAO]]=18),"ATIVO","AFASTADO")</f>
        <v>ATIVO</v>
      </c>
      <c r="K57" s="12">
        <v>1</v>
      </c>
      <c r="R57" s="13"/>
      <c r="V57" s="13"/>
      <c r="Y57" s="13"/>
    </row>
    <row r="58" spans="1:25" x14ac:dyDescent="0.25">
      <c r="A58" s="10">
        <v>7735</v>
      </c>
      <c r="B58" s="9" t="s">
        <v>1028</v>
      </c>
      <c r="C58" s="12" t="str">
        <f>IFERROR(VLOOKUP(TED[[#This Row],[CENTRO]],'CENTRO DE CUSTO'!B:E,4,FALSE)," ")</f>
        <v>ROGÉRIO</v>
      </c>
      <c r="D58" s="12">
        <v>76</v>
      </c>
      <c r="E58" s="16">
        <v>76000</v>
      </c>
      <c r="F58" s="10" t="s">
        <v>1898</v>
      </c>
      <c r="G58" s="10">
        <v>220</v>
      </c>
      <c r="H58" s="11">
        <v>42485</v>
      </c>
      <c r="I58" s="10" t="s">
        <v>612</v>
      </c>
      <c r="J58" s="12" t="str">
        <f>IF(OR(TED[[#This Row],[SITUACAO]]=1,TED[[#This Row],[SITUACAO]]=9,TED[[#This Row],[SITUACAO]]=18),"ATIVO","AFASTADO")</f>
        <v>ATIVO</v>
      </c>
      <c r="K58" s="12">
        <v>1</v>
      </c>
      <c r="R58" s="13"/>
      <c r="V58" s="13"/>
      <c r="Y58" s="13"/>
    </row>
    <row r="59" spans="1:25" x14ac:dyDescent="0.25">
      <c r="A59" s="10">
        <v>39195</v>
      </c>
      <c r="B59" s="9" t="s">
        <v>951</v>
      </c>
      <c r="C59" s="12" t="str">
        <f>IFERROR(VLOOKUP(TED[[#This Row],[CENTRO]],'CENTRO DE CUSTO'!B:E,4,FALSE)," ")</f>
        <v>ROGÉRIO</v>
      </c>
      <c r="D59" s="12">
        <v>76</v>
      </c>
      <c r="E59" s="16">
        <v>76000</v>
      </c>
      <c r="F59" s="10" t="s">
        <v>1898</v>
      </c>
      <c r="G59" s="10">
        <v>220</v>
      </c>
      <c r="H59" s="11">
        <v>45832</v>
      </c>
      <c r="I59" s="10" t="s">
        <v>950</v>
      </c>
      <c r="J59" s="12" t="str">
        <f>IF(OR(TED[[#This Row],[SITUACAO]]=1,TED[[#This Row],[SITUACAO]]=9,TED[[#This Row],[SITUACAO]]=18),"ATIVO","AFASTADO")</f>
        <v>ATIVO</v>
      </c>
      <c r="K59" s="12">
        <v>1</v>
      </c>
      <c r="R59" s="13"/>
      <c r="V59" s="13"/>
      <c r="Y59" s="13"/>
    </row>
    <row r="60" spans="1:25" x14ac:dyDescent="0.25">
      <c r="A60" s="10">
        <v>43008</v>
      </c>
      <c r="B60" s="9" t="s">
        <v>1038</v>
      </c>
      <c r="C60" s="12" t="str">
        <f>IFERROR(VLOOKUP(TED[[#This Row],[CENTRO]],'CENTRO DE CUSTO'!B:E,4,FALSE)," ")</f>
        <v>ROGÉRIO</v>
      </c>
      <c r="D60" s="12">
        <v>76</v>
      </c>
      <c r="E60" s="16">
        <v>76000</v>
      </c>
      <c r="F60" s="10" t="s">
        <v>1898</v>
      </c>
      <c r="G60" s="10">
        <v>220</v>
      </c>
      <c r="H60" s="11">
        <v>45997</v>
      </c>
      <c r="I60" s="10" t="s">
        <v>950</v>
      </c>
      <c r="J60" s="12" t="str">
        <f>IF(OR(TED[[#This Row],[SITUACAO]]=1,TED[[#This Row],[SITUACAO]]=9,TED[[#This Row],[SITUACAO]]=18),"ATIVO","AFASTADO")</f>
        <v>ATIVO</v>
      </c>
      <c r="K60" s="12">
        <v>1</v>
      </c>
      <c r="R60" s="13"/>
      <c r="V60" s="13"/>
      <c r="Y60" s="13"/>
    </row>
    <row r="61" spans="1:25" x14ac:dyDescent="0.25">
      <c r="A61" s="10">
        <v>9590</v>
      </c>
      <c r="B61" s="9" t="s">
        <v>1035</v>
      </c>
      <c r="C61" s="12" t="str">
        <f>IFERROR(VLOOKUP(TED[[#This Row],[CENTRO]],'CENTRO DE CUSTO'!B:E,4,FALSE)," ")</f>
        <v>ROGÉRIO</v>
      </c>
      <c r="D61" s="12">
        <v>76</v>
      </c>
      <c r="E61" s="16">
        <v>76000</v>
      </c>
      <c r="F61" s="10" t="s">
        <v>1898</v>
      </c>
      <c r="G61" s="10">
        <v>220</v>
      </c>
      <c r="H61" s="11">
        <v>43024</v>
      </c>
      <c r="I61" s="10" t="s">
        <v>950</v>
      </c>
      <c r="J61" s="12" t="str">
        <f>IF(OR(TED[[#This Row],[SITUACAO]]=1,TED[[#This Row],[SITUACAO]]=9,TED[[#This Row],[SITUACAO]]=18),"ATIVO","AFASTADO")</f>
        <v>ATIVO</v>
      </c>
      <c r="K61" s="12">
        <v>9</v>
      </c>
      <c r="R61" s="13"/>
      <c r="V61" s="13"/>
      <c r="Y61" s="13"/>
    </row>
    <row r="62" spans="1:25" x14ac:dyDescent="0.25">
      <c r="A62" s="10">
        <v>6029</v>
      </c>
      <c r="B62" s="9" t="s">
        <v>1046</v>
      </c>
      <c r="C62" s="12" t="str">
        <f>IFERROR(VLOOKUP(TED[[#This Row],[CENTRO]],'CENTRO DE CUSTO'!B:E,4,FALSE)," ")</f>
        <v>ROGÉRIO</v>
      </c>
      <c r="D62" s="12">
        <v>76</v>
      </c>
      <c r="E62" s="16">
        <v>76000</v>
      </c>
      <c r="F62" s="10" t="s">
        <v>1898</v>
      </c>
      <c r="G62" s="10">
        <v>220</v>
      </c>
      <c r="H62" s="11">
        <v>42229</v>
      </c>
      <c r="I62" s="10" t="s">
        <v>950</v>
      </c>
      <c r="J62" s="12" t="str">
        <f>IF(OR(TED[[#This Row],[SITUACAO]]=1,TED[[#This Row],[SITUACAO]]=9,TED[[#This Row],[SITUACAO]]=18),"ATIVO","AFASTADO")</f>
        <v>ATIVO</v>
      </c>
      <c r="K62" s="12">
        <v>9</v>
      </c>
      <c r="R62" s="13"/>
      <c r="V62" s="13"/>
      <c r="Y62" s="13"/>
    </row>
    <row r="63" spans="1:25" x14ac:dyDescent="0.25">
      <c r="A63" s="10">
        <v>8357</v>
      </c>
      <c r="B63" s="9" t="s">
        <v>1033</v>
      </c>
      <c r="C63" s="12" t="str">
        <f>IFERROR(VLOOKUP(TED[[#This Row],[CENTRO]],'CENTRO DE CUSTO'!B:E,4,FALSE)," ")</f>
        <v>ROGÉRIO</v>
      </c>
      <c r="D63" s="12">
        <v>76</v>
      </c>
      <c r="E63" s="16">
        <v>76000</v>
      </c>
      <c r="F63" s="10" t="s">
        <v>1898</v>
      </c>
      <c r="G63" s="10">
        <v>220</v>
      </c>
      <c r="H63" s="11">
        <v>42720</v>
      </c>
      <c r="I63" s="10" t="s">
        <v>950</v>
      </c>
      <c r="J63" s="12" t="str">
        <f>IF(OR(TED[[#This Row],[SITUACAO]]=1,TED[[#This Row],[SITUACAO]]=9,TED[[#This Row],[SITUACAO]]=18),"ATIVO","AFASTADO")</f>
        <v>ATIVO</v>
      </c>
      <c r="K63" s="12">
        <v>1</v>
      </c>
      <c r="R63" s="13"/>
      <c r="V63" s="13"/>
      <c r="Y63" s="13"/>
    </row>
    <row r="64" spans="1:25" x14ac:dyDescent="0.25">
      <c r="A64" s="10">
        <v>15674</v>
      </c>
      <c r="B64" s="9" t="s">
        <v>1047</v>
      </c>
      <c r="C64" s="12" t="str">
        <f>IFERROR(VLOOKUP(TED[[#This Row],[CENTRO]],'CENTRO DE CUSTO'!B:E,4,FALSE)," ")</f>
        <v>ROGÉRIO</v>
      </c>
      <c r="D64" s="12">
        <v>76</v>
      </c>
      <c r="E64" s="16">
        <v>76000</v>
      </c>
      <c r="F64" s="10" t="s">
        <v>1898</v>
      </c>
      <c r="G64" s="10">
        <v>220</v>
      </c>
      <c r="H64" s="11">
        <v>44250</v>
      </c>
      <c r="I64" s="10" t="s">
        <v>950</v>
      </c>
      <c r="J64" s="12" t="str">
        <f>IF(OR(TED[[#This Row],[SITUACAO]]=1,TED[[#This Row],[SITUACAO]]=9,TED[[#This Row],[SITUACAO]]=18),"ATIVO","AFASTADO")</f>
        <v>ATIVO</v>
      </c>
      <c r="K64" s="12">
        <v>1</v>
      </c>
      <c r="R64" s="13"/>
      <c r="V64" s="13"/>
      <c r="Y64" s="13"/>
    </row>
    <row r="65" spans="1:25" x14ac:dyDescent="0.25">
      <c r="A65" s="10">
        <v>4254</v>
      </c>
      <c r="B65" s="9" t="s">
        <v>1025</v>
      </c>
      <c r="C65" s="12" t="str">
        <f>IFERROR(VLOOKUP(TED[[#This Row],[CENTRO]],'CENTRO DE CUSTO'!B:E,4,FALSE)," ")</f>
        <v>ROGÉRIO</v>
      </c>
      <c r="D65" s="12">
        <v>76</v>
      </c>
      <c r="E65" s="16">
        <v>76000</v>
      </c>
      <c r="F65" s="10" t="s">
        <v>1898</v>
      </c>
      <c r="G65" s="10">
        <v>220</v>
      </c>
      <c r="H65" s="11">
        <v>41801</v>
      </c>
      <c r="I65" s="10" t="s">
        <v>950</v>
      </c>
      <c r="J65" s="12" t="str">
        <f>IF(OR(TED[[#This Row],[SITUACAO]]=1,TED[[#This Row],[SITUACAO]]=9,TED[[#This Row],[SITUACAO]]=18),"ATIVO","AFASTADO")</f>
        <v>ATIVO</v>
      </c>
      <c r="K65" s="12">
        <v>1</v>
      </c>
      <c r="R65" s="13"/>
      <c r="V65" s="13"/>
      <c r="Y65" s="13"/>
    </row>
    <row r="66" spans="1:25" x14ac:dyDescent="0.25">
      <c r="A66" s="10">
        <v>38959</v>
      </c>
      <c r="B66" s="9" t="s">
        <v>1043</v>
      </c>
      <c r="C66" s="12" t="str">
        <f>IFERROR(VLOOKUP(TED[[#This Row],[CENTRO]],'CENTRO DE CUSTO'!B:E,4,FALSE)," ")</f>
        <v>ROGÉRIO</v>
      </c>
      <c r="D66" s="12">
        <v>76</v>
      </c>
      <c r="E66" s="16">
        <v>76000</v>
      </c>
      <c r="F66" s="10" t="s">
        <v>1898</v>
      </c>
      <c r="G66" s="10">
        <v>220</v>
      </c>
      <c r="H66" s="11">
        <v>45810</v>
      </c>
      <c r="I66" s="10" t="s">
        <v>950</v>
      </c>
      <c r="J66" s="12" t="str">
        <f>IF(OR(TED[[#This Row],[SITUACAO]]=1,TED[[#This Row],[SITUACAO]]=9,TED[[#This Row],[SITUACAO]]=18),"ATIVO","AFASTADO")</f>
        <v>ATIVO</v>
      </c>
      <c r="K66" s="12">
        <v>9</v>
      </c>
      <c r="R66" s="13"/>
      <c r="V66" s="13"/>
      <c r="Y66" s="13"/>
    </row>
    <row r="67" spans="1:25" x14ac:dyDescent="0.25">
      <c r="A67" s="10">
        <v>6169</v>
      </c>
      <c r="B67" s="9" t="s">
        <v>1031</v>
      </c>
      <c r="C67" s="12" t="str">
        <f>IFERROR(VLOOKUP(TED[[#This Row],[CENTRO]],'CENTRO DE CUSTO'!B:E,4,FALSE)," ")</f>
        <v>ROGÉRIO</v>
      </c>
      <c r="D67" s="12">
        <v>76</v>
      </c>
      <c r="E67" s="16">
        <v>76000</v>
      </c>
      <c r="F67" s="10" t="s">
        <v>1898</v>
      </c>
      <c r="G67" s="10">
        <v>220</v>
      </c>
      <c r="H67" s="11">
        <v>42268</v>
      </c>
      <c r="I67" s="10" t="s">
        <v>950</v>
      </c>
      <c r="J67" s="12" t="str">
        <f>IF(OR(TED[[#This Row],[SITUACAO]]=1,TED[[#This Row],[SITUACAO]]=9,TED[[#This Row],[SITUACAO]]=18),"ATIVO","AFASTADO")</f>
        <v>ATIVO</v>
      </c>
      <c r="K67" s="12">
        <v>1</v>
      </c>
      <c r="R67" s="13"/>
      <c r="V67" s="13"/>
      <c r="Y67" s="13"/>
    </row>
    <row r="68" spans="1:25" x14ac:dyDescent="0.25">
      <c r="A68" s="10">
        <v>20666</v>
      </c>
      <c r="B68" s="9" t="s">
        <v>121</v>
      </c>
      <c r="C68" s="12" t="str">
        <f>IFERROR(VLOOKUP(TED[[#This Row],[CENTRO]],'CENTRO DE CUSTO'!B:E,4,FALSE)," ")</f>
        <v>S/ SUPERVISOR</v>
      </c>
      <c r="D68" s="12">
        <v>87</v>
      </c>
      <c r="E68" s="16">
        <v>87036</v>
      </c>
      <c r="F68" s="10" t="s">
        <v>112</v>
      </c>
      <c r="G68" s="10">
        <v>220</v>
      </c>
      <c r="H68" s="11">
        <v>44631</v>
      </c>
      <c r="I68" s="10" t="s">
        <v>21</v>
      </c>
      <c r="J68" s="12" t="str">
        <f>IF(OR(TED[[#This Row],[SITUACAO]]=1,TED[[#This Row],[SITUACAO]]=9,TED[[#This Row],[SITUACAO]]=18),"ATIVO","AFASTADO")</f>
        <v>AFASTADO</v>
      </c>
      <c r="K68" s="12">
        <v>12</v>
      </c>
      <c r="R68" s="13"/>
      <c r="V68" s="13"/>
      <c r="Y68" s="13"/>
    </row>
    <row r="69" spans="1:25" x14ac:dyDescent="0.25">
      <c r="A69" s="10">
        <v>46051</v>
      </c>
      <c r="B69" s="9" t="s">
        <v>2319</v>
      </c>
      <c r="C69" s="12" t="str">
        <f>IFERROR(VLOOKUP(TED[[#This Row],[CENTRO]],'CENTRO DE CUSTO'!B:E,4,FALSE)," ")</f>
        <v>JOÃO CLEMENTONI</v>
      </c>
      <c r="D69" s="12">
        <v>87</v>
      </c>
      <c r="E69" s="16">
        <v>87080</v>
      </c>
      <c r="F69" s="10" t="s">
        <v>347</v>
      </c>
      <c r="G69" s="10">
        <v>220</v>
      </c>
      <c r="H69" s="11">
        <v>46181</v>
      </c>
      <c r="I69" s="10" t="s">
        <v>1</v>
      </c>
      <c r="J69" s="12" t="str">
        <f>IF(OR(TED[[#This Row],[SITUACAO]]=1,TED[[#This Row],[SITUACAO]]=9,TED[[#This Row],[SITUACAO]]=18),"ATIVO","AFASTADO")</f>
        <v>ATIVO</v>
      </c>
      <c r="K69" s="12">
        <v>1</v>
      </c>
      <c r="R69" s="13"/>
      <c r="V69" s="13"/>
      <c r="Y69" s="13"/>
    </row>
    <row r="70" spans="1:25" x14ac:dyDescent="0.25">
      <c r="A70" s="10">
        <v>30066</v>
      </c>
      <c r="B70" s="9" t="s">
        <v>497</v>
      </c>
      <c r="C70" s="12" t="str">
        <f>IFERROR(VLOOKUP(TED[[#This Row],[CENTRO]],'CENTRO DE CUSTO'!B:E,4,FALSE)," ")</f>
        <v>VANDERSON</v>
      </c>
      <c r="D70" s="12">
        <v>87</v>
      </c>
      <c r="E70" s="16">
        <v>87109</v>
      </c>
      <c r="F70" s="10" t="s">
        <v>496</v>
      </c>
      <c r="G70" s="10">
        <v>220</v>
      </c>
      <c r="H70" s="11">
        <v>45323</v>
      </c>
      <c r="I70" s="10" t="s">
        <v>21</v>
      </c>
      <c r="J70" s="12" t="str">
        <f>IF(OR(TED[[#This Row],[SITUACAO]]=1,TED[[#This Row],[SITUACAO]]=9,TED[[#This Row],[SITUACAO]]=18),"ATIVO","AFASTADO")</f>
        <v>ATIVO</v>
      </c>
      <c r="K70" s="12">
        <v>1</v>
      </c>
      <c r="R70" s="13"/>
      <c r="V70" s="13"/>
      <c r="Y70" s="13"/>
    </row>
    <row r="71" spans="1:25" x14ac:dyDescent="0.25">
      <c r="A71" s="10">
        <v>29806</v>
      </c>
      <c r="B71" s="9" t="s">
        <v>633</v>
      </c>
      <c r="C71" s="12" t="str">
        <f>IFERROR(VLOOKUP(TED[[#This Row],[CENTRO]],'CENTRO DE CUSTO'!B:E,4,FALSE)," ")</f>
        <v>DÉBORA GOBETTI</v>
      </c>
      <c r="D71" s="12">
        <v>87</v>
      </c>
      <c r="E71" s="16">
        <v>87026</v>
      </c>
      <c r="F71" s="10" t="s">
        <v>76</v>
      </c>
      <c r="G71" s="10">
        <v>220</v>
      </c>
      <c r="H71" s="11">
        <v>45313</v>
      </c>
      <c r="I71" s="10" t="s">
        <v>21</v>
      </c>
      <c r="J71" s="12" t="str">
        <f>IF(OR(TED[[#This Row],[SITUACAO]]=1,TED[[#This Row],[SITUACAO]]=9,TED[[#This Row],[SITUACAO]]=18),"ATIVO","AFASTADO")</f>
        <v>ATIVO</v>
      </c>
      <c r="K71" s="12">
        <v>1</v>
      </c>
      <c r="R71" s="13"/>
      <c r="V71" s="13"/>
      <c r="Y71" s="13"/>
    </row>
    <row r="72" spans="1:25" x14ac:dyDescent="0.25">
      <c r="A72" s="10">
        <v>20279</v>
      </c>
      <c r="B72" s="9" t="s">
        <v>90</v>
      </c>
      <c r="C72" s="12" t="str">
        <f>IFERROR(VLOOKUP(TED[[#This Row],[CENTRO]],'CENTRO DE CUSTO'!B:E,4,FALSE)," ")</f>
        <v>S/ SUPERVISOR</v>
      </c>
      <c r="D72" s="12">
        <v>87</v>
      </c>
      <c r="E72" s="16">
        <v>87030</v>
      </c>
      <c r="F72" s="10" t="s">
        <v>88</v>
      </c>
      <c r="G72" s="10">
        <v>220</v>
      </c>
      <c r="H72" s="11">
        <v>44599</v>
      </c>
      <c r="I72" s="10" t="s">
        <v>21</v>
      </c>
      <c r="J72" s="12" t="str">
        <f>IF(OR(TED[[#This Row],[SITUACAO]]=1,TED[[#This Row],[SITUACAO]]=9,TED[[#This Row],[SITUACAO]]=18),"ATIVO","AFASTADO")</f>
        <v>ATIVO</v>
      </c>
      <c r="K72" s="12">
        <v>1</v>
      </c>
      <c r="R72" s="13"/>
      <c r="V72" s="13"/>
      <c r="Y72" s="13"/>
    </row>
    <row r="73" spans="1:25" x14ac:dyDescent="0.25">
      <c r="A73" s="10">
        <v>32075</v>
      </c>
      <c r="B73" s="9" t="s">
        <v>96</v>
      </c>
      <c r="C73" s="12" t="str">
        <f>IFERROR(VLOOKUP(TED[[#This Row],[CENTRO]],'CENTRO DE CUSTO'!B:E,4,FALSE)," ")</f>
        <v>VANDERSON</v>
      </c>
      <c r="D73" s="12">
        <v>87</v>
      </c>
      <c r="E73" s="16">
        <v>87031</v>
      </c>
      <c r="F73" s="10" t="s">
        <v>94</v>
      </c>
      <c r="G73" s="10">
        <v>220</v>
      </c>
      <c r="H73" s="11">
        <v>45392</v>
      </c>
      <c r="I73" s="10" t="s">
        <v>21</v>
      </c>
      <c r="J73" s="12" t="str">
        <f>IF(OR(TED[[#This Row],[SITUACAO]]=1,TED[[#This Row],[SITUACAO]]=9,TED[[#This Row],[SITUACAO]]=18),"ATIVO","AFASTADO")</f>
        <v>ATIVO</v>
      </c>
      <c r="K73" s="12">
        <v>1</v>
      </c>
      <c r="R73" s="13"/>
      <c r="V73" s="13"/>
      <c r="Y73" s="13"/>
    </row>
    <row r="74" spans="1:25" x14ac:dyDescent="0.25">
      <c r="A74" s="10">
        <v>10767</v>
      </c>
      <c r="B74" s="9" t="s">
        <v>306</v>
      </c>
      <c r="C74" s="12" t="str">
        <f>IFERROR(VLOOKUP(TED[[#This Row],[CENTRO]],'CENTRO DE CUSTO'!B:E,4,FALSE)," ")</f>
        <v>CARLOS FABRI</v>
      </c>
      <c r="D74" s="12">
        <v>87</v>
      </c>
      <c r="E74" s="16">
        <v>87072</v>
      </c>
      <c r="F74" s="10" t="s">
        <v>304</v>
      </c>
      <c r="G74" s="10">
        <v>220</v>
      </c>
      <c r="H74" s="11">
        <v>43255</v>
      </c>
      <c r="I74" s="10" t="s">
        <v>1</v>
      </c>
      <c r="J74" s="12" t="str">
        <f>IF(OR(TED[[#This Row],[SITUACAO]]=1,TED[[#This Row],[SITUACAO]]=9,TED[[#This Row],[SITUACAO]]=18),"ATIVO","AFASTADO")</f>
        <v>ATIVO</v>
      </c>
      <c r="K74" s="12">
        <v>1</v>
      </c>
      <c r="R74" s="13"/>
      <c r="V74" s="13"/>
      <c r="Y74" s="13"/>
    </row>
    <row r="75" spans="1:25" x14ac:dyDescent="0.25">
      <c r="A75" s="10">
        <v>5551</v>
      </c>
      <c r="B75" s="9" t="s">
        <v>264</v>
      </c>
      <c r="C75" s="12" t="str">
        <f>IFERROR(VLOOKUP(TED[[#This Row],[CENTRO]],'CENTRO DE CUSTO'!B:E,4,FALSE)," ")</f>
        <v>VANDERSON</v>
      </c>
      <c r="D75" s="12">
        <v>87</v>
      </c>
      <c r="E75" s="16">
        <v>87064</v>
      </c>
      <c r="F75" s="10" t="s">
        <v>263</v>
      </c>
      <c r="G75" s="10">
        <v>220</v>
      </c>
      <c r="H75" s="11">
        <v>42156</v>
      </c>
      <c r="I75" s="10" t="s">
        <v>1</v>
      </c>
      <c r="J75" s="12" t="str">
        <f>IF(OR(TED[[#This Row],[SITUACAO]]=1,TED[[#This Row],[SITUACAO]]=9,TED[[#This Row],[SITUACAO]]=18),"ATIVO","AFASTADO")</f>
        <v>AFASTADO</v>
      </c>
      <c r="K75" s="12">
        <v>12</v>
      </c>
      <c r="R75" s="13"/>
      <c r="V75" s="13"/>
      <c r="Y75" s="13"/>
    </row>
    <row r="76" spans="1:25" x14ac:dyDescent="0.25">
      <c r="A76" s="10">
        <v>31492</v>
      </c>
      <c r="B76" s="9" t="s">
        <v>68</v>
      </c>
      <c r="C76" s="12" t="str">
        <f>IFERROR(VLOOKUP(TED[[#This Row],[CENTRO]],'CENTRO DE CUSTO'!B:E,4,FALSE)," ")</f>
        <v>S/ SUPERVISOR</v>
      </c>
      <c r="D76" s="12">
        <v>87</v>
      </c>
      <c r="E76" s="16">
        <v>87023</v>
      </c>
      <c r="F76" s="10" t="s">
        <v>65</v>
      </c>
      <c r="G76" s="10">
        <v>220</v>
      </c>
      <c r="H76" s="11">
        <v>45358</v>
      </c>
      <c r="I76" s="10" t="s">
        <v>1</v>
      </c>
      <c r="J76" s="12" t="str">
        <f>IF(OR(TED[[#This Row],[SITUACAO]]=1,TED[[#This Row],[SITUACAO]]=9,TED[[#This Row],[SITUACAO]]=18),"ATIVO","AFASTADO")</f>
        <v>ATIVO</v>
      </c>
      <c r="K76" s="12">
        <v>1</v>
      </c>
      <c r="R76" s="13"/>
      <c r="V76" s="13"/>
      <c r="Y76" s="13"/>
    </row>
    <row r="77" spans="1:25" x14ac:dyDescent="0.25">
      <c r="A77" s="10">
        <v>14805</v>
      </c>
      <c r="B77" s="9" t="s">
        <v>440</v>
      </c>
      <c r="C77" s="12" t="str">
        <f>IFERROR(VLOOKUP(TED[[#This Row],[CENTRO]],'CENTRO DE CUSTO'!B:E,4,FALSE)," ")</f>
        <v>CARLOS FABRI</v>
      </c>
      <c r="D77" s="12">
        <v>87</v>
      </c>
      <c r="E77" s="16">
        <v>87098</v>
      </c>
      <c r="F77" s="10" t="s">
        <v>435</v>
      </c>
      <c r="G77" s="10">
        <v>220</v>
      </c>
      <c r="H77" s="11">
        <v>44118</v>
      </c>
      <c r="I77" s="10" t="s">
        <v>1</v>
      </c>
      <c r="J77" s="12" t="str">
        <f>IF(OR(TED[[#This Row],[SITUACAO]]=1,TED[[#This Row],[SITUACAO]]=9,TED[[#This Row],[SITUACAO]]=18),"ATIVO","AFASTADO")</f>
        <v>ATIVO</v>
      </c>
      <c r="K77" s="12">
        <v>1</v>
      </c>
      <c r="R77" s="13"/>
      <c r="V77" s="13"/>
      <c r="Y77" s="13"/>
    </row>
    <row r="78" spans="1:25" x14ac:dyDescent="0.25">
      <c r="A78" s="10">
        <v>16415</v>
      </c>
      <c r="B78" s="9" t="s">
        <v>568</v>
      </c>
      <c r="C78" s="12" t="str">
        <f>IFERROR(VLOOKUP(TED[[#This Row],[CENTRO]],'CENTRO DE CUSTO'!B:E,4,FALSE)," ")</f>
        <v>CARLOS FABRI</v>
      </c>
      <c r="D78" s="12">
        <v>87</v>
      </c>
      <c r="E78" s="16">
        <v>87123</v>
      </c>
      <c r="F78" s="10" t="s">
        <v>563</v>
      </c>
      <c r="G78" s="10">
        <v>150</v>
      </c>
      <c r="H78" s="11">
        <v>44349</v>
      </c>
      <c r="I78" s="10" t="s">
        <v>1</v>
      </c>
      <c r="J78" s="12" t="str">
        <f>IF(OR(TED[[#This Row],[SITUACAO]]=1,TED[[#This Row],[SITUACAO]]=9,TED[[#This Row],[SITUACAO]]=18),"ATIVO","AFASTADO")</f>
        <v>ATIVO</v>
      </c>
      <c r="K78" s="12">
        <v>1</v>
      </c>
      <c r="R78" s="13"/>
      <c r="V78" s="13"/>
      <c r="Y78" s="13"/>
    </row>
    <row r="79" spans="1:25" x14ac:dyDescent="0.25">
      <c r="A79" s="10">
        <v>12049</v>
      </c>
      <c r="B79" s="9" t="s">
        <v>464</v>
      </c>
      <c r="C79" s="12" t="str">
        <f>IFERROR(VLOOKUP(TED[[#This Row],[CENTRO]],'CENTRO DE CUSTO'!B:E,4,FALSE)," ")</f>
        <v>S/ SUPERVISOR</v>
      </c>
      <c r="D79" s="12">
        <v>87</v>
      </c>
      <c r="E79" s="16">
        <v>87103</v>
      </c>
      <c r="F79" s="10" t="s">
        <v>459</v>
      </c>
      <c r="G79" s="10">
        <v>220</v>
      </c>
      <c r="H79" s="11">
        <v>43500</v>
      </c>
      <c r="I79" s="10" t="s">
        <v>21</v>
      </c>
      <c r="J79" s="12" t="str">
        <f>IF(OR(TED[[#This Row],[SITUACAO]]=1,TED[[#This Row],[SITUACAO]]=9,TED[[#This Row],[SITUACAO]]=18),"ATIVO","AFASTADO")</f>
        <v>ATIVO</v>
      </c>
      <c r="K79" s="12">
        <v>1</v>
      </c>
      <c r="R79" s="13"/>
      <c r="V79" s="13"/>
      <c r="Y79" s="13"/>
    </row>
    <row r="80" spans="1:25" x14ac:dyDescent="0.25">
      <c r="A80" s="10">
        <v>8557</v>
      </c>
      <c r="B80" s="9" t="s">
        <v>420</v>
      </c>
      <c r="C80" s="12" t="str">
        <f>IFERROR(VLOOKUP(TED[[#This Row],[CENTRO]],'CENTRO DE CUSTO'!B:E,4,FALSE)," ")</f>
        <v>JOÃO CLEMENTONI</v>
      </c>
      <c r="D80" s="12">
        <v>87</v>
      </c>
      <c r="E80" s="16">
        <v>87095</v>
      </c>
      <c r="F80" s="10" t="s">
        <v>421</v>
      </c>
      <c r="G80" s="10">
        <v>220</v>
      </c>
      <c r="H80" s="11">
        <v>42758</v>
      </c>
      <c r="I80" s="10" t="s">
        <v>1</v>
      </c>
      <c r="J80" s="12" t="str">
        <f>IF(OR(TED[[#This Row],[SITUACAO]]=1,TED[[#This Row],[SITUACAO]]=9,TED[[#This Row],[SITUACAO]]=18),"ATIVO","AFASTADO")</f>
        <v>ATIVO</v>
      </c>
      <c r="K80" s="12">
        <v>1</v>
      </c>
      <c r="R80" s="13"/>
      <c r="V80" s="13"/>
      <c r="Y80" s="13"/>
    </row>
    <row r="81" spans="1:25" x14ac:dyDescent="0.25">
      <c r="A81" s="10">
        <v>7830</v>
      </c>
      <c r="B81" s="9" t="s">
        <v>152</v>
      </c>
      <c r="C81" s="12" t="str">
        <f>IFERROR(VLOOKUP(TED[[#This Row],[CENTRO]],'CENTRO DE CUSTO'!B:E,4,FALSE)," ")</f>
        <v>JOÃO CLEMENTONI</v>
      </c>
      <c r="D81" s="12">
        <v>87</v>
      </c>
      <c r="E81" s="16">
        <v>87042</v>
      </c>
      <c r="F81" s="10" t="s">
        <v>151</v>
      </c>
      <c r="G81" s="10">
        <v>220</v>
      </c>
      <c r="H81" s="11">
        <v>42558</v>
      </c>
      <c r="I81" s="10" t="s">
        <v>1</v>
      </c>
      <c r="J81" s="12" t="str">
        <f>IF(OR(TED[[#This Row],[SITUACAO]]=1,TED[[#This Row],[SITUACAO]]=9,TED[[#This Row],[SITUACAO]]=18),"ATIVO","AFASTADO")</f>
        <v>ATIVO</v>
      </c>
      <c r="K81" s="12">
        <v>1</v>
      </c>
      <c r="R81" s="13"/>
      <c r="V81" s="13"/>
      <c r="Y81" s="13"/>
    </row>
    <row r="82" spans="1:25" x14ac:dyDescent="0.25">
      <c r="A82" s="10">
        <v>38905</v>
      </c>
      <c r="B82" s="9" t="s">
        <v>8</v>
      </c>
      <c r="C82" s="12" t="str">
        <f>IFERROR(VLOOKUP(TED[[#This Row],[CENTRO]],'CENTRO DE CUSTO'!B:E,4,FALSE)," ")</f>
        <v>JOÃO CLEMENTONI</v>
      </c>
      <c r="D82" s="12">
        <v>87</v>
      </c>
      <c r="E82" s="16">
        <v>87006</v>
      </c>
      <c r="F82" s="10" t="s">
        <v>9</v>
      </c>
      <c r="G82" s="10">
        <v>220</v>
      </c>
      <c r="H82" s="11">
        <v>45804</v>
      </c>
      <c r="I82" s="10" t="s">
        <v>1</v>
      </c>
      <c r="J82" s="12" t="str">
        <f>IF(OR(TED[[#This Row],[SITUACAO]]=1,TED[[#This Row],[SITUACAO]]=9,TED[[#This Row],[SITUACAO]]=18),"ATIVO","AFASTADO")</f>
        <v>ATIVO</v>
      </c>
      <c r="K82" s="12">
        <v>1</v>
      </c>
      <c r="R82" s="13"/>
      <c r="V82" s="13"/>
      <c r="Y82" s="13"/>
    </row>
    <row r="83" spans="1:25" x14ac:dyDescent="0.25">
      <c r="A83" s="10">
        <v>43249</v>
      </c>
      <c r="B83" s="9" t="s">
        <v>2033</v>
      </c>
      <c r="C83" s="12" t="str">
        <f>IFERROR(VLOOKUP(TED[[#This Row],[CENTRO]],'CENTRO DE CUSTO'!B:E,4,FALSE)," ")</f>
        <v>S/ SUPERVISOR</v>
      </c>
      <c r="D83" s="12">
        <v>87</v>
      </c>
      <c r="E83" s="16">
        <v>87039</v>
      </c>
      <c r="F83" s="10" t="s">
        <v>131</v>
      </c>
      <c r="G83" s="10">
        <v>220</v>
      </c>
      <c r="H83" s="11">
        <v>46043</v>
      </c>
      <c r="I83" s="10" t="s">
        <v>21</v>
      </c>
      <c r="J83" s="12" t="str">
        <f>IF(OR(TED[[#This Row],[SITUACAO]]=1,TED[[#This Row],[SITUACAO]]=9,TED[[#This Row],[SITUACAO]]=18),"ATIVO","AFASTADO")</f>
        <v>ATIVO</v>
      </c>
      <c r="K83" s="12">
        <v>1</v>
      </c>
      <c r="R83" s="13"/>
      <c r="V83" s="13"/>
      <c r="Y83" s="13"/>
    </row>
    <row r="84" spans="1:25" x14ac:dyDescent="0.25">
      <c r="A84" s="10">
        <v>39123</v>
      </c>
      <c r="B84" s="9" t="s">
        <v>174</v>
      </c>
      <c r="C84" s="12" t="str">
        <f>IFERROR(VLOOKUP(TED[[#This Row],[CENTRO]],'CENTRO DE CUSTO'!B:E,4,FALSE)," ")</f>
        <v>DÉBORA GOBETTI</v>
      </c>
      <c r="D84" s="12">
        <v>87</v>
      </c>
      <c r="E84" s="16">
        <v>87046</v>
      </c>
      <c r="F84" s="10" t="s">
        <v>170</v>
      </c>
      <c r="G84" s="10">
        <v>220</v>
      </c>
      <c r="H84" s="11">
        <v>45824</v>
      </c>
      <c r="I84" s="10" t="s">
        <v>1</v>
      </c>
      <c r="J84" s="12" t="str">
        <f>IF(OR(TED[[#This Row],[SITUACAO]]=1,TED[[#This Row],[SITUACAO]]=9,TED[[#This Row],[SITUACAO]]=18),"ATIVO","AFASTADO")</f>
        <v>ATIVO</v>
      </c>
      <c r="K84" s="12">
        <v>1</v>
      </c>
      <c r="R84" s="13"/>
      <c r="V84" s="13"/>
      <c r="Y84" s="13"/>
    </row>
    <row r="85" spans="1:25" x14ac:dyDescent="0.25">
      <c r="A85" s="10">
        <v>26353</v>
      </c>
      <c r="B85" s="9" t="s">
        <v>479</v>
      </c>
      <c r="C85" s="12" t="str">
        <f>IFERROR(VLOOKUP(TED[[#This Row],[CENTRO]],'CENTRO DE CUSTO'!B:E,4,FALSE)," ")</f>
        <v>DÉBORA GOBETTI</v>
      </c>
      <c r="D85" s="12">
        <v>87</v>
      </c>
      <c r="E85" s="16">
        <v>87106</v>
      </c>
      <c r="F85" s="10" t="s">
        <v>477</v>
      </c>
      <c r="G85" s="10">
        <v>150</v>
      </c>
      <c r="H85" s="11">
        <v>45022</v>
      </c>
      <c r="I85" s="10" t="s">
        <v>1</v>
      </c>
      <c r="J85" s="12" t="str">
        <f>IF(OR(TED[[#This Row],[SITUACAO]]=1,TED[[#This Row],[SITUACAO]]=9,TED[[#This Row],[SITUACAO]]=18),"ATIVO","AFASTADO")</f>
        <v>ATIVO</v>
      </c>
      <c r="K85" s="12">
        <v>1</v>
      </c>
      <c r="R85" s="13"/>
      <c r="V85" s="13"/>
      <c r="Y85" s="13"/>
    </row>
    <row r="86" spans="1:25" x14ac:dyDescent="0.25">
      <c r="A86" s="10">
        <v>8015</v>
      </c>
      <c r="B86" s="9" t="s">
        <v>615</v>
      </c>
      <c r="C86" s="12" t="str">
        <f>IFERROR(VLOOKUP(TED[[#This Row],[CENTRO]],'CENTRO DE CUSTO'!B:E,4,FALSE)," ")</f>
        <v>PAULO TORRES</v>
      </c>
      <c r="D86" s="12">
        <v>87</v>
      </c>
      <c r="E86" s="16">
        <v>87481</v>
      </c>
      <c r="F86" s="10" t="s">
        <v>613</v>
      </c>
      <c r="G86" s="10">
        <v>220</v>
      </c>
      <c r="H86" s="11">
        <v>42632</v>
      </c>
      <c r="I86" s="10" t="s">
        <v>612</v>
      </c>
      <c r="J86" s="12" t="str">
        <f>IF(OR(TED[[#This Row],[SITUACAO]]=1,TED[[#This Row],[SITUACAO]]=9,TED[[#This Row],[SITUACAO]]=18),"ATIVO","AFASTADO")</f>
        <v>AFASTADO</v>
      </c>
      <c r="K86" s="12">
        <v>5</v>
      </c>
      <c r="R86" s="13"/>
      <c r="V86" s="13"/>
      <c r="Y86" s="13"/>
    </row>
    <row r="87" spans="1:25" x14ac:dyDescent="0.25">
      <c r="A87" s="10">
        <v>43214</v>
      </c>
      <c r="B87" s="9" t="s">
        <v>2040</v>
      </c>
      <c r="C87" s="12" t="str">
        <f>IFERROR(VLOOKUP(TED[[#This Row],[CENTRO]],'CENTRO DE CUSTO'!B:E,4,FALSE)," ")</f>
        <v>S/ SUPERVISOR</v>
      </c>
      <c r="D87" s="12">
        <v>87</v>
      </c>
      <c r="E87" s="16">
        <v>87087</v>
      </c>
      <c r="F87" s="10" t="s">
        <v>381</v>
      </c>
      <c r="G87" s="10">
        <v>220</v>
      </c>
      <c r="H87" s="11">
        <v>46043</v>
      </c>
      <c r="I87" s="10" t="s">
        <v>21</v>
      </c>
      <c r="J87" s="12" t="str">
        <f>IF(OR(TED[[#This Row],[SITUACAO]]=1,TED[[#This Row],[SITUACAO]]=9,TED[[#This Row],[SITUACAO]]=18),"ATIVO","AFASTADO")</f>
        <v>ATIVO</v>
      </c>
      <c r="K87" s="12">
        <v>1</v>
      </c>
      <c r="R87" s="13"/>
      <c r="V87" s="13"/>
      <c r="Y87" s="13"/>
    </row>
    <row r="88" spans="1:25" x14ac:dyDescent="0.25">
      <c r="A88" s="10">
        <v>28052</v>
      </c>
      <c r="B88" s="9" t="s">
        <v>74</v>
      </c>
      <c r="C88" s="12" t="str">
        <f>IFERROR(VLOOKUP(TED[[#This Row],[CENTRO]],'CENTRO DE CUSTO'!B:E,4,FALSE)," ")</f>
        <v>CARLOS FABRI</v>
      </c>
      <c r="D88" s="12">
        <v>87</v>
      </c>
      <c r="E88" s="16">
        <v>87025</v>
      </c>
      <c r="F88" s="10" t="s">
        <v>73</v>
      </c>
      <c r="G88" s="10">
        <v>220</v>
      </c>
      <c r="H88" s="11">
        <v>45140</v>
      </c>
      <c r="I88" s="10" t="s">
        <v>1</v>
      </c>
      <c r="J88" s="12" t="str">
        <f>IF(OR(TED[[#This Row],[SITUACAO]]=1,TED[[#This Row],[SITUACAO]]=9,TED[[#This Row],[SITUACAO]]=18),"ATIVO","AFASTADO")</f>
        <v>ATIVO</v>
      </c>
      <c r="K88" s="12">
        <v>1</v>
      </c>
      <c r="R88" s="13"/>
      <c r="V88" s="13"/>
      <c r="Y88" s="13"/>
    </row>
    <row r="89" spans="1:25" x14ac:dyDescent="0.25">
      <c r="A89" s="10">
        <v>39986</v>
      </c>
      <c r="B89" s="9" t="s">
        <v>445</v>
      </c>
      <c r="C89" s="12" t="str">
        <f>IFERROR(VLOOKUP(TED[[#This Row],[CENTRO]],'CENTRO DE CUSTO'!B:E,4,FALSE)," ")</f>
        <v>JOÃO CLEMENTONI</v>
      </c>
      <c r="D89" s="12">
        <v>87</v>
      </c>
      <c r="E89" s="16">
        <v>87099</v>
      </c>
      <c r="F89" s="10" t="s">
        <v>443</v>
      </c>
      <c r="G89" s="10">
        <v>220</v>
      </c>
      <c r="H89" s="11">
        <v>45887</v>
      </c>
      <c r="I89" s="10" t="s">
        <v>21</v>
      </c>
      <c r="J89" s="12" t="str">
        <f>IF(OR(TED[[#This Row],[SITUACAO]]=1,TED[[#This Row],[SITUACAO]]=9,TED[[#This Row],[SITUACAO]]=18),"ATIVO","AFASTADO")</f>
        <v>ATIVO</v>
      </c>
      <c r="K89" s="12">
        <v>1</v>
      </c>
      <c r="R89" s="13"/>
      <c r="V89" s="13"/>
      <c r="Y89" s="13"/>
    </row>
    <row r="90" spans="1:25" x14ac:dyDescent="0.25">
      <c r="A90" s="10">
        <v>37952</v>
      </c>
      <c r="B90" s="9" t="s">
        <v>227</v>
      </c>
      <c r="C90" s="12" t="str">
        <f>IFERROR(VLOOKUP(TED[[#This Row],[CENTRO]],'CENTRO DE CUSTO'!B:E,4,FALSE)," ")</f>
        <v>DÉBORA GOBETTI</v>
      </c>
      <c r="D90" s="12">
        <v>87</v>
      </c>
      <c r="E90" s="16">
        <v>87057</v>
      </c>
      <c r="F90" s="10" t="s">
        <v>224</v>
      </c>
      <c r="G90" s="10">
        <v>150</v>
      </c>
      <c r="H90" s="11">
        <v>45743</v>
      </c>
      <c r="I90" s="10" t="s">
        <v>1</v>
      </c>
      <c r="J90" s="12" t="str">
        <f>IF(OR(TED[[#This Row],[SITUACAO]]=1,TED[[#This Row],[SITUACAO]]=9,TED[[#This Row],[SITUACAO]]=18),"ATIVO","AFASTADO")</f>
        <v>ATIVO</v>
      </c>
      <c r="K90" s="12">
        <v>1</v>
      </c>
      <c r="R90" s="13"/>
      <c r="V90" s="13"/>
      <c r="Y90" s="13"/>
    </row>
    <row r="91" spans="1:25" x14ac:dyDescent="0.25">
      <c r="A91" s="10">
        <v>23125</v>
      </c>
      <c r="B91" s="9" t="s">
        <v>115</v>
      </c>
      <c r="C91" s="12" t="str">
        <f>IFERROR(VLOOKUP(TED[[#This Row],[CENTRO]],'CENTRO DE CUSTO'!B:E,4,FALSE)," ")</f>
        <v>S/ SUPERVISOR</v>
      </c>
      <c r="D91" s="12">
        <v>87</v>
      </c>
      <c r="E91" s="16">
        <v>87036</v>
      </c>
      <c r="F91" s="10" t="s">
        <v>112</v>
      </c>
      <c r="G91" s="10">
        <v>220</v>
      </c>
      <c r="H91" s="11">
        <v>44831</v>
      </c>
      <c r="I91" s="10" t="s">
        <v>21</v>
      </c>
      <c r="J91" s="12" t="str">
        <f>IF(OR(TED[[#This Row],[SITUACAO]]=1,TED[[#This Row],[SITUACAO]]=9,TED[[#This Row],[SITUACAO]]=18),"ATIVO","AFASTADO")</f>
        <v>ATIVO</v>
      </c>
      <c r="K91" s="12">
        <v>1</v>
      </c>
      <c r="R91" s="13"/>
      <c r="V91" s="13"/>
      <c r="Y91" s="13"/>
    </row>
    <row r="92" spans="1:25" x14ac:dyDescent="0.25">
      <c r="A92" s="10">
        <v>27975</v>
      </c>
      <c r="B92" s="9" t="s">
        <v>508</v>
      </c>
      <c r="C92" s="12" t="str">
        <f>IFERROR(VLOOKUP(TED[[#This Row],[CENTRO]],'CENTRO DE CUSTO'!B:E,4,FALSE)," ")</f>
        <v>S/ SUPERVISOR</v>
      </c>
      <c r="D92" s="12">
        <v>87</v>
      </c>
      <c r="E92" s="16">
        <v>87129</v>
      </c>
      <c r="F92" s="10" t="s">
        <v>582</v>
      </c>
      <c r="G92" s="10">
        <v>220</v>
      </c>
      <c r="H92" s="11">
        <v>45128</v>
      </c>
      <c r="I92" s="10" t="s">
        <v>21</v>
      </c>
      <c r="J92" s="12" t="str">
        <f>IF(OR(TED[[#This Row],[SITUACAO]]=1,TED[[#This Row],[SITUACAO]]=9,TED[[#This Row],[SITUACAO]]=18),"ATIVO","AFASTADO")</f>
        <v>ATIVO</v>
      </c>
      <c r="K92" s="12">
        <v>1</v>
      </c>
      <c r="R92" s="13"/>
      <c r="V92" s="13"/>
      <c r="Y92" s="13"/>
    </row>
    <row r="93" spans="1:25" x14ac:dyDescent="0.25">
      <c r="A93" s="10">
        <v>44784</v>
      </c>
      <c r="B93" s="9" t="s">
        <v>2171</v>
      </c>
      <c r="C93" s="12" t="str">
        <f>IFERROR(VLOOKUP(TED[[#This Row],[CENTRO]],'CENTRO DE CUSTO'!B:E,4,FALSE)," ")</f>
        <v>S/ SUPERVISOR</v>
      </c>
      <c r="D93" s="12">
        <v>87</v>
      </c>
      <c r="E93" s="16">
        <v>87103</v>
      </c>
      <c r="F93" s="10" t="s">
        <v>459</v>
      </c>
      <c r="G93" s="10">
        <v>220</v>
      </c>
      <c r="H93" s="11">
        <v>46113</v>
      </c>
      <c r="I93" s="10" t="s">
        <v>21</v>
      </c>
      <c r="J93" s="12" t="str">
        <f>IF(OR(TED[[#This Row],[SITUACAO]]=1,TED[[#This Row],[SITUACAO]]=9,TED[[#This Row],[SITUACAO]]=18),"ATIVO","AFASTADO")</f>
        <v>ATIVO</v>
      </c>
      <c r="K93" s="12">
        <v>1</v>
      </c>
      <c r="R93" s="13"/>
      <c r="V93" s="13"/>
      <c r="Y93" s="13"/>
    </row>
    <row r="94" spans="1:25" x14ac:dyDescent="0.25">
      <c r="A94" s="10">
        <v>26102</v>
      </c>
      <c r="B94" s="9" t="s">
        <v>318</v>
      </c>
      <c r="C94" s="12" t="str">
        <f>IFERROR(VLOOKUP(TED[[#This Row],[CENTRO]],'CENTRO DE CUSTO'!B:E,4,FALSE)," ")</f>
        <v>VANDERSON</v>
      </c>
      <c r="D94" s="12">
        <v>87</v>
      </c>
      <c r="E94" s="16">
        <v>87075</v>
      </c>
      <c r="F94" s="10" t="s">
        <v>319</v>
      </c>
      <c r="G94" s="10">
        <v>220</v>
      </c>
      <c r="H94" s="11">
        <v>45019</v>
      </c>
      <c r="I94" s="10" t="s">
        <v>21</v>
      </c>
      <c r="J94" s="12" t="str">
        <f>IF(OR(TED[[#This Row],[SITUACAO]]=1,TED[[#This Row],[SITUACAO]]=9,TED[[#This Row],[SITUACAO]]=18),"ATIVO","AFASTADO")</f>
        <v>ATIVO</v>
      </c>
      <c r="K94" s="12">
        <v>1</v>
      </c>
      <c r="R94" s="13"/>
      <c r="V94" s="13"/>
      <c r="Y94" s="13"/>
    </row>
    <row r="95" spans="1:25" x14ac:dyDescent="0.25">
      <c r="A95" s="10">
        <v>22758</v>
      </c>
      <c r="B95" s="9" t="s">
        <v>87</v>
      </c>
      <c r="C95" s="12" t="str">
        <f>IFERROR(VLOOKUP(TED[[#This Row],[CENTRO]],'CENTRO DE CUSTO'!B:E,4,FALSE)," ")</f>
        <v>S/ SUPERVISOR</v>
      </c>
      <c r="D95" s="12">
        <v>87</v>
      </c>
      <c r="E95" s="16">
        <v>87030</v>
      </c>
      <c r="F95" s="10" t="s">
        <v>88</v>
      </c>
      <c r="G95" s="10">
        <v>220</v>
      </c>
      <c r="H95" s="11">
        <v>44783</v>
      </c>
      <c r="I95" s="10" t="s">
        <v>1</v>
      </c>
      <c r="J95" s="12" t="str">
        <f>IF(OR(TED[[#This Row],[SITUACAO]]=1,TED[[#This Row],[SITUACAO]]=9,TED[[#This Row],[SITUACAO]]=18),"ATIVO","AFASTADO")</f>
        <v>AFASTADO</v>
      </c>
      <c r="K95" s="12">
        <v>6</v>
      </c>
      <c r="R95" s="13"/>
      <c r="V95" s="13"/>
      <c r="Y95" s="13"/>
    </row>
    <row r="96" spans="1:25" x14ac:dyDescent="0.25">
      <c r="A96" s="10">
        <v>37793</v>
      </c>
      <c r="B96" s="9" t="s">
        <v>135</v>
      </c>
      <c r="C96" s="12" t="str">
        <f>IFERROR(VLOOKUP(TED[[#This Row],[CENTRO]],'CENTRO DE CUSTO'!B:E,4,FALSE)," ")</f>
        <v>JOÃO CLEMENTONI</v>
      </c>
      <c r="D96" s="12">
        <v>87</v>
      </c>
      <c r="E96" s="16">
        <v>87073</v>
      </c>
      <c r="F96" s="10" t="s">
        <v>309</v>
      </c>
      <c r="G96" s="10">
        <v>220</v>
      </c>
      <c r="H96" s="11">
        <v>45736</v>
      </c>
      <c r="I96" s="10" t="s">
        <v>21</v>
      </c>
      <c r="J96" s="12" t="str">
        <f>IF(OR(TED[[#This Row],[SITUACAO]]=1,TED[[#This Row],[SITUACAO]]=9,TED[[#This Row],[SITUACAO]]=18),"ATIVO","AFASTADO")</f>
        <v>ATIVO</v>
      </c>
      <c r="K96" s="12">
        <v>1</v>
      </c>
      <c r="R96" s="13"/>
      <c r="V96" s="13"/>
      <c r="Y96" s="13"/>
    </row>
    <row r="97" spans="1:25" x14ac:dyDescent="0.25">
      <c r="A97" s="10">
        <v>5338</v>
      </c>
      <c r="B97" s="9" t="s">
        <v>488</v>
      </c>
      <c r="C97" s="12" t="str">
        <f>IFERROR(VLOOKUP(TED[[#This Row],[CENTRO]],'CENTRO DE CUSTO'!B:E,4,FALSE)," ")</f>
        <v>DÉBORA GOBETTI</v>
      </c>
      <c r="D97" s="12">
        <v>87</v>
      </c>
      <c r="E97" s="16">
        <v>87107</v>
      </c>
      <c r="F97" s="10" t="s">
        <v>484</v>
      </c>
      <c r="G97" s="10">
        <v>220</v>
      </c>
      <c r="H97" s="11">
        <v>42156</v>
      </c>
      <c r="I97" s="10" t="s">
        <v>21</v>
      </c>
      <c r="J97" s="12" t="str">
        <f>IF(OR(TED[[#This Row],[SITUACAO]]=1,TED[[#This Row],[SITUACAO]]=9,TED[[#This Row],[SITUACAO]]=18),"ATIVO","AFASTADO")</f>
        <v>ATIVO</v>
      </c>
      <c r="K97" s="12">
        <v>1</v>
      </c>
      <c r="R97" s="13"/>
      <c r="V97" s="13"/>
      <c r="Y97" s="13"/>
    </row>
    <row r="98" spans="1:25" x14ac:dyDescent="0.25">
      <c r="A98" s="10">
        <v>27619</v>
      </c>
      <c r="B98" s="9" t="s">
        <v>0</v>
      </c>
      <c r="C98" s="12" t="str">
        <f>IFERROR(VLOOKUP(TED[[#This Row],[CENTRO]],'CENTRO DE CUSTO'!B:E,4,FALSE)," ")</f>
        <v>CARLOS FABRI</v>
      </c>
      <c r="D98" s="12">
        <v>87</v>
      </c>
      <c r="E98" s="16">
        <v>87003</v>
      </c>
      <c r="F98" s="10" t="s">
        <v>2</v>
      </c>
      <c r="G98" s="10">
        <v>150</v>
      </c>
      <c r="H98" s="11">
        <v>45097</v>
      </c>
      <c r="I98" s="10" t="s">
        <v>1</v>
      </c>
      <c r="J98" s="12" t="str">
        <f>IF(OR(TED[[#This Row],[SITUACAO]]=1,TED[[#This Row],[SITUACAO]]=9,TED[[#This Row],[SITUACAO]]=18),"ATIVO","AFASTADO")</f>
        <v>ATIVO</v>
      </c>
      <c r="K98" s="12">
        <v>1</v>
      </c>
      <c r="R98" s="13"/>
      <c r="V98" s="13"/>
      <c r="Y98" s="13"/>
    </row>
    <row r="99" spans="1:25" x14ac:dyDescent="0.25">
      <c r="A99" s="10">
        <v>5216</v>
      </c>
      <c r="B99" s="9" t="s">
        <v>329</v>
      </c>
      <c r="C99" s="12" t="str">
        <f>IFERROR(VLOOKUP(TED[[#This Row],[CENTRO]],'CENTRO DE CUSTO'!B:E,4,FALSE)," ")</f>
        <v>DÉBORA GOBETTI</v>
      </c>
      <c r="D99" s="12">
        <v>87</v>
      </c>
      <c r="E99" s="16">
        <v>87077</v>
      </c>
      <c r="F99" s="10" t="s">
        <v>330</v>
      </c>
      <c r="G99" s="10">
        <v>220</v>
      </c>
      <c r="H99" s="11">
        <v>42156</v>
      </c>
      <c r="I99" s="10" t="s">
        <v>1</v>
      </c>
      <c r="J99" s="12" t="str">
        <f>IF(OR(TED[[#This Row],[SITUACAO]]=1,TED[[#This Row],[SITUACAO]]=9,TED[[#This Row],[SITUACAO]]=18),"ATIVO","AFASTADO")</f>
        <v>ATIVO</v>
      </c>
      <c r="K99" s="12">
        <v>1</v>
      </c>
      <c r="R99" s="13"/>
      <c r="V99" s="13"/>
      <c r="Y99" s="13"/>
    </row>
    <row r="100" spans="1:25" x14ac:dyDescent="0.25">
      <c r="A100" s="10">
        <v>13550</v>
      </c>
      <c r="B100" s="9" t="s">
        <v>408</v>
      </c>
      <c r="C100" s="12" t="str">
        <f>IFERROR(VLOOKUP(TED[[#This Row],[CENTRO]],'CENTRO DE CUSTO'!B:E,4,FALSE)," ")</f>
        <v>S/ SUPERVISOR</v>
      </c>
      <c r="D100" s="12">
        <v>87</v>
      </c>
      <c r="E100" s="16">
        <v>87092</v>
      </c>
      <c r="F100" s="10" t="s">
        <v>405</v>
      </c>
      <c r="G100" s="10">
        <v>220</v>
      </c>
      <c r="H100" s="11">
        <v>43742</v>
      </c>
      <c r="I100" s="10" t="s">
        <v>1</v>
      </c>
      <c r="J100" s="12" t="str">
        <f>IF(OR(TED[[#This Row],[SITUACAO]]=1,TED[[#This Row],[SITUACAO]]=9,TED[[#This Row],[SITUACAO]]=18),"ATIVO","AFASTADO")</f>
        <v>ATIVO</v>
      </c>
      <c r="K100" s="12">
        <v>1</v>
      </c>
      <c r="R100" s="13"/>
      <c r="V100" s="13"/>
      <c r="Y100" s="13"/>
    </row>
    <row r="101" spans="1:25" x14ac:dyDescent="0.25">
      <c r="A101" s="10">
        <v>34987</v>
      </c>
      <c r="B101" s="9" t="s">
        <v>308</v>
      </c>
      <c r="C101" s="12" t="str">
        <f>IFERROR(VLOOKUP(TED[[#This Row],[CENTRO]],'CENTRO DE CUSTO'!B:E,4,FALSE)," ")</f>
        <v>JOÃO CLEMENTONI</v>
      </c>
      <c r="D101" s="12">
        <v>87</v>
      </c>
      <c r="E101" s="16">
        <v>87073</v>
      </c>
      <c r="F101" s="10" t="s">
        <v>309</v>
      </c>
      <c r="G101" s="10">
        <v>220</v>
      </c>
      <c r="H101" s="11">
        <v>45677</v>
      </c>
      <c r="I101" s="10" t="s">
        <v>21</v>
      </c>
      <c r="J101" s="12" t="str">
        <f>IF(OR(TED[[#This Row],[SITUACAO]]=1,TED[[#This Row],[SITUACAO]]=9,TED[[#This Row],[SITUACAO]]=18),"ATIVO","AFASTADO")</f>
        <v>ATIVO</v>
      </c>
      <c r="K101" s="12">
        <v>1</v>
      </c>
      <c r="R101" s="13"/>
      <c r="V101" s="13"/>
      <c r="Y101" s="13"/>
    </row>
    <row r="102" spans="1:25" x14ac:dyDescent="0.25">
      <c r="A102" s="10">
        <v>27499</v>
      </c>
      <c r="B102" s="9" t="s">
        <v>565</v>
      </c>
      <c r="C102" s="12" t="str">
        <f>IFERROR(VLOOKUP(TED[[#This Row],[CENTRO]],'CENTRO DE CUSTO'!B:E,4,FALSE)," ")</f>
        <v>CARLOS FABRI</v>
      </c>
      <c r="D102" s="12">
        <v>87</v>
      </c>
      <c r="E102" s="16">
        <v>87123</v>
      </c>
      <c r="F102" s="10" t="s">
        <v>563</v>
      </c>
      <c r="G102" s="10">
        <v>220</v>
      </c>
      <c r="H102" s="11">
        <v>45089</v>
      </c>
      <c r="I102" s="10" t="s">
        <v>21</v>
      </c>
      <c r="J102" s="12" t="str">
        <f>IF(OR(TED[[#This Row],[SITUACAO]]=1,TED[[#This Row],[SITUACAO]]=9,TED[[#This Row],[SITUACAO]]=18),"ATIVO","AFASTADO")</f>
        <v>ATIVO</v>
      </c>
      <c r="K102" s="12">
        <v>1</v>
      </c>
      <c r="R102" s="13"/>
      <c r="V102" s="13"/>
      <c r="Y102" s="13"/>
    </row>
    <row r="103" spans="1:25" x14ac:dyDescent="0.25">
      <c r="A103" s="10">
        <v>32619</v>
      </c>
      <c r="B103" s="9" t="s">
        <v>437</v>
      </c>
      <c r="C103" s="12" t="str">
        <f>IFERROR(VLOOKUP(TED[[#This Row],[CENTRO]],'CENTRO DE CUSTO'!B:E,4,FALSE)," ")</f>
        <v>CARLOS FABRI</v>
      </c>
      <c r="D103" s="12">
        <v>87</v>
      </c>
      <c r="E103" s="16">
        <v>87098</v>
      </c>
      <c r="F103" s="10" t="s">
        <v>435</v>
      </c>
      <c r="G103" s="10">
        <v>220</v>
      </c>
      <c r="H103" s="11">
        <v>45433</v>
      </c>
      <c r="I103" s="10" t="s">
        <v>21</v>
      </c>
      <c r="J103" s="12" t="str">
        <f>IF(OR(TED[[#This Row],[SITUACAO]]=1,TED[[#This Row],[SITUACAO]]=9,TED[[#This Row],[SITUACAO]]=18),"ATIVO","AFASTADO")</f>
        <v>ATIVO</v>
      </c>
      <c r="K103" s="12">
        <v>1</v>
      </c>
      <c r="R103" s="13"/>
      <c r="V103" s="13"/>
      <c r="Y103" s="13"/>
    </row>
    <row r="104" spans="1:25" x14ac:dyDescent="0.25">
      <c r="A104" s="10">
        <v>7290</v>
      </c>
      <c r="B104" s="9" t="s">
        <v>277</v>
      </c>
      <c r="C104" s="12" t="str">
        <f>IFERROR(VLOOKUP(TED[[#This Row],[CENTRO]],'CENTRO DE CUSTO'!B:E,4,FALSE)," ")</f>
        <v>DÉBORA GOBETTI</v>
      </c>
      <c r="D104" s="12">
        <v>87</v>
      </c>
      <c r="E104" s="16">
        <v>87067</v>
      </c>
      <c r="F104" s="10" t="s">
        <v>278</v>
      </c>
      <c r="G104" s="10">
        <v>220</v>
      </c>
      <c r="H104" s="11">
        <v>42449</v>
      </c>
      <c r="I104" s="10" t="s">
        <v>1</v>
      </c>
      <c r="J104" s="12" t="str">
        <f>IF(OR(TED[[#This Row],[SITUACAO]]=1,TED[[#This Row],[SITUACAO]]=9,TED[[#This Row],[SITUACAO]]=18),"ATIVO","AFASTADO")</f>
        <v>ATIVO</v>
      </c>
      <c r="K104" s="12">
        <v>1</v>
      </c>
      <c r="R104" s="13"/>
      <c r="V104" s="13"/>
      <c r="Y104" s="13"/>
    </row>
    <row r="105" spans="1:25" x14ac:dyDescent="0.25">
      <c r="A105" s="10">
        <v>45257</v>
      </c>
      <c r="B105" s="9" t="s">
        <v>2218</v>
      </c>
      <c r="C105" s="12" t="str">
        <f>IFERROR(VLOOKUP(TED[[#This Row],[CENTRO]],'CENTRO DE CUSTO'!B:E,4,FALSE)," ")</f>
        <v>CARLOS FABRI</v>
      </c>
      <c r="D105" s="12">
        <v>87</v>
      </c>
      <c r="E105" s="16">
        <v>87060</v>
      </c>
      <c r="F105" s="10" t="s">
        <v>240</v>
      </c>
      <c r="G105" s="10">
        <v>220</v>
      </c>
      <c r="H105" s="11">
        <v>46139</v>
      </c>
      <c r="I105" s="10" t="s">
        <v>21</v>
      </c>
      <c r="J105" s="12" t="str">
        <f>IF(OR(TED[[#This Row],[SITUACAO]]=1,TED[[#This Row],[SITUACAO]]=9,TED[[#This Row],[SITUACAO]]=18),"ATIVO","AFASTADO")</f>
        <v>ATIVO</v>
      </c>
      <c r="K105" s="12">
        <v>1</v>
      </c>
      <c r="R105" s="13"/>
      <c r="V105" s="13"/>
      <c r="Y105" s="13"/>
    </row>
    <row r="106" spans="1:25" x14ac:dyDescent="0.25">
      <c r="A106" s="10">
        <v>16404</v>
      </c>
      <c r="B106" s="9" t="s">
        <v>515</v>
      </c>
      <c r="C106" s="12" t="str">
        <f>IFERROR(VLOOKUP(TED[[#This Row],[CENTRO]],'CENTRO DE CUSTO'!B:E,4,FALSE)," ")</f>
        <v>CARLOS FABRI</v>
      </c>
      <c r="D106" s="12">
        <v>87</v>
      </c>
      <c r="E106" s="16">
        <v>87112</v>
      </c>
      <c r="F106" s="10" t="s">
        <v>514</v>
      </c>
      <c r="G106" s="10">
        <v>150</v>
      </c>
      <c r="H106" s="11">
        <v>44349</v>
      </c>
      <c r="I106" s="10" t="s">
        <v>1</v>
      </c>
      <c r="J106" s="12" t="str">
        <f>IF(OR(TED[[#This Row],[SITUACAO]]=1,TED[[#This Row],[SITUACAO]]=9,TED[[#This Row],[SITUACAO]]=18),"ATIVO","AFASTADO")</f>
        <v>ATIVO</v>
      </c>
      <c r="K106" s="12">
        <v>1</v>
      </c>
      <c r="R106" s="13"/>
      <c r="V106" s="13"/>
      <c r="Y106" s="13"/>
    </row>
    <row r="107" spans="1:25" x14ac:dyDescent="0.25">
      <c r="A107" s="10">
        <v>26070</v>
      </c>
      <c r="B107" s="9" t="s">
        <v>342</v>
      </c>
      <c r="C107" s="12" t="str">
        <f>IFERROR(VLOOKUP(TED[[#This Row],[CENTRO]],'CENTRO DE CUSTO'!B:E,4,FALSE)," ")</f>
        <v>JOÃO CLEMENTONI</v>
      </c>
      <c r="D107" s="12">
        <v>87</v>
      </c>
      <c r="E107" s="16">
        <v>87079</v>
      </c>
      <c r="F107" s="10" t="s">
        <v>340</v>
      </c>
      <c r="G107" s="10">
        <v>220</v>
      </c>
      <c r="H107" s="11">
        <v>45019</v>
      </c>
      <c r="I107" s="10" t="s">
        <v>1</v>
      </c>
      <c r="J107" s="12" t="str">
        <f>IF(OR(TED[[#This Row],[SITUACAO]]=1,TED[[#This Row],[SITUACAO]]=9,TED[[#This Row],[SITUACAO]]=18),"ATIVO","AFASTADO")</f>
        <v>ATIVO</v>
      </c>
      <c r="K107" s="12">
        <v>1</v>
      </c>
      <c r="R107" s="13"/>
      <c r="V107" s="13"/>
      <c r="Y107" s="13"/>
    </row>
    <row r="108" spans="1:25" x14ac:dyDescent="0.25">
      <c r="A108" s="10">
        <v>33802</v>
      </c>
      <c r="B108" s="9" t="s">
        <v>48</v>
      </c>
      <c r="C108" s="12" t="str">
        <f>IFERROR(VLOOKUP(TED[[#This Row],[CENTRO]],'CENTRO DE CUSTO'!B:E,4,FALSE)," ")</f>
        <v>DÉBORA GOBETTI</v>
      </c>
      <c r="D108" s="12">
        <v>87</v>
      </c>
      <c r="E108" s="16">
        <v>87019</v>
      </c>
      <c r="F108" s="10" t="s">
        <v>47</v>
      </c>
      <c r="G108" s="10">
        <v>220</v>
      </c>
      <c r="H108" s="11">
        <v>45545</v>
      </c>
      <c r="I108" s="10" t="s">
        <v>1</v>
      </c>
      <c r="J108" s="12" t="str">
        <f>IF(OR(TED[[#This Row],[SITUACAO]]=1,TED[[#This Row],[SITUACAO]]=9,TED[[#This Row],[SITUACAO]]=18),"ATIVO","AFASTADO")</f>
        <v>ATIVO</v>
      </c>
      <c r="K108" s="12">
        <v>1</v>
      </c>
      <c r="R108" s="13"/>
      <c r="V108" s="13"/>
      <c r="Y108" s="13"/>
    </row>
    <row r="109" spans="1:25" x14ac:dyDescent="0.25">
      <c r="A109" s="10">
        <v>5346</v>
      </c>
      <c r="B109" s="9" t="s">
        <v>552</v>
      </c>
      <c r="C109" s="12" t="str">
        <f>IFERROR(VLOOKUP(TED[[#This Row],[CENTRO]],'CENTRO DE CUSTO'!B:E,4,FALSE)," ")</f>
        <v>VANDERSON</v>
      </c>
      <c r="D109" s="12">
        <v>87</v>
      </c>
      <c r="E109" s="16">
        <v>87119</v>
      </c>
      <c r="F109" s="10" t="s">
        <v>550</v>
      </c>
      <c r="G109" s="10">
        <v>220</v>
      </c>
      <c r="H109" s="11">
        <v>42156</v>
      </c>
      <c r="I109" s="10" t="s">
        <v>1</v>
      </c>
      <c r="J109" s="12" t="str">
        <f>IF(OR(TED[[#This Row],[SITUACAO]]=1,TED[[#This Row],[SITUACAO]]=9,TED[[#This Row],[SITUACAO]]=18),"ATIVO","AFASTADO")</f>
        <v>ATIVO</v>
      </c>
      <c r="K109" s="12">
        <v>1</v>
      </c>
      <c r="R109" s="13"/>
      <c r="V109" s="13"/>
      <c r="Y109" s="13"/>
    </row>
    <row r="110" spans="1:25" x14ac:dyDescent="0.25">
      <c r="A110" s="10">
        <v>36438</v>
      </c>
      <c r="B110" s="9" t="s">
        <v>189</v>
      </c>
      <c r="C110" s="12" t="str">
        <f>IFERROR(VLOOKUP(TED[[#This Row],[CENTRO]],'CENTRO DE CUSTO'!B:E,4,FALSE)," ")</f>
        <v>JOÃO CLEMENTONI</v>
      </c>
      <c r="D110" s="12">
        <v>87</v>
      </c>
      <c r="E110" s="16">
        <v>87073</v>
      </c>
      <c r="F110" s="10" t="s">
        <v>309</v>
      </c>
      <c r="G110" s="10">
        <v>220</v>
      </c>
      <c r="H110" s="11">
        <v>45694</v>
      </c>
      <c r="I110" s="10" t="s">
        <v>1</v>
      </c>
      <c r="J110" s="12" t="str">
        <f>IF(OR(TED[[#This Row],[SITUACAO]]=1,TED[[#This Row],[SITUACAO]]=9,TED[[#This Row],[SITUACAO]]=18),"ATIVO","AFASTADO")</f>
        <v>ATIVO</v>
      </c>
      <c r="K110" s="12">
        <v>1</v>
      </c>
      <c r="R110" s="13"/>
      <c r="V110" s="13"/>
      <c r="Y110" s="13"/>
    </row>
    <row r="111" spans="1:25" x14ac:dyDescent="0.25">
      <c r="A111" s="10">
        <v>5406</v>
      </c>
      <c r="B111" s="9" t="s">
        <v>178</v>
      </c>
      <c r="C111" s="12" t="str">
        <f>IFERROR(VLOOKUP(TED[[#This Row],[CENTRO]],'CENTRO DE CUSTO'!B:E,4,FALSE)," ")</f>
        <v>DÉBORA GOBETTI</v>
      </c>
      <c r="D111" s="12">
        <v>87</v>
      </c>
      <c r="E111" s="16">
        <v>87046</v>
      </c>
      <c r="F111" s="10" t="s">
        <v>170</v>
      </c>
      <c r="G111" s="10">
        <v>220</v>
      </c>
      <c r="H111" s="11">
        <v>42156</v>
      </c>
      <c r="I111" s="10" t="s">
        <v>1</v>
      </c>
      <c r="J111" s="12" t="str">
        <f>IF(OR(TED[[#This Row],[SITUACAO]]=1,TED[[#This Row],[SITUACAO]]=9,TED[[#This Row],[SITUACAO]]=18),"ATIVO","AFASTADO")</f>
        <v>ATIVO</v>
      </c>
      <c r="K111" s="12">
        <v>1</v>
      </c>
    </row>
    <row r="112" spans="1:25" x14ac:dyDescent="0.25">
      <c r="A112" s="10">
        <v>4592</v>
      </c>
      <c r="B112" s="9" t="s">
        <v>619</v>
      </c>
      <c r="C112" s="12" t="str">
        <f>IFERROR(VLOOKUP(TED[[#This Row],[CENTRO]],'CENTRO DE CUSTO'!B:E,4,FALSE)," ")</f>
        <v>PAULO TORRES</v>
      </c>
      <c r="D112" s="12">
        <v>87</v>
      </c>
      <c r="E112" s="16">
        <v>87481</v>
      </c>
      <c r="F112" s="10" t="s">
        <v>613</v>
      </c>
      <c r="G112" s="10">
        <v>220</v>
      </c>
      <c r="H112" s="11">
        <v>42016</v>
      </c>
      <c r="I112" s="10" t="s">
        <v>604</v>
      </c>
      <c r="J112" s="12" t="str">
        <f>IF(OR(TED[[#This Row],[SITUACAO]]=1,TED[[#This Row],[SITUACAO]]=9,TED[[#This Row],[SITUACAO]]=18),"ATIVO","AFASTADO")</f>
        <v>ATIVO</v>
      </c>
      <c r="K112" s="12">
        <v>1</v>
      </c>
    </row>
    <row r="113" spans="1:11" x14ac:dyDescent="0.25">
      <c r="A113" s="10">
        <v>5717</v>
      </c>
      <c r="B113" s="9" t="s">
        <v>535</v>
      </c>
      <c r="C113" s="12" t="str">
        <f>IFERROR(VLOOKUP(TED[[#This Row],[CENTRO]],'CENTRO DE CUSTO'!B:E,4,FALSE)," ")</f>
        <v>JOÃO CLEMENTONI</v>
      </c>
      <c r="D113" s="12">
        <v>87</v>
      </c>
      <c r="E113" s="16">
        <v>87116</v>
      </c>
      <c r="F113" s="10" t="s">
        <v>534</v>
      </c>
      <c r="G113" s="10">
        <v>220</v>
      </c>
      <c r="H113" s="11">
        <v>42172</v>
      </c>
      <c r="I113" s="10" t="s">
        <v>1</v>
      </c>
      <c r="J113" s="12" t="str">
        <f>IF(OR(TED[[#This Row],[SITUACAO]]=1,TED[[#This Row],[SITUACAO]]=9,TED[[#This Row],[SITUACAO]]=18),"ATIVO","AFASTADO")</f>
        <v>ATIVO</v>
      </c>
      <c r="K113" s="12">
        <v>1</v>
      </c>
    </row>
    <row r="114" spans="1:11" x14ac:dyDescent="0.25">
      <c r="A114" s="10">
        <v>5649</v>
      </c>
      <c r="B114" s="9" t="s">
        <v>378</v>
      </c>
      <c r="C114" s="12" t="str">
        <f>IFERROR(VLOOKUP(TED[[#This Row],[CENTRO]],'CENTRO DE CUSTO'!B:E,4,FALSE)," ")</f>
        <v>DÉBORA GOBETTI</v>
      </c>
      <c r="D114" s="12">
        <v>87</v>
      </c>
      <c r="E114" s="16">
        <v>87086</v>
      </c>
      <c r="F114" s="10" t="s">
        <v>376</v>
      </c>
      <c r="G114" s="10">
        <v>220</v>
      </c>
      <c r="H114" s="11">
        <v>42156</v>
      </c>
      <c r="I114" s="10" t="s">
        <v>1</v>
      </c>
      <c r="J114" s="12" t="str">
        <f>IF(OR(TED[[#This Row],[SITUACAO]]=1,TED[[#This Row],[SITUACAO]]=9,TED[[#This Row],[SITUACAO]]=18),"ATIVO","AFASTADO")</f>
        <v>ATIVO</v>
      </c>
      <c r="K114" s="12">
        <v>1</v>
      </c>
    </row>
    <row r="115" spans="1:11" x14ac:dyDescent="0.25">
      <c r="A115" s="10">
        <v>45274</v>
      </c>
      <c r="B115" s="9" t="s">
        <v>2219</v>
      </c>
      <c r="C115" s="12" t="str">
        <f>IFERROR(VLOOKUP(TED[[#This Row],[CENTRO]],'CENTRO DE CUSTO'!B:E,4,FALSE)," ")</f>
        <v>DÉBORA GOBETTI</v>
      </c>
      <c r="D115" s="12">
        <v>87</v>
      </c>
      <c r="E115" s="16">
        <v>87067</v>
      </c>
      <c r="F115" s="10" t="s">
        <v>278</v>
      </c>
      <c r="G115" s="10">
        <v>220</v>
      </c>
      <c r="H115" s="11">
        <v>46140</v>
      </c>
      <c r="I115" s="10" t="s">
        <v>21</v>
      </c>
      <c r="J115" s="12" t="str">
        <f>IF(OR(TED[[#This Row],[SITUACAO]]=1,TED[[#This Row],[SITUACAO]]=9,TED[[#This Row],[SITUACAO]]=18),"ATIVO","AFASTADO")</f>
        <v>ATIVO</v>
      </c>
      <c r="K115" s="12">
        <v>1</v>
      </c>
    </row>
    <row r="116" spans="1:11" x14ac:dyDescent="0.25">
      <c r="A116" s="10">
        <v>24905</v>
      </c>
      <c r="B116" s="9" t="s">
        <v>27</v>
      </c>
      <c r="C116" s="12" t="str">
        <f>IFERROR(VLOOKUP(TED[[#This Row],[CENTRO]],'CENTRO DE CUSTO'!B:E,4,FALSE)," ")</f>
        <v>JOÃO CLEMENTONI</v>
      </c>
      <c r="D116" s="12">
        <v>87</v>
      </c>
      <c r="E116" s="16">
        <v>87013</v>
      </c>
      <c r="F116" s="10" t="s">
        <v>25</v>
      </c>
      <c r="G116" s="10">
        <v>220</v>
      </c>
      <c r="H116" s="11">
        <v>44949</v>
      </c>
      <c r="I116" s="10" t="s">
        <v>21</v>
      </c>
      <c r="J116" s="12" t="str">
        <f>IF(OR(TED[[#This Row],[SITUACAO]]=1,TED[[#This Row],[SITUACAO]]=9,TED[[#This Row],[SITUACAO]]=18),"ATIVO","AFASTADO")</f>
        <v>ATIVO</v>
      </c>
      <c r="K116" s="12">
        <v>1</v>
      </c>
    </row>
    <row r="117" spans="1:11" x14ac:dyDescent="0.25">
      <c r="A117" s="10">
        <v>20133</v>
      </c>
      <c r="B117" s="9" t="s">
        <v>415</v>
      </c>
      <c r="C117" s="12" t="str">
        <f>IFERROR(VLOOKUP(TED[[#This Row],[CENTRO]],'CENTRO DE CUSTO'!B:E,4,FALSE)," ")</f>
        <v>CARLOS FABRI</v>
      </c>
      <c r="D117" s="12">
        <v>87</v>
      </c>
      <c r="E117" s="16">
        <v>87093</v>
      </c>
      <c r="F117" s="10" t="s">
        <v>412</v>
      </c>
      <c r="G117" s="10">
        <v>150</v>
      </c>
      <c r="H117" s="11">
        <v>44586</v>
      </c>
      <c r="I117" s="10" t="s">
        <v>1</v>
      </c>
      <c r="J117" s="12" t="str">
        <f>IF(OR(TED[[#This Row],[SITUACAO]]=1,TED[[#This Row],[SITUACAO]]=9,TED[[#This Row],[SITUACAO]]=18),"ATIVO","AFASTADO")</f>
        <v>ATIVO</v>
      </c>
      <c r="K117" s="12">
        <v>1</v>
      </c>
    </row>
    <row r="118" spans="1:11" x14ac:dyDescent="0.25">
      <c r="A118" s="10">
        <v>43370</v>
      </c>
      <c r="B118" s="9" t="s">
        <v>2068</v>
      </c>
      <c r="C118" s="12" t="str">
        <f>IFERROR(VLOOKUP(TED[[#This Row],[CENTRO]],'CENTRO DE CUSTO'!B:E,4,FALSE)," ")</f>
        <v>JOÃO CLEMENTONI</v>
      </c>
      <c r="D118" s="12">
        <v>87</v>
      </c>
      <c r="E118" s="16">
        <v>87073</v>
      </c>
      <c r="F118" s="10" t="s">
        <v>309</v>
      </c>
      <c r="G118" s="10">
        <v>150</v>
      </c>
      <c r="H118" s="11">
        <v>46044</v>
      </c>
      <c r="I118" s="10" t="s">
        <v>1</v>
      </c>
      <c r="J118" s="12" t="str">
        <f>IF(OR(TED[[#This Row],[SITUACAO]]=1,TED[[#This Row],[SITUACAO]]=9,TED[[#This Row],[SITUACAO]]=18),"ATIVO","AFASTADO")</f>
        <v>ATIVO</v>
      </c>
      <c r="K118" s="12">
        <v>1</v>
      </c>
    </row>
    <row r="119" spans="1:11" x14ac:dyDescent="0.25">
      <c r="A119" s="10">
        <v>41808</v>
      </c>
      <c r="B119" s="9" t="s">
        <v>470</v>
      </c>
      <c r="C119" s="12" t="str">
        <f>IFERROR(VLOOKUP(TED[[#This Row],[CENTRO]],'CENTRO DE CUSTO'!B:E,4,FALSE)," ")</f>
        <v>S/ SUPERVISOR</v>
      </c>
      <c r="D119" s="12">
        <v>87</v>
      </c>
      <c r="E119" s="16">
        <v>87104</v>
      </c>
      <c r="F119" s="10" t="s">
        <v>467</v>
      </c>
      <c r="G119" s="10">
        <v>220</v>
      </c>
      <c r="H119" s="11">
        <v>45957</v>
      </c>
      <c r="I119" s="10" t="s">
        <v>21</v>
      </c>
      <c r="J119" s="12" t="str">
        <f>IF(OR(TED[[#This Row],[SITUACAO]]=1,TED[[#This Row],[SITUACAO]]=9,TED[[#This Row],[SITUACAO]]=18),"ATIVO","AFASTADO")</f>
        <v>ATIVO</v>
      </c>
      <c r="K119" s="12">
        <v>1</v>
      </c>
    </row>
    <row r="120" spans="1:11" x14ac:dyDescent="0.25">
      <c r="A120" s="10">
        <v>9045</v>
      </c>
      <c r="B120" s="9" t="s">
        <v>336</v>
      </c>
      <c r="C120" s="12" t="str">
        <f>IFERROR(VLOOKUP(TED[[#This Row],[CENTRO]],'CENTRO DE CUSTO'!B:E,4,FALSE)," ")</f>
        <v>DÉBORA GOBETTI</v>
      </c>
      <c r="D120" s="12">
        <v>87</v>
      </c>
      <c r="E120" s="16">
        <v>87078</v>
      </c>
      <c r="F120" s="10" t="s">
        <v>337</v>
      </c>
      <c r="G120" s="10">
        <v>220</v>
      </c>
      <c r="H120" s="11">
        <v>42842</v>
      </c>
      <c r="I120" s="10" t="s">
        <v>1</v>
      </c>
      <c r="J120" s="12" t="str">
        <f>IF(OR(TED[[#This Row],[SITUACAO]]=1,TED[[#This Row],[SITUACAO]]=9,TED[[#This Row],[SITUACAO]]=18),"ATIVO","AFASTADO")</f>
        <v>ATIVO</v>
      </c>
      <c r="K120" s="12">
        <v>1</v>
      </c>
    </row>
    <row r="121" spans="1:11" x14ac:dyDescent="0.25">
      <c r="A121" s="10">
        <v>32739</v>
      </c>
      <c r="B121" s="9" t="s">
        <v>228</v>
      </c>
      <c r="C121" s="12" t="str">
        <f>IFERROR(VLOOKUP(TED[[#This Row],[CENTRO]],'CENTRO DE CUSTO'!B:E,4,FALSE)," ")</f>
        <v>DÉBORA GOBETTI</v>
      </c>
      <c r="D121" s="12">
        <v>87</v>
      </c>
      <c r="E121" s="16">
        <v>87057</v>
      </c>
      <c r="F121" s="10" t="s">
        <v>224</v>
      </c>
      <c r="G121" s="10">
        <v>220</v>
      </c>
      <c r="H121" s="11">
        <v>45446</v>
      </c>
      <c r="I121" s="10" t="s">
        <v>1</v>
      </c>
      <c r="J121" s="12" t="str">
        <f>IF(OR(TED[[#This Row],[SITUACAO]]=1,TED[[#This Row],[SITUACAO]]=9,TED[[#This Row],[SITUACAO]]=18),"ATIVO","AFASTADO")</f>
        <v>ATIVO</v>
      </c>
      <c r="K121" s="12">
        <v>1</v>
      </c>
    </row>
    <row r="122" spans="1:11" x14ac:dyDescent="0.25">
      <c r="A122" s="10">
        <v>5325</v>
      </c>
      <c r="B122" s="9" t="s">
        <v>222</v>
      </c>
      <c r="C122" s="12" t="str">
        <f>IFERROR(VLOOKUP(TED[[#This Row],[CENTRO]],'CENTRO DE CUSTO'!B:E,4,FALSE)," ")</f>
        <v>CARLOS FABRI</v>
      </c>
      <c r="D122" s="12">
        <v>87</v>
      </c>
      <c r="E122" s="16">
        <v>87056</v>
      </c>
      <c r="F122" s="10" t="s">
        <v>218</v>
      </c>
      <c r="G122" s="10">
        <v>220</v>
      </c>
      <c r="H122" s="11">
        <v>42156</v>
      </c>
      <c r="I122" s="10" t="s">
        <v>1</v>
      </c>
      <c r="J122" s="12" t="str">
        <f>IF(OR(TED[[#This Row],[SITUACAO]]=1,TED[[#This Row],[SITUACAO]]=9,TED[[#This Row],[SITUACAO]]=18),"ATIVO","AFASTADO")</f>
        <v>ATIVO</v>
      </c>
      <c r="K122" s="12">
        <v>1</v>
      </c>
    </row>
    <row r="123" spans="1:11" x14ac:dyDescent="0.25">
      <c r="A123" s="10">
        <v>5337</v>
      </c>
      <c r="B123" s="9" t="s">
        <v>387</v>
      </c>
      <c r="C123" s="12" t="str">
        <f>IFERROR(VLOOKUP(TED[[#This Row],[CENTRO]],'CENTRO DE CUSTO'!B:E,4,FALSE)," ")</f>
        <v>S/ SUPERVISOR</v>
      </c>
      <c r="D123" s="12">
        <v>87</v>
      </c>
      <c r="E123" s="16">
        <v>87088</v>
      </c>
      <c r="F123" s="10" t="s">
        <v>384</v>
      </c>
      <c r="G123" s="10">
        <v>220</v>
      </c>
      <c r="H123" s="11">
        <v>42156</v>
      </c>
      <c r="I123" s="10" t="s">
        <v>21</v>
      </c>
      <c r="J123" s="12" t="str">
        <f>IF(OR(TED[[#This Row],[SITUACAO]]=1,TED[[#This Row],[SITUACAO]]=9,TED[[#This Row],[SITUACAO]]=18),"ATIVO","AFASTADO")</f>
        <v>ATIVO</v>
      </c>
      <c r="K123" s="12">
        <v>1</v>
      </c>
    </row>
    <row r="124" spans="1:11" x14ac:dyDescent="0.25">
      <c r="A124" s="10">
        <v>530</v>
      </c>
      <c r="B124" s="9" t="s">
        <v>466</v>
      </c>
      <c r="C124" s="12" t="str">
        <f>IFERROR(VLOOKUP(TED[[#This Row],[CENTRO]],'CENTRO DE CUSTO'!B:E,4,FALSE)," ")</f>
        <v>S/ SUPERVISOR</v>
      </c>
      <c r="D124" s="12">
        <v>87</v>
      </c>
      <c r="E124" s="16">
        <v>87104</v>
      </c>
      <c r="F124" s="10" t="s">
        <v>467</v>
      </c>
      <c r="G124" s="10">
        <v>220</v>
      </c>
      <c r="H124" s="11">
        <v>40476</v>
      </c>
      <c r="I124" s="10" t="s">
        <v>21</v>
      </c>
      <c r="J124" s="12" t="str">
        <f>IF(OR(TED[[#This Row],[SITUACAO]]=1,TED[[#This Row],[SITUACAO]]=9,TED[[#This Row],[SITUACAO]]=18),"ATIVO","AFASTADO")</f>
        <v>ATIVO</v>
      </c>
      <c r="K124" s="12">
        <v>1</v>
      </c>
    </row>
    <row r="125" spans="1:11" x14ac:dyDescent="0.25">
      <c r="A125" s="10">
        <v>5501</v>
      </c>
      <c r="B125" s="9" t="s">
        <v>507</v>
      </c>
      <c r="C125" s="12" t="str">
        <f>IFERROR(VLOOKUP(TED[[#This Row],[CENTRO]],'CENTRO DE CUSTO'!B:E,4,FALSE)," ")</f>
        <v>S/ SUPERVISOR</v>
      </c>
      <c r="D125" s="12">
        <v>87</v>
      </c>
      <c r="E125" s="16">
        <v>87111</v>
      </c>
      <c r="F125" s="10" t="s">
        <v>506</v>
      </c>
      <c r="G125" s="10">
        <v>220</v>
      </c>
      <c r="H125" s="11">
        <v>42156</v>
      </c>
      <c r="I125" s="10" t="s">
        <v>21</v>
      </c>
      <c r="J125" s="12" t="str">
        <f>IF(OR(TED[[#This Row],[SITUACAO]]=1,TED[[#This Row],[SITUACAO]]=9,TED[[#This Row],[SITUACAO]]=18),"ATIVO","AFASTADO")</f>
        <v>ATIVO</v>
      </c>
      <c r="K125" s="12">
        <v>1</v>
      </c>
    </row>
    <row r="126" spans="1:11" x14ac:dyDescent="0.25">
      <c r="A126" s="10">
        <v>40619</v>
      </c>
      <c r="B126" s="9" t="s">
        <v>1810</v>
      </c>
      <c r="C126" s="12" t="str">
        <f>IFERROR(VLOOKUP(TED[[#This Row],[CENTRO]],'CENTRO DE CUSTO'!B:E,4,FALSE)," ")</f>
        <v>JOÃO CLEMENTONI</v>
      </c>
      <c r="D126" s="12">
        <v>87</v>
      </c>
      <c r="E126" s="16">
        <v>87066</v>
      </c>
      <c r="F126" s="10" t="s">
        <v>272</v>
      </c>
      <c r="G126" s="10">
        <v>150</v>
      </c>
      <c r="H126" s="11">
        <v>45908</v>
      </c>
      <c r="I126" s="10" t="s">
        <v>1</v>
      </c>
      <c r="J126" s="12" t="str">
        <f>IF(OR(TED[[#This Row],[SITUACAO]]=1,TED[[#This Row],[SITUACAO]]=9,TED[[#This Row],[SITUACAO]]=18),"ATIVO","AFASTADO")</f>
        <v>ATIVO</v>
      </c>
      <c r="K126" s="12">
        <v>1</v>
      </c>
    </row>
    <row r="127" spans="1:11" x14ac:dyDescent="0.25">
      <c r="A127" s="10">
        <v>43255</v>
      </c>
      <c r="B127" s="9" t="s">
        <v>2048</v>
      </c>
      <c r="C127" s="12" t="str">
        <f>IFERROR(VLOOKUP(TED[[#This Row],[CENTRO]],'CENTRO DE CUSTO'!B:E,4,FALSE)," ")</f>
        <v>JOÃO CLEMENTONI</v>
      </c>
      <c r="D127" s="12">
        <v>87</v>
      </c>
      <c r="E127" s="16">
        <v>87116</v>
      </c>
      <c r="F127" s="10" t="s">
        <v>534</v>
      </c>
      <c r="G127" s="10">
        <v>220</v>
      </c>
      <c r="H127" s="11">
        <v>46043</v>
      </c>
      <c r="I127" s="10" t="s">
        <v>21</v>
      </c>
      <c r="J127" s="12" t="str">
        <f>IF(OR(TED[[#This Row],[SITUACAO]]=1,TED[[#This Row],[SITUACAO]]=9,TED[[#This Row],[SITUACAO]]=18),"ATIVO","AFASTADO")</f>
        <v>ATIVO</v>
      </c>
      <c r="K127" s="12">
        <v>1</v>
      </c>
    </row>
    <row r="128" spans="1:11" x14ac:dyDescent="0.25">
      <c r="A128" s="10">
        <v>36892</v>
      </c>
      <c r="B128" s="9" t="s">
        <v>287</v>
      </c>
      <c r="C128" s="12" t="str">
        <f>IFERROR(VLOOKUP(TED[[#This Row],[CENTRO]],'CENTRO DE CUSTO'!B:E,4,FALSE)," ")</f>
        <v>CARLOS FABRI</v>
      </c>
      <c r="D128" s="12">
        <v>87</v>
      </c>
      <c r="E128" s="16">
        <v>87068</v>
      </c>
      <c r="F128" s="10" t="s">
        <v>288</v>
      </c>
      <c r="G128" s="10">
        <v>150</v>
      </c>
      <c r="H128" s="11">
        <v>45698</v>
      </c>
      <c r="I128" s="10" t="s">
        <v>1</v>
      </c>
      <c r="J128" s="12" t="str">
        <f>IF(OR(TED[[#This Row],[SITUACAO]]=1,TED[[#This Row],[SITUACAO]]=9,TED[[#This Row],[SITUACAO]]=18),"ATIVO","AFASTADO")</f>
        <v>ATIVO</v>
      </c>
      <c r="K128" s="12">
        <v>1</v>
      </c>
    </row>
    <row r="129" spans="1:11" x14ac:dyDescent="0.25">
      <c r="A129" s="10">
        <v>43283</v>
      </c>
      <c r="B129" s="9" t="s">
        <v>2031</v>
      </c>
      <c r="C129" s="12" t="str">
        <f>IFERROR(VLOOKUP(TED[[#This Row],[CENTRO]],'CENTRO DE CUSTO'!B:E,4,FALSE)," ")</f>
        <v>VANDERSON</v>
      </c>
      <c r="D129" s="12">
        <v>87</v>
      </c>
      <c r="E129" s="16">
        <v>87050</v>
      </c>
      <c r="F129" s="10" t="s">
        <v>194</v>
      </c>
      <c r="G129" s="10">
        <v>220</v>
      </c>
      <c r="H129" s="11">
        <v>46043</v>
      </c>
      <c r="I129" s="10" t="s">
        <v>1</v>
      </c>
      <c r="J129" s="12" t="str">
        <f>IF(OR(TED[[#This Row],[SITUACAO]]=1,TED[[#This Row],[SITUACAO]]=9,TED[[#This Row],[SITUACAO]]=18),"ATIVO","AFASTADO")</f>
        <v>ATIVO</v>
      </c>
      <c r="K129" s="12">
        <v>1</v>
      </c>
    </row>
    <row r="130" spans="1:11" x14ac:dyDescent="0.25">
      <c r="A130" s="10">
        <v>20402</v>
      </c>
      <c r="B130" s="9" t="s">
        <v>117</v>
      </c>
      <c r="C130" s="12" t="str">
        <f>IFERROR(VLOOKUP(TED[[#This Row],[CENTRO]],'CENTRO DE CUSTO'!B:E,4,FALSE)," ")</f>
        <v>S/ SUPERVISOR</v>
      </c>
      <c r="D130" s="12">
        <v>87</v>
      </c>
      <c r="E130" s="16">
        <v>87036</v>
      </c>
      <c r="F130" s="10" t="s">
        <v>112</v>
      </c>
      <c r="G130" s="10">
        <v>220</v>
      </c>
      <c r="H130" s="11">
        <v>44603</v>
      </c>
      <c r="I130" s="10" t="s">
        <v>1</v>
      </c>
      <c r="J130" s="12" t="str">
        <f>IF(OR(TED[[#This Row],[SITUACAO]]=1,TED[[#This Row],[SITUACAO]]=9,TED[[#This Row],[SITUACAO]]=18),"ATIVO","AFASTADO")</f>
        <v>ATIVO</v>
      </c>
      <c r="K130" s="12">
        <v>1</v>
      </c>
    </row>
    <row r="131" spans="1:11" x14ac:dyDescent="0.25">
      <c r="A131" s="10">
        <v>33670</v>
      </c>
      <c r="B131" s="9" t="s">
        <v>143</v>
      </c>
      <c r="C131" s="12" t="str">
        <f>IFERROR(VLOOKUP(TED[[#This Row],[CENTRO]],'CENTRO DE CUSTO'!B:E,4,FALSE)," ")</f>
        <v>DÉBORA GOBETTI</v>
      </c>
      <c r="D131" s="12">
        <v>87</v>
      </c>
      <c r="E131" s="16">
        <v>87041</v>
      </c>
      <c r="F131" s="10" t="s">
        <v>140</v>
      </c>
      <c r="G131" s="10">
        <v>220</v>
      </c>
      <c r="H131" s="11">
        <v>45531</v>
      </c>
      <c r="I131" s="10" t="s">
        <v>1</v>
      </c>
      <c r="J131" s="12" t="str">
        <f>IF(OR(TED[[#This Row],[SITUACAO]]=1,TED[[#This Row],[SITUACAO]]=9,TED[[#This Row],[SITUACAO]]=18),"ATIVO","AFASTADO")</f>
        <v>ATIVO</v>
      </c>
      <c r="K131" s="12">
        <v>1</v>
      </c>
    </row>
    <row r="132" spans="1:11" x14ac:dyDescent="0.25">
      <c r="A132" s="10">
        <v>5284</v>
      </c>
      <c r="B132" s="9" t="s">
        <v>595</v>
      </c>
      <c r="C132" s="12" t="str">
        <f>IFERROR(VLOOKUP(TED[[#This Row],[CENTRO]],'CENTRO DE CUSTO'!B:E,4,FALSE)," ")</f>
        <v>JOÃO CLEMENTONI</v>
      </c>
      <c r="D132" s="12">
        <v>87</v>
      </c>
      <c r="E132" s="16">
        <v>87131</v>
      </c>
      <c r="F132" s="10" t="s">
        <v>592</v>
      </c>
      <c r="G132" s="10">
        <v>220</v>
      </c>
      <c r="H132" s="11">
        <v>42156</v>
      </c>
      <c r="I132" s="10" t="s">
        <v>1</v>
      </c>
      <c r="J132" s="12" t="str">
        <f>IF(OR(TED[[#This Row],[SITUACAO]]=1,TED[[#This Row],[SITUACAO]]=9,TED[[#This Row],[SITUACAO]]=18),"ATIVO","AFASTADO")</f>
        <v>ATIVO</v>
      </c>
      <c r="K132" s="12">
        <v>1</v>
      </c>
    </row>
    <row r="133" spans="1:11" x14ac:dyDescent="0.25">
      <c r="A133" s="10">
        <v>36684</v>
      </c>
      <c r="B133" s="9" t="s">
        <v>588</v>
      </c>
      <c r="C133" s="12" t="str">
        <f>IFERROR(VLOOKUP(TED[[#This Row],[CENTRO]],'CENTRO DE CUSTO'!B:E,4,FALSE)," ")</f>
        <v>DÉBORA GOBETTI</v>
      </c>
      <c r="D133" s="12">
        <v>87</v>
      </c>
      <c r="E133" s="16">
        <v>87130</v>
      </c>
      <c r="F133" s="10" t="s">
        <v>589</v>
      </c>
      <c r="G133" s="10">
        <v>220</v>
      </c>
      <c r="H133" s="11">
        <v>45695</v>
      </c>
      <c r="I133" s="10" t="s">
        <v>1</v>
      </c>
      <c r="J133" s="12" t="str">
        <f>IF(OR(TED[[#This Row],[SITUACAO]]=1,TED[[#This Row],[SITUACAO]]=9,TED[[#This Row],[SITUACAO]]=18),"ATIVO","AFASTADO")</f>
        <v>ATIVO</v>
      </c>
      <c r="K133" s="12">
        <v>1</v>
      </c>
    </row>
    <row r="134" spans="1:11" x14ac:dyDescent="0.25">
      <c r="A134" s="10">
        <v>5492</v>
      </c>
      <c r="B134" s="9" t="s">
        <v>389</v>
      </c>
      <c r="C134" s="12" t="str">
        <f>IFERROR(VLOOKUP(TED[[#This Row],[CENTRO]],'CENTRO DE CUSTO'!B:E,4,FALSE)," ")</f>
        <v>S/ SUPERVISOR</v>
      </c>
      <c r="D134" s="12">
        <v>87</v>
      </c>
      <c r="E134" s="16">
        <v>87088</v>
      </c>
      <c r="F134" s="10" t="s">
        <v>384</v>
      </c>
      <c r="G134" s="10">
        <v>220</v>
      </c>
      <c r="H134" s="11">
        <v>42156</v>
      </c>
      <c r="I134" s="10" t="s">
        <v>1</v>
      </c>
      <c r="J134" s="12" t="str">
        <f>IF(OR(TED[[#This Row],[SITUACAO]]=1,TED[[#This Row],[SITUACAO]]=9,TED[[#This Row],[SITUACAO]]=18),"ATIVO","AFASTADO")</f>
        <v>ATIVO</v>
      </c>
      <c r="K134" s="12">
        <v>1</v>
      </c>
    </row>
    <row r="135" spans="1:11" x14ac:dyDescent="0.25">
      <c r="A135" s="10">
        <v>31784</v>
      </c>
      <c r="B135" s="9" t="s">
        <v>323</v>
      </c>
      <c r="C135" s="12" t="str">
        <f>IFERROR(VLOOKUP(TED[[#This Row],[CENTRO]],'CENTRO DE CUSTO'!B:E,4,FALSE)," ")</f>
        <v>CARLOS FABRI</v>
      </c>
      <c r="D135" s="12">
        <v>87</v>
      </c>
      <c r="E135" s="16">
        <v>87076</v>
      </c>
      <c r="F135" s="10" t="s">
        <v>324</v>
      </c>
      <c r="G135" s="10">
        <v>150</v>
      </c>
      <c r="H135" s="11">
        <v>45372</v>
      </c>
      <c r="I135" s="10" t="s">
        <v>1</v>
      </c>
      <c r="J135" s="12" t="str">
        <f>IF(OR(TED[[#This Row],[SITUACAO]]=1,TED[[#This Row],[SITUACAO]]=9,TED[[#This Row],[SITUACAO]]=18),"ATIVO","AFASTADO")</f>
        <v>ATIVO</v>
      </c>
      <c r="K135" s="12">
        <v>1</v>
      </c>
    </row>
    <row r="136" spans="1:11" x14ac:dyDescent="0.25">
      <c r="A136" s="10">
        <v>3284</v>
      </c>
      <c r="B136" s="9" t="s">
        <v>104</v>
      </c>
      <c r="C136" s="12" t="str">
        <f>IFERROR(VLOOKUP(TED[[#This Row],[CENTRO]],'CENTRO DE CUSTO'!B:E,4,FALSE)," ")</f>
        <v>VANDERSON</v>
      </c>
      <c r="D136" s="12">
        <v>87</v>
      </c>
      <c r="E136" s="16">
        <v>87033</v>
      </c>
      <c r="F136" s="10" t="s">
        <v>103</v>
      </c>
      <c r="G136" s="10">
        <v>220</v>
      </c>
      <c r="H136" s="11">
        <v>41685</v>
      </c>
      <c r="I136" s="10" t="s">
        <v>21</v>
      </c>
      <c r="J136" s="12" t="str">
        <f>IF(OR(TED[[#This Row],[SITUACAO]]=1,TED[[#This Row],[SITUACAO]]=9,TED[[#This Row],[SITUACAO]]=18),"ATIVO","AFASTADO")</f>
        <v>ATIVO</v>
      </c>
      <c r="K136" s="12">
        <v>1</v>
      </c>
    </row>
    <row r="137" spans="1:11" x14ac:dyDescent="0.25">
      <c r="A137" s="10">
        <v>44452</v>
      </c>
      <c r="B137" s="9" t="s">
        <v>2114</v>
      </c>
      <c r="C137" s="12" t="str">
        <f>IFERROR(VLOOKUP(TED[[#This Row],[CENTRO]],'CENTRO DE CUSTO'!B:E,4,FALSE)," ")</f>
        <v>VANDERSON</v>
      </c>
      <c r="D137" s="12">
        <v>87</v>
      </c>
      <c r="E137" s="16">
        <v>87064</v>
      </c>
      <c r="F137" s="10" t="s">
        <v>263</v>
      </c>
      <c r="G137" s="10">
        <v>220</v>
      </c>
      <c r="H137" s="11">
        <v>46091</v>
      </c>
      <c r="I137" s="10" t="s">
        <v>1</v>
      </c>
      <c r="J137" s="12" t="str">
        <f>IF(OR(TED[[#This Row],[SITUACAO]]=1,TED[[#This Row],[SITUACAO]]=9,TED[[#This Row],[SITUACAO]]=18),"ATIVO","AFASTADO")</f>
        <v>ATIVO</v>
      </c>
      <c r="K137" s="12">
        <v>1</v>
      </c>
    </row>
    <row r="138" spans="1:11" x14ac:dyDescent="0.25">
      <c r="A138" s="10">
        <v>527</v>
      </c>
      <c r="B138" s="9" t="s">
        <v>505</v>
      </c>
      <c r="C138" s="12" t="str">
        <f>IFERROR(VLOOKUP(TED[[#This Row],[CENTRO]],'CENTRO DE CUSTO'!B:E,4,FALSE)," ")</f>
        <v>S/ SUPERVISOR</v>
      </c>
      <c r="D138" s="12">
        <v>87</v>
      </c>
      <c r="E138" s="16">
        <v>87111</v>
      </c>
      <c r="F138" s="10" t="s">
        <v>506</v>
      </c>
      <c r="G138" s="10">
        <v>220</v>
      </c>
      <c r="H138" s="11">
        <v>40476</v>
      </c>
      <c r="I138" s="10" t="s">
        <v>21</v>
      </c>
      <c r="J138" s="12" t="str">
        <f>IF(OR(TED[[#This Row],[SITUACAO]]=1,TED[[#This Row],[SITUACAO]]=9,TED[[#This Row],[SITUACAO]]=18),"ATIVO","AFASTADO")</f>
        <v>ATIVO</v>
      </c>
      <c r="K138" s="12">
        <v>1</v>
      </c>
    </row>
    <row r="139" spans="1:11" x14ac:dyDescent="0.25">
      <c r="A139" s="10">
        <v>39546</v>
      </c>
      <c r="B139" s="9" t="s">
        <v>285</v>
      </c>
      <c r="C139" s="12" t="str">
        <f>IFERROR(VLOOKUP(TED[[#This Row],[CENTRO]],'CENTRO DE CUSTO'!B:E,4,FALSE)," ")</f>
        <v>DÉBORA GOBETTI</v>
      </c>
      <c r="D139" s="12">
        <v>87</v>
      </c>
      <c r="E139" s="16">
        <v>87067</v>
      </c>
      <c r="F139" s="10" t="s">
        <v>278</v>
      </c>
      <c r="G139" s="10">
        <v>220</v>
      </c>
      <c r="H139" s="11">
        <v>45852</v>
      </c>
      <c r="I139" s="10" t="s">
        <v>1</v>
      </c>
      <c r="J139" s="12" t="str">
        <f>IF(OR(TED[[#This Row],[SITUACAO]]=1,TED[[#This Row],[SITUACAO]]=9,TED[[#This Row],[SITUACAO]]=18),"ATIVO","AFASTADO")</f>
        <v>AFASTADO</v>
      </c>
      <c r="K139" s="12">
        <v>12</v>
      </c>
    </row>
    <row r="140" spans="1:11" x14ac:dyDescent="0.25">
      <c r="A140" s="10">
        <v>20103</v>
      </c>
      <c r="B140" s="9" t="s">
        <v>594</v>
      </c>
      <c r="C140" s="12" t="str">
        <f>IFERROR(VLOOKUP(TED[[#This Row],[CENTRO]],'CENTRO DE CUSTO'!B:E,4,FALSE)," ")</f>
        <v>JOÃO CLEMENTONI</v>
      </c>
      <c r="D140" s="12">
        <v>87</v>
      </c>
      <c r="E140" s="16">
        <v>87131</v>
      </c>
      <c r="F140" s="10" t="s">
        <v>592</v>
      </c>
      <c r="G140" s="10">
        <v>220</v>
      </c>
      <c r="H140" s="11">
        <v>44586</v>
      </c>
      <c r="I140" s="10" t="s">
        <v>21</v>
      </c>
      <c r="J140" s="12" t="str">
        <f>IF(OR(TED[[#This Row],[SITUACAO]]=1,TED[[#This Row],[SITUACAO]]=9,TED[[#This Row],[SITUACAO]]=18),"ATIVO","AFASTADO")</f>
        <v>ATIVO</v>
      </c>
      <c r="K140" s="12">
        <v>1</v>
      </c>
    </row>
    <row r="141" spans="1:11" x14ac:dyDescent="0.25">
      <c r="A141" s="10">
        <v>45036</v>
      </c>
      <c r="B141" s="9" t="s">
        <v>2174</v>
      </c>
      <c r="C141" s="12" t="str">
        <f>IFERROR(VLOOKUP(TED[[#This Row],[CENTRO]],'CENTRO DE CUSTO'!B:E,4,FALSE)," ")</f>
        <v>PAULO TORRES</v>
      </c>
      <c r="D141" s="12">
        <v>87</v>
      </c>
      <c r="E141" s="16">
        <v>87481</v>
      </c>
      <c r="F141" s="10" t="s">
        <v>613</v>
      </c>
      <c r="G141" s="10">
        <v>220</v>
      </c>
      <c r="H141" s="11">
        <v>46122</v>
      </c>
      <c r="I141" s="10" t="s">
        <v>604</v>
      </c>
      <c r="J141" s="12" t="str">
        <f>IF(OR(TED[[#This Row],[SITUACAO]]=1,TED[[#This Row],[SITUACAO]]=9,TED[[#This Row],[SITUACAO]]=18),"ATIVO","AFASTADO")</f>
        <v>ATIVO</v>
      </c>
      <c r="K141" s="12">
        <v>1</v>
      </c>
    </row>
    <row r="142" spans="1:11" x14ac:dyDescent="0.25">
      <c r="A142" s="10">
        <v>5252</v>
      </c>
      <c r="B142" s="9" t="s">
        <v>34</v>
      </c>
      <c r="C142" s="12" t="str">
        <f>IFERROR(VLOOKUP(TED[[#This Row],[CENTRO]],'CENTRO DE CUSTO'!B:E,4,FALSE)," ")</f>
        <v>CARLOS FABRI</v>
      </c>
      <c r="D142" s="12">
        <v>87</v>
      </c>
      <c r="E142" s="16">
        <v>87015</v>
      </c>
      <c r="F142" s="10" t="s">
        <v>32</v>
      </c>
      <c r="G142" s="10">
        <v>220</v>
      </c>
      <c r="H142" s="11">
        <v>42156</v>
      </c>
      <c r="I142" s="10" t="s">
        <v>1</v>
      </c>
      <c r="J142" s="12" t="str">
        <f>IF(OR(TED[[#This Row],[SITUACAO]]=1,TED[[#This Row],[SITUACAO]]=9,TED[[#This Row],[SITUACAO]]=18),"ATIVO","AFASTADO")</f>
        <v>AFASTADO</v>
      </c>
      <c r="K142" s="12">
        <v>6</v>
      </c>
    </row>
    <row r="143" spans="1:11" x14ac:dyDescent="0.25">
      <c r="A143" s="10">
        <v>28163</v>
      </c>
      <c r="B143" s="9" t="s">
        <v>628</v>
      </c>
      <c r="C143" s="12" t="str">
        <f>IFERROR(VLOOKUP(TED[[#This Row],[CENTRO]],'CENTRO DE CUSTO'!B:E,4,FALSE)," ")</f>
        <v>S/ SUPERVISOR</v>
      </c>
      <c r="D143" s="12">
        <v>87</v>
      </c>
      <c r="E143" s="16">
        <v>87094</v>
      </c>
      <c r="F143" s="10" t="s">
        <v>417</v>
      </c>
      <c r="G143" s="10">
        <v>220</v>
      </c>
      <c r="H143" s="11">
        <v>45149</v>
      </c>
      <c r="I143" s="10" t="s">
        <v>1</v>
      </c>
      <c r="J143" s="12" t="str">
        <f>IF(OR(TED[[#This Row],[SITUACAO]]=1,TED[[#This Row],[SITUACAO]]=9,TED[[#This Row],[SITUACAO]]=18),"ATIVO","AFASTADO")</f>
        <v>ATIVO</v>
      </c>
      <c r="K143" s="12">
        <v>1</v>
      </c>
    </row>
    <row r="144" spans="1:11" x14ac:dyDescent="0.25">
      <c r="A144" s="10">
        <v>46000</v>
      </c>
      <c r="B144" s="9" t="s">
        <v>2320</v>
      </c>
      <c r="C144" s="12" t="str">
        <f>IFERROR(VLOOKUP(TED[[#This Row],[CENTRO]],'CENTRO DE CUSTO'!B:E,4,FALSE)," ")</f>
        <v>S/ SUPERVISOR</v>
      </c>
      <c r="D144" s="12">
        <v>87</v>
      </c>
      <c r="E144" s="16">
        <v>87128</v>
      </c>
      <c r="F144" s="10" t="s">
        <v>580</v>
      </c>
      <c r="G144" s="10">
        <v>220</v>
      </c>
      <c r="H144" s="11">
        <v>46175</v>
      </c>
      <c r="I144" s="10" t="s">
        <v>1</v>
      </c>
      <c r="J144" s="12" t="str">
        <f>IF(OR(TED[[#This Row],[SITUACAO]]=1,TED[[#This Row],[SITUACAO]]=9,TED[[#This Row],[SITUACAO]]=18),"ATIVO","AFASTADO")</f>
        <v>ATIVO</v>
      </c>
      <c r="K144" s="12">
        <v>1</v>
      </c>
    </row>
    <row r="145" spans="1:11" x14ac:dyDescent="0.25">
      <c r="A145" s="10">
        <v>43246</v>
      </c>
      <c r="B145" s="9" t="s">
        <v>2045</v>
      </c>
      <c r="C145" s="12" t="str">
        <f>IFERROR(VLOOKUP(TED[[#This Row],[CENTRO]],'CENTRO DE CUSTO'!B:E,4,FALSE)," ")</f>
        <v>S/ SUPERVISOR</v>
      </c>
      <c r="D145" s="12">
        <v>87</v>
      </c>
      <c r="E145" s="16">
        <v>87104</v>
      </c>
      <c r="F145" s="10" t="s">
        <v>467</v>
      </c>
      <c r="G145" s="10">
        <v>150</v>
      </c>
      <c r="H145" s="11">
        <v>46043</v>
      </c>
      <c r="I145" s="10" t="s">
        <v>1</v>
      </c>
      <c r="J145" s="12" t="str">
        <f>IF(OR(TED[[#This Row],[SITUACAO]]=1,TED[[#This Row],[SITUACAO]]=9,TED[[#This Row],[SITUACAO]]=18),"ATIVO","AFASTADO")</f>
        <v>ATIVO</v>
      </c>
      <c r="K145" s="12">
        <v>1</v>
      </c>
    </row>
    <row r="146" spans="1:11" x14ac:dyDescent="0.25">
      <c r="A146" s="10">
        <v>5419</v>
      </c>
      <c r="B146" s="9" t="s">
        <v>75</v>
      </c>
      <c r="C146" s="12" t="str">
        <f>IFERROR(VLOOKUP(TED[[#This Row],[CENTRO]],'CENTRO DE CUSTO'!B:E,4,FALSE)," ")</f>
        <v>DÉBORA GOBETTI</v>
      </c>
      <c r="D146" s="12">
        <v>87</v>
      </c>
      <c r="E146" s="16">
        <v>87026</v>
      </c>
      <c r="F146" s="10" t="s">
        <v>76</v>
      </c>
      <c r="G146" s="10">
        <v>220</v>
      </c>
      <c r="H146" s="11">
        <v>42156</v>
      </c>
      <c r="I146" s="10" t="s">
        <v>1</v>
      </c>
      <c r="J146" s="12" t="str">
        <f>IF(OR(TED[[#This Row],[SITUACAO]]=1,TED[[#This Row],[SITUACAO]]=9,TED[[#This Row],[SITUACAO]]=18),"ATIVO","AFASTADO")</f>
        <v>ATIVO</v>
      </c>
      <c r="K146" s="12">
        <v>1</v>
      </c>
    </row>
    <row r="147" spans="1:11" x14ac:dyDescent="0.25">
      <c r="A147" s="10">
        <v>9370</v>
      </c>
      <c r="B147" s="9" t="s">
        <v>111</v>
      </c>
      <c r="C147" s="12" t="str">
        <f>IFERROR(VLOOKUP(TED[[#This Row],[CENTRO]],'CENTRO DE CUSTO'!B:E,4,FALSE)," ")</f>
        <v>S/ SUPERVISOR</v>
      </c>
      <c r="D147" s="12">
        <v>87</v>
      </c>
      <c r="E147" s="16">
        <v>87036</v>
      </c>
      <c r="F147" s="10" t="s">
        <v>112</v>
      </c>
      <c r="G147" s="10">
        <v>220</v>
      </c>
      <c r="H147" s="11">
        <v>42913</v>
      </c>
      <c r="I147" s="10" t="s">
        <v>1</v>
      </c>
      <c r="J147" s="12" t="str">
        <f>IF(OR(TED[[#This Row],[SITUACAO]]=1,TED[[#This Row],[SITUACAO]]=9,TED[[#This Row],[SITUACAO]]=18),"ATIVO","AFASTADO")</f>
        <v>ATIVO</v>
      </c>
      <c r="K147" s="12">
        <v>1</v>
      </c>
    </row>
    <row r="148" spans="1:11" x14ac:dyDescent="0.25">
      <c r="A148" s="10">
        <v>5538</v>
      </c>
      <c r="B148" s="9" t="s">
        <v>402</v>
      </c>
      <c r="C148" s="12" t="str">
        <f>IFERROR(VLOOKUP(TED[[#This Row],[CENTRO]],'CENTRO DE CUSTO'!B:E,4,FALSE)," ")</f>
        <v>VANDERSON</v>
      </c>
      <c r="D148" s="12">
        <v>87</v>
      </c>
      <c r="E148" s="16">
        <v>87091</v>
      </c>
      <c r="F148" s="10" t="s">
        <v>399</v>
      </c>
      <c r="G148" s="10">
        <v>220</v>
      </c>
      <c r="H148" s="11">
        <v>42156</v>
      </c>
      <c r="I148" s="10" t="s">
        <v>21</v>
      </c>
      <c r="J148" s="12" t="str">
        <f>IF(OR(TED[[#This Row],[SITUACAO]]=1,TED[[#This Row],[SITUACAO]]=9,TED[[#This Row],[SITUACAO]]=18),"ATIVO","AFASTADO")</f>
        <v>ATIVO</v>
      </c>
      <c r="K148" s="12">
        <v>1</v>
      </c>
    </row>
    <row r="149" spans="1:11" x14ac:dyDescent="0.25">
      <c r="A149" s="10">
        <v>47446</v>
      </c>
      <c r="B149" s="9" t="s">
        <v>2321</v>
      </c>
      <c r="C149" s="12" t="str">
        <f>IFERROR(VLOOKUP(TED[[#This Row],[CENTRO]],'CENTRO DE CUSTO'!B:E,4,FALSE)," ")</f>
        <v>S/ SUPERVISOR</v>
      </c>
      <c r="D149" s="12">
        <v>87</v>
      </c>
      <c r="E149" s="16">
        <v>87036</v>
      </c>
      <c r="F149" s="10" t="s">
        <v>112</v>
      </c>
      <c r="G149" s="10">
        <v>220</v>
      </c>
      <c r="H149" s="11">
        <v>46204</v>
      </c>
      <c r="I149" s="10" t="s">
        <v>1</v>
      </c>
      <c r="J149" s="12" t="str">
        <f>IF(OR(TED[[#This Row],[SITUACAO]]=1,TED[[#This Row],[SITUACAO]]=9,TED[[#This Row],[SITUACAO]]=18),"ATIVO","AFASTADO")</f>
        <v>ATIVO</v>
      </c>
      <c r="K149" s="12">
        <v>1</v>
      </c>
    </row>
    <row r="150" spans="1:11" x14ac:dyDescent="0.25">
      <c r="A150" s="10">
        <v>12511</v>
      </c>
      <c r="B150" s="9" t="s">
        <v>499</v>
      </c>
      <c r="C150" s="12" t="str">
        <f>IFERROR(VLOOKUP(TED[[#This Row],[CENTRO]],'CENTRO DE CUSTO'!B:E,4,FALSE)," ")</f>
        <v>VANDERSON</v>
      </c>
      <c r="D150" s="12">
        <v>87</v>
      </c>
      <c r="E150" s="16">
        <v>87109</v>
      </c>
      <c r="F150" s="10" t="s">
        <v>496</v>
      </c>
      <c r="G150" s="10">
        <v>220</v>
      </c>
      <c r="H150" s="11">
        <v>43552</v>
      </c>
      <c r="I150" s="10" t="s">
        <v>1</v>
      </c>
      <c r="J150" s="12" t="str">
        <f>IF(OR(TED[[#This Row],[SITUACAO]]=1,TED[[#This Row],[SITUACAO]]=9,TED[[#This Row],[SITUACAO]]=18),"ATIVO","AFASTADO")</f>
        <v>ATIVO</v>
      </c>
      <c r="K150" s="12">
        <v>1</v>
      </c>
    </row>
    <row r="151" spans="1:11" x14ac:dyDescent="0.25">
      <c r="A151" s="10">
        <v>2104</v>
      </c>
      <c r="B151" s="9" t="s">
        <v>138</v>
      </c>
      <c r="C151" s="12" t="str">
        <f>IFERROR(VLOOKUP(TED[[#This Row],[CENTRO]],'CENTRO DE CUSTO'!B:E,4,FALSE)," ")</f>
        <v>JOÃO CLEMENTONI</v>
      </c>
      <c r="D151" s="12">
        <v>87</v>
      </c>
      <c r="E151" s="16">
        <v>87040</v>
      </c>
      <c r="F151" s="10" t="s">
        <v>136</v>
      </c>
      <c r="G151" s="10">
        <v>220</v>
      </c>
      <c r="H151" s="11">
        <v>41344</v>
      </c>
      <c r="I151" s="10" t="s">
        <v>1</v>
      </c>
      <c r="J151" s="12" t="str">
        <f>IF(OR(TED[[#This Row],[SITUACAO]]=1,TED[[#This Row],[SITUACAO]]=9,TED[[#This Row],[SITUACAO]]=18),"ATIVO","AFASTADO")</f>
        <v>ATIVO</v>
      </c>
      <c r="K151" s="12">
        <v>1</v>
      </c>
    </row>
    <row r="152" spans="1:11" x14ac:dyDescent="0.25">
      <c r="A152" s="10">
        <v>11194</v>
      </c>
      <c r="B152" s="9" t="s">
        <v>393</v>
      </c>
      <c r="C152" s="12" t="str">
        <f>IFERROR(VLOOKUP(TED[[#This Row],[CENTRO]],'CENTRO DE CUSTO'!B:E,4,FALSE)," ")</f>
        <v>DÉBORA GOBETTI</v>
      </c>
      <c r="D152" s="12">
        <v>87</v>
      </c>
      <c r="E152" s="16">
        <v>87089</v>
      </c>
      <c r="F152" s="10" t="s">
        <v>391</v>
      </c>
      <c r="G152" s="10">
        <v>220</v>
      </c>
      <c r="H152" s="11">
        <v>43367</v>
      </c>
      <c r="I152" s="10" t="s">
        <v>21</v>
      </c>
      <c r="J152" s="12" t="str">
        <f>IF(OR(TED[[#This Row],[SITUACAO]]=1,TED[[#This Row],[SITUACAO]]=9,TED[[#This Row],[SITUACAO]]=18),"ATIVO","AFASTADO")</f>
        <v>ATIVO</v>
      </c>
      <c r="K152" s="12">
        <v>1</v>
      </c>
    </row>
    <row r="153" spans="1:11" x14ac:dyDescent="0.25">
      <c r="A153" s="10">
        <v>37077</v>
      </c>
      <c r="B153" s="9" t="s">
        <v>20</v>
      </c>
      <c r="C153" s="12" t="str">
        <f>IFERROR(VLOOKUP(TED[[#This Row],[CENTRO]],'CENTRO DE CUSTO'!B:E,4,FALSE)," ")</f>
        <v>VANDERSON</v>
      </c>
      <c r="D153" s="12">
        <v>87</v>
      </c>
      <c r="E153" s="16">
        <v>87011</v>
      </c>
      <c r="F153" s="10" t="s">
        <v>18</v>
      </c>
      <c r="G153" s="10">
        <v>220</v>
      </c>
      <c r="H153" s="11">
        <v>45702</v>
      </c>
      <c r="I153" s="10" t="s">
        <v>1</v>
      </c>
      <c r="J153" s="12" t="str">
        <f>IF(OR(TED[[#This Row],[SITUACAO]]=1,TED[[#This Row],[SITUACAO]]=9,TED[[#This Row],[SITUACAO]]=18),"ATIVO","AFASTADO")</f>
        <v>ATIVO</v>
      </c>
      <c r="K153" s="12">
        <v>1</v>
      </c>
    </row>
    <row r="154" spans="1:11" x14ac:dyDescent="0.25">
      <c r="A154" s="10">
        <v>5383</v>
      </c>
      <c r="B154" s="9" t="s">
        <v>500</v>
      </c>
      <c r="C154" s="12" t="str">
        <f>IFERROR(VLOOKUP(TED[[#This Row],[CENTRO]],'CENTRO DE CUSTO'!B:E,4,FALSE)," ")</f>
        <v>VANDERSON</v>
      </c>
      <c r="D154" s="12">
        <v>87</v>
      </c>
      <c r="E154" s="16">
        <v>87109</v>
      </c>
      <c r="F154" s="10" t="s">
        <v>496</v>
      </c>
      <c r="G154" s="10">
        <v>220</v>
      </c>
      <c r="H154" s="11">
        <v>42156</v>
      </c>
      <c r="I154" s="10" t="s">
        <v>21</v>
      </c>
      <c r="J154" s="12" t="str">
        <f>IF(OR(TED[[#This Row],[SITUACAO]]=1,TED[[#This Row],[SITUACAO]]=9,TED[[#This Row],[SITUACAO]]=18),"ATIVO","AFASTADO")</f>
        <v>ATIVO</v>
      </c>
      <c r="K154" s="12">
        <v>1</v>
      </c>
    </row>
    <row r="155" spans="1:11" x14ac:dyDescent="0.25">
      <c r="A155" s="10">
        <v>5242</v>
      </c>
      <c r="B155" s="9" t="s">
        <v>72</v>
      </c>
      <c r="C155" s="12" t="str">
        <f>IFERROR(VLOOKUP(TED[[#This Row],[CENTRO]],'CENTRO DE CUSTO'!B:E,4,FALSE)," ")</f>
        <v>CARLOS FABRI</v>
      </c>
      <c r="D155" s="12">
        <v>87</v>
      </c>
      <c r="E155" s="16">
        <v>87025</v>
      </c>
      <c r="F155" s="10" t="s">
        <v>73</v>
      </c>
      <c r="G155" s="10">
        <v>220</v>
      </c>
      <c r="H155" s="11">
        <v>42156</v>
      </c>
      <c r="I155" s="10" t="s">
        <v>1</v>
      </c>
      <c r="J155" s="12" t="str">
        <f>IF(OR(TED[[#This Row],[SITUACAO]]=1,TED[[#This Row],[SITUACAO]]=9,TED[[#This Row],[SITUACAO]]=18),"ATIVO","AFASTADO")</f>
        <v>ATIVO</v>
      </c>
      <c r="K155" s="12">
        <v>1</v>
      </c>
    </row>
    <row r="156" spans="1:11" x14ac:dyDescent="0.25">
      <c r="A156" s="10">
        <v>16504</v>
      </c>
      <c r="B156" s="9" t="s">
        <v>494</v>
      </c>
      <c r="C156" s="12" t="str">
        <f>IFERROR(VLOOKUP(TED[[#This Row],[CENTRO]],'CENTRO DE CUSTO'!B:E,4,FALSE)," ")</f>
        <v>JOÃO CLEMENTONI</v>
      </c>
      <c r="D156" s="12">
        <v>87</v>
      </c>
      <c r="E156" s="16">
        <v>87108</v>
      </c>
      <c r="F156" s="10" t="s">
        <v>491</v>
      </c>
      <c r="G156" s="10">
        <v>150</v>
      </c>
      <c r="H156" s="11">
        <v>44357</v>
      </c>
      <c r="I156" s="10" t="s">
        <v>1</v>
      </c>
      <c r="J156" s="12" t="str">
        <f>IF(OR(TED[[#This Row],[SITUACAO]]=1,TED[[#This Row],[SITUACAO]]=9,TED[[#This Row],[SITUACAO]]=18),"ATIVO","AFASTADO")</f>
        <v>ATIVO</v>
      </c>
      <c r="K156" s="12">
        <v>1</v>
      </c>
    </row>
    <row r="157" spans="1:11" x14ac:dyDescent="0.25">
      <c r="A157" s="10">
        <v>5418</v>
      </c>
      <c r="B157" s="9" t="s">
        <v>258</v>
      </c>
      <c r="C157" s="12" t="str">
        <f>IFERROR(VLOOKUP(TED[[#This Row],[CENTRO]],'CENTRO DE CUSTO'!B:E,4,FALSE)," ")</f>
        <v>JOÃO CLEMENTONI</v>
      </c>
      <c r="D157" s="12">
        <v>87</v>
      </c>
      <c r="E157" s="16">
        <v>87063</v>
      </c>
      <c r="F157" s="10" t="s">
        <v>256</v>
      </c>
      <c r="G157" s="10">
        <v>220</v>
      </c>
      <c r="H157" s="11">
        <v>42156</v>
      </c>
      <c r="I157" s="10" t="s">
        <v>1</v>
      </c>
      <c r="J157" s="12" t="str">
        <f>IF(OR(TED[[#This Row],[SITUACAO]]=1,TED[[#This Row],[SITUACAO]]=9,TED[[#This Row],[SITUACAO]]=18),"ATIVO","AFASTADO")</f>
        <v>ATIVO</v>
      </c>
      <c r="K157" s="12">
        <v>1</v>
      </c>
    </row>
    <row r="158" spans="1:11" x14ac:dyDescent="0.25">
      <c r="A158" s="10">
        <v>938</v>
      </c>
      <c r="B158" s="9" t="s">
        <v>2223</v>
      </c>
      <c r="C158" s="12" t="str">
        <f>IFERROR(VLOOKUP(TED[[#This Row],[CENTRO]],'CENTRO DE CUSTO'!B:E,4,FALSE)," ")</f>
        <v>S/ SUPERVISOR</v>
      </c>
      <c r="D158" s="12">
        <v>87</v>
      </c>
      <c r="E158" s="16">
        <v>87483</v>
      </c>
      <c r="F158" s="10" t="s">
        <v>629</v>
      </c>
      <c r="G158" s="10">
        <v>220</v>
      </c>
      <c r="H158" s="11">
        <v>40739</v>
      </c>
      <c r="I158" s="10" t="s">
        <v>21</v>
      </c>
      <c r="J158" s="12" t="str">
        <f>IF(OR(TED[[#This Row],[SITUACAO]]=1,TED[[#This Row],[SITUACAO]]=9,TED[[#This Row],[SITUACAO]]=18),"ATIVO","AFASTADO")</f>
        <v>AFASTADO</v>
      </c>
      <c r="K158" s="12">
        <v>12</v>
      </c>
    </row>
    <row r="159" spans="1:11" x14ac:dyDescent="0.25">
      <c r="A159" s="10">
        <v>9486</v>
      </c>
      <c r="B159" s="9" t="s">
        <v>475</v>
      </c>
      <c r="C159" s="12" t="str">
        <f>IFERROR(VLOOKUP(TED[[#This Row],[CENTRO]],'CENTRO DE CUSTO'!B:E,4,FALSE)," ")</f>
        <v>DÉBORA GOBETTI</v>
      </c>
      <c r="D159" s="12">
        <v>87</v>
      </c>
      <c r="E159" s="16">
        <v>87105</v>
      </c>
      <c r="F159" s="10" t="s">
        <v>473</v>
      </c>
      <c r="G159" s="10">
        <v>220</v>
      </c>
      <c r="H159" s="11">
        <v>42954</v>
      </c>
      <c r="I159" s="10" t="s">
        <v>21</v>
      </c>
      <c r="J159" s="12" t="str">
        <f>IF(OR(TED[[#This Row],[SITUACAO]]=1,TED[[#This Row],[SITUACAO]]=9,TED[[#This Row],[SITUACAO]]=18),"ATIVO","AFASTADO")</f>
        <v>ATIVO</v>
      </c>
      <c r="K159" s="12">
        <v>1</v>
      </c>
    </row>
    <row r="160" spans="1:11" x14ac:dyDescent="0.25">
      <c r="A160" s="10">
        <v>11068</v>
      </c>
      <c r="B160" s="9" t="s">
        <v>26</v>
      </c>
      <c r="C160" s="12" t="str">
        <f>IFERROR(VLOOKUP(TED[[#This Row],[CENTRO]],'CENTRO DE CUSTO'!B:E,4,FALSE)," ")</f>
        <v>JOÃO CLEMENTONI</v>
      </c>
      <c r="D160" s="12">
        <v>87</v>
      </c>
      <c r="E160" s="16">
        <v>87013</v>
      </c>
      <c r="F160" s="10" t="s">
        <v>25</v>
      </c>
      <c r="G160" s="10">
        <v>220</v>
      </c>
      <c r="H160" s="11">
        <v>43335</v>
      </c>
      <c r="I160" s="10" t="s">
        <v>1</v>
      </c>
      <c r="J160" s="12" t="str">
        <f>IF(OR(TED[[#This Row],[SITUACAO]]=1,TED[[#This Row],[SITUACAO]]=9,TED[[#This Row],[SITUACAO]]=18),"ATIVO","AFASTADO")</f>
        <v>ATIVO</v>
      </c>
      <c r="K160" s="12">
        <v>1</v>
      </c>
    </row>
    <row r="161" spans="1:11" x14ac:dyDescent="0.25">
      <c r="A161" s="10">
        <v>5469</v>
      </c>
      <c r="B161" s="9" t="s">
        <v>411</v>
      </c>
      <c r="C161" s="12" t="str">
        <f>IFERROR(VLOOKUP(TED[[#This Row],[CENTRO]],'CENTRO DE CUSTO'!B:E,4,FALSE)," ")</f>
        <v>CARLOS FABRI</v>
      </c>
      <c r="D161" s="12">
        <v>87</v>
      </c>
      <c r="E161" s="16">
        <v>87093</v>
      </c>
      <c r="F161" s="10" t="s">
        <v>412</v>
      </c>
      <c r="G161" s="10">
        <v>220</v>
      </c>
      <c r="H161" s="11">
        <v>42156</v>
      </c>
      <c r="I161" s="10" t="s">
        <v>1</v>
      </c>
      <c r="J161" s="12" t="str">
        <f>IF(OR(TED[[#This Row],[SITUACAO]]=1,TED[[#This Row],[SITUACAO]]=9,TED[[#This Row],[SITUACAO]]=18),"ATIVO","AFASTADO")</f>
        <v>ATIVO</v>
      </c>
      <c r="K161" s="12">
        <v>1</v>
      </c>
    </row>
    <row r="162" spans="1:11" x14ac:dyDescent="0.25">
      <c r="A162" s="10">
        <v>37516</v>
      </c>
      <c r="B162" s="9" t="s">
        <v>533</v>
      </c>
      <c r="C162" s="12" t="str">
        <f>IFERROR(VLOOKUP(TED[[#This Row],[CENTRO]],'CENTRO DE CUSTO'!B:E,4,FALSE)," ")</f>
        <v>JOÃO CLEMENTONI</v>
      </c>
      <c r="D162" s="12">
        <v>87</v>
      </c>
      <c r="E162" s="16">
        <v>87116</v>
      </c>
      <c r="F162" s="10" t="s">
        <v>534</v>
      </c>
      <c r="G162" s="10">
        <v>220</v>
      </c>
      <c r="H162" s="11">
        <v>45726</v>
      </c>
      <c r="I162" s="10" t="s">
        <v>21</v>
      </c>
      <c r="J162" s="12" t="str">
        <f>IF(OR(TED[[#This Row],[SITUACAO]]=1,TED[[#This Row],[SITUACAO]]=9,TED[[#This Row],[SITUACAO]]=18),"ATIVO","AFASTADO")</f>
        <v>ATIVO</v>
      </c>
      <c r="K162" s="12">
        <v>1</v>
      </c>
    </row>
    <row r="163" spans="1:11" x14ac:dyDescent="0.25">
      <c r="A163" s="10">
        <v>43251</v>
      </c>
      <c r="B163" s="9" t="s">
        <v>2036</v>
      </c>
      <c r="C163" s="12" t="str">
        <f>IFERROR(VLOOKUP(TED[[#This Row],[CENTRO]],'CENTRO DE CUSTO'!B:E,4,FALSE)," ")</f>
        <v>DÉBORA GOBETTI</v>
      </c>
      <c r="D163" s="12">
        <v>87</v>
      </c>
      <c r="E163" s="16">
        <v>87055</v>
      </c>
      <c r="F163" s="10" t="s">
        <v>213</v>
      </c>
      <c r="G163" s="10">
        <v>150</v>
      </c>
      <c r="H163" s="11">
        <v>46043</v>
      </c>
      <c r="I163" s="10" t="s">
        <v>1</v>
      </c>
      <c r="J163" s="12" t="str">
        <f>IF(OR(TED[[#This Row],[SITUACAO]]=1,TED[[#This Row],[SITUACAO]]=9,TED[[#This Row],[SITUACAO]]=18),"ATIVO","AFASTADO")</f>
        <v>ATIVO</v>
      </c>
      <c r="K163" s="12">
        <v>1</v>
      </c>
    </row>
    <row r="164" spans="1:11" x14ac:dyDescent="0.25">
      <c r="A164" s="10">
        <v>39017</v>
      </c>
      <c r="B164" s="9" t="s">
        <v>225</v>
      </c>
      <c r="C164" s="12" t="str">
        <f>IFERROR(VLOOKUP(TED[[#This Row],[CENTRO]],'CENTRO DE CUSTO'!B:E,4,FALSE)," ")</f>
        <v>DÉBORA GOBETTI</v>
      </c>
      <c r="D164" s="12">
        <v>87</v>
      </c>
      <c r="E164" s="16">
        <v>87057</v>
      </c>
      <c r="F164" s="10" t="s">
        <v>224</v>
      </c>
      <c r="G164" s="10">
        <v>220</v>
      </c>
      <c r="H164" s="11">
        <v>45811</v>
      </c>
      <c r="I164" s="10" t="s">
        <v>21</v>
      </c>
      <c r="J164" s="12" t="str">
        <f>IF(OR(TED[[#This Row],[SITUACAO]]=1,TED[[#This Row],[SITUACAO]]=9,TED[[#This Row],[SITUACAO]]=18),"ATIVO","AFASTADO")</f>
        <v>ATIVO</v>
      </c>
      <c r="K164" s="12">
        <v>1</v>
      </c>
    </row>
    <row r="165" spans="1:11" x14ac:dyDescent="0.25">
      <c r="A165" s="10">
        <v>4575</v>
      </c>
      <c r="B165" s="9" t="s">
        <v>418</v>
      </c>
      <c r="C165" s="12" t="str">
        <f>IFERROR(VLOOKUP(TED[[#This Row],[CENTRO]],'CENTRO DE CUSTO'!B:E,4,FALSE)," ")</f>
        <v>S/ SUPERVISOR</v>
      </c>
      <c r="D165" s="12">
        <v>87</v>
      </c>
      <c r="E165" s="16">
        <v>87094</v>
      </c>
      <c r="F165" s="10" t="s">
        <v>417</v>
      </c>
      <c r="G165" s="10">
        <v>220</v>
      </c>
      <c r="H165" s="11">
        <v>41991</v>
      </c>
      <c r="I165" s="10" t="s">
        <v>21</v>
      </c>
      <c r="J165" s="12" t="str">
        <f>IF(OR(TED[[#This Row],[SITUACAO]]=1,TED[[#This Row],[SITUACAO]]=9,TED[[#This Row],[SITUACAO]]=18),"ATIVO","AFASTADO")</f>
        <v>ATIVO</v>
      </c>
      <c r="K165" s="12">
        <v>1</v>
      </c>
    </row>
    <row r="166" spans="1:11" x14ac:dyDescent="0.25">
      <c r="A166" s="10">
        <v>5233</v>
      </c>
      <c r="B166" s="9" t="s">
        <v>234</v>
      </c>
      <c r="C166" s="12" t="str">
        <f>IFERROR(VLOOKUP(TED[[#This Row],[CENTRO]],'CENTRO DE CUSTO'!B:E,4,FALSE)," ")</f>
        <v>S/ SUPERVISOR</v>
      </c>
      <c r="D166" s="12">
        <v>87</v>
      </c>
      <c r="E166" s="16">
        <v>87059</v>
      </c>
      <c r="F166" s="10" t="s">
        <v>235</v>
      </c>
      <c r="G166" s="10">
        <v>220</v>
      </c>
      <c r="H166" s="11">
        <v>42156</v>
      </c>
      <c r="I166" s="10" t="s">
        <v>1</v>
      </c>
      <c r="J166" s="12" t="str">
        <f>IF(OR(TED[[#This Row],[SITUACAO]]=1,TED[[#This Row],[SITUACAO]]=9,TED[[#This Row],[SITUACAO]]=18),"ATIVO","AFASTADO")</f>
        <v>ATIVO</v>
      </c>
      <c r="K166" s="12">
        <v>1</v>
      </c>
    </row>
    <row r="167" spans="1:11" x14ac:dyDescent="0.25">
      <c r="A167" s="10">
        <v>6061</v>
      </c>
      <c r="B167" s="9" t="s">
        <v>492</v>
      </c>
      <c r="C167" s="12" t="str">
        <f>IFERROR(VLOOKUP(TED[[#This Row],[CENTRO]],'CENTRO DE CUSTO'!B:E,4,FALSE)," ")</f>
        <v>JOÃO CLEMENTONI</v>
      </c>
      <c r="D167" s="12">
        <v>87</v>
      </c>
      <c r="E167" s="16">
        <v>87108</v>
      </c>
      <c r="F167" s="10" t="s">
        <v>491</v>
      </c>
      <c r="G167" s="10">
        <v>220</v>
      </c>
      <c r="H167" s="11">
        <v>42240</v>
      </c>
      <c r="I167" s="10" t="s">
        <v>1</v>
      </c>
      <c r="J167" s="12" t="str">
        <f>IF(OR(TED[[#This Row],[SITUACAO]]=1,TED[[#This Row],[SITUACAO]]=9,TED[[#This Row],[SITUACAO]]=18),"ATIVO","AFASTADO")</f>
        <v>ATIVO</v>
      </c>
      <c r="K167" s="12">
        <v>1</v>
      </c>
    </row>
    <row r="168" spans="1:11" x14ac:dyDescent="0.25">
      <c r="A168" s="10">
        <v>9904</v>
      </c>
      <c r="B168" s="9" t="s">
        <v>346</v>
      </c>
      <c r="C168" s="12" t="str">
        <f>IFERROR(VLOOKUP(TED[[#This Row],[CENTRO]],'CENTRO DE CUSTO'!B:E,4,FALSE)," ")</f>
        <v>JOÃO CLEMENTONI</v>
      </c>
      <c r="D168" s="12">
        <v>87</v>
      </c>
      <c r="E168" s="16">
        <v>87079</v>
      </c>
      <c r="F168" s="10" t="s">
        <v>340</v>
      </c>
      <c r="G168" s="10">
        <v>220</v>
      </c>
      <c r="H168" s="11">
        <v>43080</v>
      </c>
      <c r="I168" s="10" t="s">
        <v>1</v>
      </c>
      <c r="J168" s="12" t="str">
        <f>IF(OR(TED[[#This Row],[SITUACAO]]=1,TED[[#This Row],[SITUACAO]]=9,TED[[#This Row],[SITUACAO]]=18),"ATIVO","AFASTADO")</f>
        <v>ATIVO</v>
      </c>
      <c r="K168" s="12">
        <v>1</v>
      </c>
    </row>
    <row r="169" spans="1:11" x14ac:dyDescent="0.25">
      <c r="A169" s="10">
        <v>5410</v>
      </c>
      <c r="B169" s="9" t="s">
        <v>173</v>
      </c>
      <c r="C169" s="12" t="str">
        <f>IFERROR(VLOOKUP(TED[[#This Row],[CENTRO]],'CENTRO DE CUSTO'!B:E,4,FALSE)," ")</f>
        <v>DÉBORA GOBETTI</v>
      </c>
      <c r="D169" s="12">
        <v>87</v>
      </c>
      <c r="E169" s="16">
        <v>87046</v>
      </c>
      <c r="F169" s="10" t="s">
        <v>170</v>
      </c>
      <c r="G169" s="10">
        <v>220</v>
      </c>
      <c r="H169" s="11">
        <v>42156</v>
      </c>
      <c r="I169" s="10" t="s">
        <v>21</v>
      </c>
      <c r="J169" s="12" t="str">
        <f>IF(OR(TED[[#This Row],[SITUACAO]]=1,TED[[#This Row],[SITUACAO]]=9,TED[[#This Row],[SITUACAO]]=18),"ATIVO","AFASTADO")</f>
        <v>ATIVO</v>
      </c>
      <c r="K169" s="12">
        <v>1</v>
      </c>
    </row>
    <row r="170" spans="1:11" x14ac:dyDescent="0.25">
      <c r="A170" s="10">
        <v>27396</v>
      </c>
      <c r="B170" s="9" t="s">
        <v>79</v>
      </c>
      <c r="C170" s="12" t="str">
        <f>IFERROR(VLOOKUP(TED[[#This Row],[CENTRO]],'CENTRO DE CUSTO'!B:E,4,FALSE)," ")</f>
        <v>DÉBORA GOBETTI</v>
      </c>
      <c r="D170" s="12">
        <v>87</v>
      </c>
      <c r="E170" s="16">
        <v>87026</v>
      </c>
      <c r="F170" s="10" t="s">
        <v>76</v>
      </c>
      <c r="G170" s="10">
        <v>220</v>
      </c>
      <c r="H170" s="11">
        <v>45082</v>
      </c>
      <c r="I170" s="10" t="s">
        <v>21</v>
      </c>
      <c r="J170" s="12" t="str">
        <f>IF(OR(TED[[#This Row],[SITUACAO]]=1,TED[[#This Row],[SITUACAO]]=9,TED[[#This Row],[SITUACAO]]=18),"ATIVO","AFASTADO")</f>
        <v>AFASTADO</v>
      </c>
      <c r="K170" s="12">
        <v>12</v>
      </c>
    </row>
    <row r="171" spans="1:11" x14ac:dyDescent="0.25">
      <c r="A171" s="10">
        <v>43250</v>
      </c>
      <c r="B171" s="9" t="s">
        <v>2047</v>
      </c>
      <c r="C171" s="12" t="str">
        <f>IFERROR(VLOOKUP(TED[[#This Row],[CENTRO]],'CENTRO DE CUSTO'!B:E,4,FALSE)," ")</f>
        <v>VANDERSON</v>
      </c>
      <c r="D171" s="12">
        <v>87</v>
      </c>
      <c r="E171" s="16">
        <v>87114</v>
      </c>
      <c r="F171" s="10" t="s">
        <v>524</v>
      </c>
      <c r="G171" s="10">
        <v>220</v>
      </c>
      <c r="H171" s="11">
        <v>46043</v>
      </c>
      <c r="I171" s="10" t="s">
        <v>21</v>
      </c>
      <c r="J171" s="12" t="str">
        <f>IF(OR(TED[[#This Row],[SITUACAO]]=1,TED[[#This Row],[SITUACAO]]=9,TED[[#This Row],[SITUACAO]]=18),"ATIVO","AFASTADO")</f>
        <v>ATIVO</v>
      </c>
      <c r="K171" s="12">
        <v>1</v>
      </c>
    </row>
    <row r="172" spans="1:11" x14ac:dyDescent="0.25">
      <c r="A172" s="10">
        <v>38392</v>
      </c>
      <c r="B172" s="9" t="s">
        <v>538</v>
      </c>
      <c r="C172" s="12" t="str">
        <f>IFERROR(VLOOKUP(TED[[#This Row],[CENTRO]],'CENTRO DE CUSTO'!B:E,4,FALSE)," ")</f>
        <v>JOÃO CLEMENTONI</v>
      </c>
      <c r="D172" s="12">
        <v>87</v>
      </c>
      <c r="E172" s="16">
        <v>87116</v>
      </c>
      <c r="F172" s="10" t="s">
        <v>534</v>
      </c>
      <c r="G172" s="10">
        <v>220</v>
      </c>
      <c r="H172" s="11">
        <v>45769</v>
      </c>
      <c r="I172" s="10" t="s">
        <v>1</v>
      </c>
      <c r="J172" s="12" t="str">
        <f>IF(OR(TED[[#This Row],[SITUACAO]]=1,TED[[#This Row],[SITUACAO]]=9,TED[[#This Row],[SITUACAO]]=18),"ATIVO","AFASTADO")</f>
        <v>ATIVO</v>
      </c>
      <c r="K172" s="12">
        <v>1</v>
      </c>
    </row>
    <row r="173" spans="1:11" x14ac:dyDescent="0.25">
      <c r="A173" s="10">
        <v>16390</v>
      </c>
      <c r="B173" s="9" t="s">
        <v>559</v>
      </c>
      <c r="C173" s="12" t="str">
        <f>IFERROR(VLOOKUP(TED[[#This Row],[CENTRO]],'CENTRO DE CUSTO'!B:E,4,FALSE)," ")</f>
        <v>CARLOS FABRI</v>
      </c>
      <c r="D173" s="12">
        <v>87</v>
      </c>
      <c r="E173" s="16">
        <v>87122</v>
      </c>
      <c r="F173" s="10" t="s">
        <v>560</v>
      </c>
      <c r="G173" s="10">
        <v>220</v>
      </c>
      <c r="H173" s="11">
        <v>44349</v>
      </c>
      <c r="I173" s="10" t="s">
        <v>1</v>
      </c>
      <c r="J173" s="12" t="str">
        <f>IF(OR(TED[[#This Row],[SITUACAO]]=1,TED[[#This Row],[SITUACAO]]=9,TED[[#This Row],[SITUACAO]]=18),"ATIVO","AFASTADO")</f>
        <v>ATIVO</v>
      </c>
      <c r="K173" s="12">
        <v>1</v>
      </c>
    </row>
    <row r="174" spans="1:11" x14ac:dyDescent="0.25">
      <c r="A174" s="10">
        <v>37876</v>
      </c>
      <c r="B174" s="9" t="s">
        <v>266</v>
      </c>
      <c r="C174" s="12" t="str">
        <f>IFERROR(VLOOKUP(TED[[#This Row],[CENTRO]],'CENTRO DE CUSTO'!B:E,4,FALSE)," ")</f>
        <v>S/ SUPERVISOR</v>
      </c>
      <c r="D174" s="12">
        <v>87</v>
      </c>
      <c r="E174" s="16">
        <v>87065</v>
      </c>
      <c r="F174" s="10" t="s">
        <v>267</v>
      </c>
      <c r="G174" s="10">
        <v>220</v>
      </c>
      <c r="H174" s="11">
        <v>45740</v>
      </c>
      <c r="I174" s="10" t="s">
        <v>21</v>
      </c>
      <c r="J174" s="12" t="str">
        <f>IF(OR(TED[[#This Row],[SITUACAO]]=1,TED[[#This Row],[SITUACAO]]=9,TED[[#This Row],[SITUACAO]]=18),"ATIVO","AFASTADO")</f>
        <v>ATIVO</v>
      </c>
      <c r="K174" s="12">
        <v>1</v>
      </c>
    </row>
    <row r="175" spans="1:11" x14ac:dyDescent="0.25">
      <c r="A175" s="10">
        <v>16459</v>
      </c>
      <c r="B175" s="9" t="s">
        <v>176</v>
      </c>
      <c r="C175" s="12" t="str">
        <f>IFERROR(VLOOKUP(TED[[#This Row],[CENTRO]],'CENTRO DE CUSTO'!B:E,4,FALSE)," ")</f>
        <v>PAULO TORRES</v>
      </c>
      <c r="D175" s="12">
        <v>87</v>
      </c>
      <c r="E175" s="16">
        <v>87200</v>
      </c>
      <c r="F175" s="10" t="s">
        <v>599</v>
      </c>
      <c r="G175" s="10">
        <v>220</v>
      </c>
      <c r="H175" s="11">
        <v>44351</v>
      </c>
      <c r="I175" s="10" t="s">
        <v>21</v>
      </c>
      <c r="J175" s="12" t="str">
        <f>IF(OR(TED[[#This Row],[SITUACAO]]=1,TED[[#This Row],[SITUACAO]]=9,TED[[#This Row],[SITUACAO]]=18),"ATIVO","AFASTADO")</f>
        <v>ATIVO</v>
      </c>
      <c r="K175" s="12">
        <v>1</v>
      </c>
    </row>
    <row r="176" spans="1:11" x14ac:dyDescent="0.25">
      <c r="A176" s="10">
        <v>25942</v>
      </c>
      <c r="B176" s="9" t="s">
        <v>574</v>
      </c>
      <c r="C176" s="12" t="str">
        <f>IFERROR(VLOOKUP(TED[[#This Row],[CENTRO]],'CENTRO DE CUSTO'!B:E,4,FALSE)," ")</f>
        <v>CARLOS FABRI</v>
      </c>
      <c r="D176" s="12">
        <v>87</v>
      </c>
      <c r="E176" s="16">
        <v>87124</v>
      </c>
      <c r="F176" s="10" t="s">
        <v>572</v>
      </c>
      <c r="G176" s="10">
        <v>220</v>
      </c>
      <c r="H176" s="11">
        <v>45005</v>
      </c>
      <c r="I176" s="10" t="s">
        <v>21</v>
      </c>
      <c r="J176" s="12" t="str">
        <f>IF(OR(TED[[#This Row],[SITUACAO]]=1,TED[[#This Row],[SITUACAO]]=9,TED[[#This Row],[SITUACAO]]=18),"ATIVO","AFASTADO")</f>
        <v>ATIVO</v>
      </c>
      <c r="K176" s="12">
        <v>1</v>
      </c>
    </row>
    <row r="177" spans="1:11" x14ac:dyDescent="0.25">
      <c r="A177" s="10">
        <v>534</v>
      </c>
      <c r="B177" s="9" t="s">
        <v>67</v>
      </c>
      <c r="C177" s="12" t="str">
        <f>IFERROR(VLOOKUP(TED[[#This Row],[CENTRO]],'CENTRO DE CUSTO'!B:E,4,FALSE)," ")</f>
        <v>S/ SUPERVISOR</v>
      </c>
      <c r="D177" s="12">
        <v>87</v>
      </c>
      <c r="E177" s="16">
        <v>87023</v>
      </c>
      <c r="F177" s="10" t="s">
        <v>65</v>
      </c>
      <c r="G177" s="10">
        <v>220</v>
      </c>
      <c r="H177" s="11">
        <v>40476</v>
      </c>
      <c r="I177" s="10" t="s">
        <v>1</v>
      </c>
      <c r="J177" s="12" t="str">
        <f>IF(OR(TED[[#This Row],[SITUACAO]]=1,TED[[#This Row],[SITUACAO]]=9,TED[[#This Row],[SITUACAO]]=18),"ATIVO","AFASTADO")</f>
        <v>ATIVO</v>
      </c>
      <c r="K177" s="12">
        <v>1</v>
      </c>
    </row>
    <row r="178" spans="1:11" x14ac:dyDescent="0.25">
      <c r="A178" s="10">
        <v>24910</v>
      </c>
      <c r="B178" s="9" t="s">
        <v>238</v>
      </c>
      <c r="C178" s="12" t="str">
        <f>IFERROR(VLOOKUP(TED[[#This Row],[CENTRO]],'CENTRO DE CUSTO'!B:E,4,FALSE)," ")</f>
        <v>S/ SUPERVISOR</v>
      </c>
      <c r="D178" s="12">
        <v>87</v>
      </c>
      <c r="E178" s="16">
        <v>87059</v>
      </c>
      <c r="F178" s="10" t="s">
        <v>235</v>
      </c>
      <c r="G178" s="10">
        <v>150</v>
      </c>
      <c r="H178" s="11">
        <v>44949</v>
      </c>
      <c r="I178" s="10" t="s">
        <v>1</v>
      </c>
      <c r="J178" s="12" t="str">
        <f>IF(OR(TED[[#This Row],[SITUACAO]]=1,TED[[#This Row],[SITUACAO]]=9,TED[[#This Row],[SITUACAO]]=18),"ATIVO","AFASTADO")</f>
        <v>ATIVO</v>
      </c>
      <c r="K178" s="12">
        <v>1</v>
      </c>
    </row>
    <row r="179" spans="1:11" x14ac:dyDescent="0.25">
      <c r="A179" s="10">
        <v>28506</v>
      </c>
      <c r="B179" s="9" t="s">
        <v>142</v>
      </c>
      <c r="C179" s="12" t="str">
        <f>IFERROR(VLOOKUP(TED[[#This Row],[CENTRO]],'CENTRO DE CUSTO'!B:E,4,FALSE)," ")</f>
        <v>DÉBORA GOBETTI</v>
      </c>
      <c r="D179" s="12">
        <v>87</v>
      </c>
      <c r="E179" s="16">
        <v>87041</v>
      </c>
      <c r="F179" s="10" t="s">
        <v>140</v>
      </c>
      <c r="G179" s="10">
        <v>220</v>
      </c>
      <c r="H179" s="11">
        <v>45184</v>
      </c>
      <c r="I179" s="10" t="s">
        <v>1</v>
      </c>
      <c r="J179" s="12" t="str">
        <f>IF(OR(TED[[#This Row],[SITUACAO]]=1,TED[[#This Row],[SITUACAO]]=9,TED[[#This Row],[SITUACAO]]=18),"ATIVO","AFASTADO")</f>
        <v>ATIVO</v>
      </c>
      <c r="K179" s="12">
        <v>1</v>
      </c>
    </row>
    <row r="180" spans="1:11" x14ac:dyDescent="0.25">
      <c r="A180" s="10">
        <v>43954</v>
      </c>
      <c r="B180" s="9" t="s">
        <v>2070</v>
      </c>
      <c r="C180" s="12" t="str">
        <f>IFERROR(VLOOKUP(TED[[#This Row],[CENTRO]],'CENTRO DE CUSTO'!B:E,4,FALSE)," ")</f>
        <v>VANDERSON</v>
      </c>
      <c r="D180" s="12">
        <v>87</v>
      </c>
      <c r="E180" s="16">
        <v>87113</v>
      </c>
      <c r="F180" s="10" t="s">
        <v>519</v>
      </c>
      <c r="G180" s="10">
        <v>220</v>
      </c>
      <c r="H180" s="11">
        <v>46071</v>
      </c>
      <c r="I180" s="10" t="s">
        <v>21</v>
      </c>
      <c r="J180" s="12" t="str">
        <f>IF(OR(TED[[#This Row],[SITUACAO]]=1,TED[[#This Row],[SITUACAO]]=9,TED[[#This Row],[SITUACAO]]=18),"ATIVO","AFASTADO")</f>
        <v>ATIVO</v>
      </c>
      <c r="K180" s="12">
        <v>1</v>
      </c>
    </row>
    <row r="181" spans="1:11" x14ac:dyDescent="0.25">
      <c r="A181" s="10">
        <v>10496</v>
      </c>
      <c r="B181" s="9" t="s">
        <v>286</v>
      </c>
      <c r="C181" s="12" t="str">
        <f>IFERROR(VLOOKUP(TED[[#This Row],[CENTRO]],'CENTRO DE CUSTO'!B:E,4,FALSE)," ")</f>
        <v>DÉBORA GOBETTI</v>
      </c>
      <c r="D181" s="12">
        <v>87</v>
      </c>
      <c r="E181" s="16">
        <v>87067</v>
      </c>
      <c r="F181" s="10" t="s">
        <v>278</v>
      </c>
      <c r="G181" s="10">
        <v>220</v>
      </c>
      <c r="H181" s="11">
        <v>43192</v>
      </c>
      <c r="I181" s="10" t="s">
        <v>21</v>
      </c>
      <c r="J181" s="12" t="str">
        <f>IF(OR(TED[[#This Row],[SITUACAO]]=1,TED[[#This Row],[SITUACAO]]=9,TED[[#This Row],[SITUACAO]]=18),"ATIVO","AFASTADO")</f>
        <v>ATIVO</v>
      </c>
      <c r="K181" s="12">
        <v>1</v>
      </c>
    </row>
    <row r="182" spans="1:11" x14ac:dyDescent="0.25">
      <c r="A182" s="10">
        <v>44423</v>
      </c>
      <c r="B182" s="9" t="s">
        <v>2113</v>
      </c>
      <c r="C182" s="12" t="str">
        <f>IFERROR(VLOOKUP(TED[[#This Row],[CENTRO]],'CENTRO DE CUSTO'!B:E,4,FALSE)," ")</f>
        <v>S/ SUPERVISOR</v>
      </c>
      <c r="D182" s="12">
        <v>87</v>
      </c>
      <c r="E182" s="16">
        <v>87030</v>
      </c>
      <c r="F182" s="10" t="s">
        <v>88</v>
      </c>
      <c r="G182" s="10">
        <v>220</v>
      </c>
      <c r="H182" s="11">
        <v>46090</v>
      </c>
      <c r="I182" s="10" t="s">
        <v>1</v>
      </c>
      <c r="J182" s="12" t="str">
        <f>IF(OR(TED[[#This Row],[SITUACAO]]=1,TED[[#This Row],[SITUACAO]]=9,TED[[#This Row],[SITUACAO]]=18),"ATIVO","AFASTADO")</f>
        <v>ATIVO</v>
      </c>
      <c r="K182" s="12">
        <v>1</v>
      </c>
    </row>
    <row r="183" spans="1:11" x14ac:dyDescent="0.25">
      <c r="A183" s="10">
        <v>43247</v>
      </c>
      <c r="B183" s="9" t="s">
        <v>2037</v>
      </c>
      <c r="C183" s="12" t="str">
        <f>IFERROR(VLOOKUP(TED[[#This Row],[CENTRO]],'CENTRO DE CUSTO'!B:E,4,FALSE)," ")</f>
        <v>S/ SUPERVISOR</v>
      </c>
      <c r="D183" s="12">
        <v>87</v>
      </c>
      <c r="E183" s="16">
        <v>87058</v>
      </c>
      <c r="F183" s="10" t="s">
        <v>231</v>
      </c>
      <c r="G183" s="10">
        <v>220</v>
      </c>
      <c r="H183" s="11">
        <v>46043</v>
      </c>
      <c r="I183" s="10" t="s">
        <v>21</v>
      </c>
      <c r="J183" s="12" t="str">
        <f>IF(OR(TED[[#This Row],[SITUACAO]]=1,TED[[#This Row],[SITUACAO]]=9,TED[[#This Row],[SITUACAO]]=18),"ATIVO","AFASTADO")</f>
        <v>ATIVO</v>
      </c>
      <c r="K183" s="12">
        <v>1</v>
      </c>
    </row>
    <row r="184" spans="1:11" x14ac:dyDescent="0.25">
      <c r="A184" s="10">
        <v>7933</v>
      </c>
      <c r="B184" s="9" t="s">
        <v>139</v>
      </c>
      <c r="C184" s="12" t="str">
        <f>IFERROR(VLOOKUP(TED[[#This Row],[CENTRO]],'CENTRO DE CUSTO'!B:E,4,FALSE)," ")</f>
        <v>DÉBORA GOBETTI</v>
      </c>
      <c r="D184" s="12">
        <v>87</v>
      </c>
      <c r="E184" s="16">
        <v>87041</v>
      </c>
      <c r="F184" s="10" t="s">
        <v>140</v>
      </c>
      <c r="G184" s="10">
        <v>220</v>
      </c>
      <c r="H184" s="11">
        <v>42597</v>
      </c>
      <c r="I184" s="10" t="s">
        <v>21</v>
      </c>
      <c r="J184" s="12" t="str">
        <f>IF(OR(TED[[#This Row],[SITUACAO]]=1,TED[[#This Row],[SITUACAO]]=9,TED[[#This Row],[SITUACAO]]=18),"ATIVO","AFASTADO")</f>
        <v>ATIVO</v>
      </c>
      <c r="K184" s="12">
        <v>1</v>
      </c>
    </row>
    <row r="185" spans="1:11" x14ac:dyDescent="0.25">
      <c r="A185" s="10">
        <v>45245</v>
      </c>
      <c r="B185" s="9" t="s">
        <v>2220</v>
      </c>
      <c r="C185" s="12" t="str">
        <f>IFERROR(VLOOKUP(TED[[#This Row],[CENTRO]],'CENTRO DE CUSTO'!B:E,4,FALSE)," ")</f>
        <v>S/ SUPERVISOR</v>
      </c>
      <c r="D185" s="12">
        <v>87</v>
      </c>
      <c r="E185" s="16">
        <v>87103</v>
      </c>
      <c r="F185" s="10" t="s">
        <v>459</v>
      </c>
      <c r="G185" s="10">
        <v>220</v>
      </c>
      <c r="H185" s="11">
        <v>46141</v>
      </c>
      <c r="I185" s="10" t="s">
        <v>21</v>
      </c>
      <c r="J185" s="12" t="str">
        <f>IF(OR(TED[[#This Row],[SITUACAO]]=1,TED[[#This Row],[SITUACAO]]=9,TED[[#This Row],[SITUACAO]]=18),"ATIVO","AFASTADO")</f>
        <v>ATIVO</v>
      </c>
      <c r="K185" s="12">
        <v>1</v>
      </c>
    </row>
    <row r="186" spans="1:11" x14ac:dyDescent="0.25">
      <c r="A186" s="10">
        <v>45045</v>
      </c>
      <c r="B186" s="9" t="s">
        <v>2173</v>
      </c>
      <c r="C186" s="12" t="str">
        <f>IFERROR(VLOOKUP(TED[[#This Row],[CENTRO]],'CENTRO DE CUSTO'!B:E,4,FALSE)," ")</f>
        <v>PAULO TORRES</v>
      </c>
      <c r="D186" s="12">
        <v>87</v>
      </c>
      <c r="E186" s="16">
        <v>87481</v>
      </c>
      <c r="F186" s="10" t="s">
        <v>613</v>
      </c>
      <c r="G186" s="10">
        <v>220</v>
      </c>
      <c r="H186" s="11">
        <v>46128</v>
      </c>
      <c r="I186" s="10" t="s">
        <v>612</v>
      </c>
      <c r="J186" s="12" t="str">
        <f>IF(OR(TED[[#This Row],[SITUACAO]]=1,TED[[#This Row],[SITUACAO]]=9,TED[[#This Row],[SITUACAO]]=18),"ATIVO","AFASTADO")</f>
        <v>ATIVO</v>
      </c>
      <c r="K186" s="12">
        <v>1</v>
      </c>
    </row>
    <row r="187" spans="1:11" x14ac:dyDescent="0.25">
      <c r="A187" s="10">
        <v>27982</v>
      </c>
      <c r="B187" s="9" t="s">
        <v>130</v>
      </c>
      <c r="C187" s="12" t="str">
        <f>IFERROR(VLOOKUP(TED[[#This Row],[CENTRO]],'CENTRO DE CUSTO'!B:E,4,FALSE)," ")</f>
        <v>S/ SUPERVISOR</v>
      </c>
      <c r="D187" s="12">
        <v>87</v>
      </c>
      <c r="E187" s="16">
        <v>87039</v>
      </c>
      <c r="F187" s="10" t="s">
        <v>131</v>
      </c>
      <c r="G187" s="10">
        <v>220</v>
      </c>
      <c r="H187" s="11">
        <v>45131</v>
      </c>
      <c r="I187" s="10" t="s">
        <v>21</v>
      </c>
      <c r="J187" s="12" t="str">
        <f>IF(OR(TED[[#This Row],[SITUACAO]]=1,TED[[#This Row],[SITUACAO]]=9,TED[[#This Row],[SITUACAO]]=18),"ATIVO","AFASTADO")</f>
        <v>AFASTADO</v>
      </c>
      <c r="K187" s="12">
        <v>12</v>
      </c>
    </row>
    <row r="188" spans="1:11" x14ac:dyDescent="0.25">
      <c r="A188" s="10">
        <v>27461</v>
      </c>
      <c r="B188" s="9" t="s">
        <v>371</v>
      </c>
      <c r="C188" s="12" t="str">
        <f>IFERROR(VLOOKUP(TED[[#This Row],[CENTRO]],'CENTRO DE CUSTO'!B:E,4,FALSE)," ")</f>
        <v>JOÃO CLEMENTONI</v>
      </c>
      <c r="D188" s="12">
        <v>87</v>
      </c>
      <c r="E188" s="16">
        <v>87095</v>
      </c>
      <c r="F188" s="10" t="s">
        <v>421</v>
      </c>
      <c r="G188" s="10">
        <v>220</v>
      </c>
      <c r="H188" s="11">
        <v>45084</v>
      </c>
      <c r="I188" s="10" t="s">
        <v>21</v>
      </c>
      <c r="J188" s="12" t="str">
        <f>IF(OR(TED[[#This Row],[SITUACAO]]=1,TED[[#This Row],[SITUACAO]]=9,TED[[#This Row],[SITUACAO]]=18),"ATIVO","AFASTADO")</f>
        <v>ATIVO</v>
      </c>
      <c r="K188" s="12">
        <v>1</v>
      </c>
    </row>
    <row r="189" spans="1:11" x14ac:dyDescent="0.25">
      <c r="A189" s="10">
        <v>47292</v>
      </c>
      <c r="B189" s="9" t="s">
        <v>2322</v>
      </c>
      <c r="C189" s="12" t="str">
        <f>IFERROR(VLOOKUP(TED[[#This Row],[CENTRO]],'CENTRO DE CUSTO'!B:E,4,FALSE)," ")</f>
        <v>JOÃO CLEMENTONI</v>
      </c>
      <c r="D189" s="12">
        <v>87</v>
      </c>
      <c r="E189" s="16">
        <v>87040</v>
      </c>
      <c r="F189" s="10" t="s">
        <v>136</v>
      </c>
      <c r="G189" s="10">
        <v>220</v>
      </c>
      <c r="H189" s="11">
        <v>46199</v>
      </c>
      <c r="I189" s="10" t="s">
        <v>21</v>
      </c>
      <c r="J189" s="12" t="str">
        <f>IF(OR(TED[[#This Row],[SITUACAO]]=1,TED[[#This Row],[SITUACAO]]=9,TED[[#This Row],[SITUACAO]]=18),"ATIVO","AFASTADO")</f>
        <v>ATIVO</v>
      </c>
      <c r="K189" s="12">
        <v>1</v>
      </c>
    </row>
    <row r="190" spans="1:11" x14ac:dyDescent="0.25">
      <c r="A190" s="10">
        <v>16437</v>
      </c>
      <c r="B190" s="9" t="s">
        <v>577</v>
      </c>
      <c r="C190" s="12" t="str">
        <f>IFERROR(VLOOKUP(TED[[#This Row],[CENTRO]],'CENTRO DE CUSTO'!B:E,4,FALSE)," ")</f>
        <v>CARLOS FABRI</v>
      </c>
      <c r="D190" s="12">
        <v>87</v>
      </c>
      <c r="E190" s="16">
        <v>87127</v>
      </c>
      <c r="F190" s="10" t="s">
        <v>576</v>
      </c>
      <c r="G190" s="10">
        <v>220</v>
      </c>
      <c r="H190" s="11">
        <v>44349</v>
      </c>
      <c r="I190" s="10" t="s">
        <v>21</v>
      </c>
      <c r="J190" s="12" t="str">
        <f>IF(OR(TED[[#This Row],[SITUACAO]]=1,TED[[#This Row],[SITUACAO]]=9,TED[[#This Row],[SITUACAO]]=18),"ATIVO","AFASTADO")</f>
        <v>ATIVO</v>
      </c>
      <c r="K190" s="12">
        <v>1</v>
      </c>
    </row>
    <row r="191" spans="1:11" x14ac:dyDescent="0.25">
      <c r="A191" s="10">
        <v>12046</v>
      </c>
      <c r="B191" s="9" t="s">
        <v>50</v>
      </c>
      <c r="C191" s="12" t="str">
        <f>IFERROR(VLOOKUP(TED[[#This Row],[CENTRO]],'CENTRO DE CUSTO'!B:E,4,FALSE)," ")</f>
        <v>VANDERSON</v>
      </c>
      <c r="D191" s="12">
        <v>87</v>
      </c>
      <c r="E191" s="16">
        <v>87020</v>
      </c>
      <c r="F191" s="10" t="s">
        <v>51</v>
      </c>
      <c r="G191" s="10">
        <v>220</v>
      </c>
      <c r="H191" s="11">
        <v>43493</v>
      </c>
      <c r="I191" s="10" t="s">
        <v>1</v>
      </c>
      <c r="J191" s="12" t="str">
        <f>IF(OR(TED[[#This Row],[SITUACAO]]=1,TED[[#This Row],[SITUACAO]]=9,TED[[#This Row],[SITUACAO]]=18),"ATIVO","AFASTADO")</f>
        <v>ATIVO</v>
      </c>
      <c r="K191" s="12">
        <v>1</v>
      </c>
    </row>
    <row r="192" spans="1:11" x14ac:dyDescent="0.25">
      <c r="A192" s="10">
        <v>5503</v>
      </c>
      <c r="B192" s="9" t="s">
        <v>579</v>
      </c>
      <c r="C192" s="12" t="str">
        <f>IFERROR(VLOOKUP(TED[[#This Row],[CENTRO]],'CENTRO DE CUSTO'!B:E,4,FALSE)," ")</f>
        <v>S/ SUPERVISOR</v>
      </c>
      <c r="D192" s="12">
        <v>87</v>
      </c>
      <c r="E192" s="16">
        <v>87128</v>
      </c>
      <c r="F192" s="10" t="s">
        <v>580</v>
      </c>
      <c r="G192" s="10">
        <v>220</v>
      </c>
      <c r="H192" s="11">
        <v>42156</v>
      </c>
      <c r="I192" s="10" t="s">
        <v>1</v>
      </c>
      <c r="J192" s="12" t="str">
        <f>IF(OR(TED[[#This Row],[SITUACAO]]=1,TED[[#This Row],[SITUACAO]]=9,TED[[#This Row],[SITUACAO]]=18),"ATIVO","AFASTADO")</f>
        <v>AFASTADO</v>
      </c>
      <c r="K192" s="12">
        <v>6</v>
      </c>
    </row>
    <row r="193" spans="1:11" x14ac:dyDescent="0.25">
      <c r="A193" s="10">
        <v>5531</v>
      </c>
      <c r="B193" s="9" t="s">
        <v>581</v>
      </c>
      <c r="C193" s="12" t="str">
        <f>IFERROR(VLOOKUP(TED[[#This Row],[CENTRO]],'CENTRO DE CUSTO'!B:E,4,FALSE)," ")</f>
        <v>S/ SUPERVISOR</v>
      </c>
      <c r="D193" s="12">
        <v>87</v>
      </c>
      <c r="E193" s="16">
        <v>87129</v>
      </c>
      <c r="F193" s="10" t="s">
        <v>582</v>
      </c>
      <c r="G193" s="10">
        <v>220</v>
      </c>
      <c r="H193" s="11">
        <v>42156</v>
      </c>
      <c r="I193" s="10" t="s">
        <v>1</v>
      </c>
      <c r="J193" s="12" t="str">
        <f>IF(OR(TED[[#This Row],[SITUACAO]]=1,TED[[#This Row],[SITUACAO]]=9,TED[[#This Row],[SITUACAO]]=18),"ATIVO","AFASTADO")</f>
        <v>ATIVO</v>
      </c>
      <c r="K193" s="12">
        <v>1</v>
      </c>
    </row>
    <row r="194" spans="1:11" x14ac:dyDescent="0.25">
      <c r="A194" s="10">
        <v>15667</v>
      </c>
      <c r="B194" s="9" t="s">
        <v>236</v>
      </c>
      <c r="C194" s="12" t="str">
        <f>IFERROR(VLOOKUP(TED[[#This Row],[CENTRO]],'CENTRO DE CUSTO'!B:E,4,FALSE)," ")</f>
        <v>S/ SUPERVISOR</v>
      </c>
      <c r="D194" s="12">
        <v>87</v>
      </c>
      <c r="E194" s="16">
        <v>87059</v>
      </c>
      <c r="F194" s="10" t="s">
        <v>235</v>
      </c>
      <c r="G194" s="10">
        <v>220</v>
      </c>
      <c r="H194" s="11">
        <v>44250</v>
      </c>
      <c r="I194" s="10" t="s">
        <v>21</v>
      </c>
      <c r="J194" s="12" t="str">
        <f>IF(OR(TED[[#This Row],[SITUACAO]]=1,TED[[#This Row],[SITUACAO]]=9,TED[[#This Row],[SITUACAO]]=18),"ATIVO","AFASTADO")</f>
        <v>ATIVO</v>
      </c>
      <c r="K194" s="12">
        <v>1</v>
      </c>
    </row>
    <row r="195" spans="1:11" x14ac:dyDescent="0.25">
      <c r="A195" s="10">
        <v>8973</v>
      </c>
      <c r="B195" s="9" t="s">
        <v>10</v>
      </c>
      <c r="C195" s="12" t="str">
        <f>IFERROR(VLOOKUP(TED[[#This Row],[CENTRO]],'CENTRO DE CUSTO'!B:E,4,FALSE)," ")</f>
        <v>JOÃO CLEMENTONI</v>
      </c>
      <c r="D195" s="12">
        <v>87</v>
      </c>
      <c r="E195" s="16">
        <v>87049</v>
      </c>
      <c r="F195" s="10" t="s">
        <v>187</v>
      </c>
      <c r="G195" s="10">
        <v>220</v>
      </c>
      <c r="H195" s="11">
        <v>42786</v>
      </c>
      <c r="I195" s="10" t="s">
        <v>1</v>
      </c>
      <c r="J195" s="12" t="str">
        <f>IF(OR(TED[[#This Row],[SITUACAO]]=1,TED[[#This Row],[SITUACAO]]=9,TED[[#This Row],[SITUACAO]]=18),"ATIVO","AFASTADO")</f>
        <v>ATIVO</v>
      </c>
      <c r="K195" s="12">
        <v>1</v>
      </c>
    </row>
    <row r="196" spans="1:11" x14ac:dyDescent="0.25">
      <c r="A196" s="10">
        <v>16463</v>
      </c>
      <c r="B196" s="9" t="s">
        <v>354</v>
      </c>
      <c r="C196" s="12" t="str">
        <f>IFERROR(VLOOKUP(TED[[#This Row],[CENTRO]],'CENTRO DE CUSTO'!B:E,4,FALSE)," ")</f>
        <v>DÉBORA GOBETTI</v>
      </c>
      <c r="D196" s="12">
        <v>87</v>
      </c>
      <c r="E196" s="16">
        <v>87081</v>
      </c>
      <c r="F196" s="10" t="s">
        <v>353</v>
      </c>
      <c r="G196" s="10">
        <v>150</v>
      </c>
      <c r="H196" s="11">
        <v>44355</v>
      </c>
      <c r="I196" s="10" t="s">
        <v>1</v>
      </c>
      <c r="J196" s="12" t="str">
        <f>IF(OR(TED[[#This Row],[SITUACAO]]=1,TED[[#This Row],[SITUACAO]]=9,TED[[#This Row],[SITUACAO]]=18),"ATIVO","AFASTADO")</f>
        <v>ATIVO</v>
      </c>
      <c r="K196" s="12">
        <v>1</v>
      </c>
    </row>
    <row r="197" spans="1:11" x14ac:dyDescent="0.25">
      <c r="A197" s="10">
        <v>29781</v>
      </c>
      <c r="B197" s="9" t="s">
        <v>280</v>
      </c>
      <c r="C197" s="12" t="str">
        <f>IFERROR(VLOOKUP(TED[[#This Row],[CENTRO]],'CENTRO DE CUSTO'!B:E,4,FALSE)," ")</f>
        <v>DÉBORA GOBETTI</v>
      </c>
      <c r="D197" s="12">
        <v>87</v>
      </c>
      <c r="E197" s="16">
        <v>87067</v>
      </c>
      <c r="F197" s="10" t="s">
        <v>278</v>
      </c>
      <c r="G197" s="10">
        <v>220</v>
      </c>
      <c r="H197" s="11">
        <v>45313</v>
      </c>
      <c r="I197" s="10" t="s">
        <v>21</v>
      </c>
      <c r="J197" s="12" t="str">
        <f>IF(OR(TED[[#This Row],[SITUACAO]]=1,TED[[#This Row],[SITUACAO]]=9,TED[[#This Row],[SITUACAO]]=18),"ATIVO","AFASTADO")</f>
        <v>ATIVO</v>
      </c>
      <c r="K197" s="12">
        <v>1</v>
      </c>
    </row>
    <row r="198" spans="1:11" x14ac:dyDescent="0.25">
      <c r="A198" s="10">
        <v>34986</v>
      </c>
      <c r="B198" s="9" t="s">
        <v>298</v>
      </c>
      <c r="C198" s="12" t="str">
        <f>IFERROR(VLOOKUP(TED[[#This Row],[CENTRO]],'CENTRO DE CUSTO'!B:E,4,FALSE)," ")</f>
        <v>DÉBORA GOBETTI</v>
      </c>
      <c r="D198" s="12">
        <v>87</v>
      </c>
      <c r="E198" s="16">
        <v>87071</v>
      </c>
      <c r="F198" s="10" t="s">
        <v>299</v>
      </c>
      <c r="G198" s="10">
        <v>220</v>
      </c>
      <c r="H198" s="11">
        <v>45677</v>
      </c>
      <c r="I198" s="10" t="s">
        <v>21</v>
      </c>
      <c r="J198" s="12" t="str">
        <f>IF(OR(TED[[#This Row],[SITUACAO]]=1,TED[[#This Row],[SITUACAO]]=9,TED[[#This Row],[SITUACAO]]=18),"ATIVO","AFASTADO")</f>
        <v>AFASTADO</v>
      </c>
      <c r="K198" s="12">
        <v>12</v>
      </c>
    </row>
    <row r="199" spans="1:11" x14ac:dyDescent="0.25">
      <c r="A199" s="10">
        <v>5250</v>
      </c>
      <c r="B199" s="9" t="s">
        <v>82</v>
      </c>
      <c r="C199" s="12" t="str">
        <f>IFERROR(VLOOKUP(TED[[#This Row],[CENTRO]],'CENTRO DE CUSTO'!B:E,4,FALSE)," ")</f>
        <v>CARLOS FABRI</v>
      </c>
      <c r="D199" s="12">
        <v>87</v>
      </c>
      <c r="E199" s="16">
        <v>87027</v>
      </c>
      <c r="F199" s="10" t="s">
        <v>81</v>
      </c>
      <c r="G199" s="10">
        <v>220</v>
      </c>
      <c r="H199" s="11">
        <v>42156</v>
      </c>
      <c r="I199" s="10" t="s">
        <v>1</v>
      </c>
      <c r="J199" s="12" t="str">
        <f>IF(OR(TED[[#This Row],[SITUACAO]]=1,TED[[#This Row],[SITUACAO]]=9,TED[[#This Row],[SITUACAO]]=18),"ATIVO","AFASTADO")</f>
        <v>ATIVO</v>
      </c>
      <c r="K199" s="12">
        <v>1</v>
      </c>
    </row>
    <row r="200" spans="1:11" x14ac:dyDescent="0.25">
      <c r="A200" s="10">
        <v>5322</v>
      </c>
      <c r="B200" s="9" t="s">
        <v>377</v>
      </c>
      <c r="C200" s="12" t="str">
        <f>IFERROR(VLOOKUP(TED[[#This Row],[CENTRO]],'CENTRO DE CUSTO'!B:E,4,FALSE)," ")</f>
        <v>DÉBORA GOBETTI</v>
      </c>
      <c r="D200" s="12">
        <v>87</v>
      </c>
      <c r="E200" s="16">
        <v>87086</v>
      </c>
      <c r="F200" s="10" t="s">
        <v>376</v>
      </c>
      <c r="G200" s="10">
        <v>220</v>
      </c>
      <c r="H200" s="11">
        <v>42156</v>
      </c>
      <c r="I200" s="10" t="s">
        <v>1</v>
      </c>
      <c r="J200" s="12" t="str">
        <f>IF(OR(TED[[#This Row],[SITUACAO]]=1,TED[[#This Row],[SITUACAO]]=9,TED[[#This Row],[SITUACAO]]=18),"ATIVO","AFASTADO")</f>
        <v>ATIVO</v>
      </c>
      <c r="K200" s="12">
        <v>1</v>
      </c>
    </row>
    <row r="201" spans="1:11" x14ac:dyDescent="0.25">
      <c r="A201" s="10">
        <v>5522</v>
      </c>
      <c r="B201" s="9" t="s">
        <v>61</v>
      </c>
      <c r="C201" s="12" t="str">
        <f>IFERROR(VLOOKUP(TED[[#This Row],[CENTRO]],'CENTRO DE CUSTO'!B:E,4,FALSE)," ")</f>
        <v>CARLOS FABRI</v>
      </c>
      <c r="D201" s="12">
        <v>87</v>
      </c>
      <c r="E201" s="16">
        <v>87123</v>
      </c>
      <c r="F201" s="10" t="s">
        <v>563</v>
      </c>
      <c r="G201" s="10">
        <v>220</v>
      </c>
      <c r="H201" s="11">
        <v>42156</v>
      </c>
      <c r="I201" s="10" t="s">
        <v>1</v>
      </c>
      <c r="J201" s="12" t="str">
        <f>IF(OR(TED[[#This Row],[SITUACAO]]=1,TED[[#This Row],[SITUACAO]]=9,TED[[#This Row],[SITUACAO]]=18),"ATIVO","AFASTADO")</f>
        <v>ATIVO</v>
      </c>
      <c r="K201" s="12">
        <v>1</v>
      </c>
    </row>
    <row r="202" spans="1:11" x14ac:dyDescent="0.25">
      <c r="A202" s="10">
        <v>5487</v>
      </c>
      <c r="B202" s="9" t="s">
        <v>546</v>
      </c>
      <c r="C202" s="12" t="str">
        <f>IFERROR(VLOOKUP(TED[[#This Row],[CENTRO]],'CENTRO DE CUSTO'!B:E,4,FALSE)," ")</f>
        <v>S/ SUPERVISOR</v>
      </c>
      <c r="D202" s="12">
        <v>87</v>
      </c>
      <c r="E202" s="16">
        <v>87118</v>
      </c>
      <c r="F202" s="10" t="s">
        <v>544</v>
      </c>
      <c r="G202" s="10">
        <v>220</v>
      </c>
      <c r="H202" s="11">
        <v>42156</v>
      </c>
      <c r="I202" s="10" t="s">
        <v>1</v>
      </c>
      <c r="J202" s="12" t="str">
        <f>IF(OR(TED[[#This Row],[SITUACAO]]=1,TED[[#This Row],[SITUACAO]]=9,TED[[#This Row],[SITUACAO]]=18),"ATIVO","AFASTADO")</f>
        <v>ATIVO</v>
      </c>
      <c r="K202" s="12">
        <v>1</v>
      </c>
    </row>
    <row r="203" spans="1:11" x14ac:dyDescent="0.25">
      <c r="A203" s="10">
        <v>1514</v>
      </c>
      <c r="B203" s="9" t="s">
        <v>457</v>
      </c>
      <c r="C203" s="12" t="str">
        <f>IFERROR(VLOOKUP(TED[[#This Row],[CENTRO]],'CENTRO DE CUSTO'!B:E,4,FALSE)," ")</f>
        <v>S/ SUPERVISOR</v>
      </c>
      <c r="D203" s="12">
        <v>87</v>
      </c>
      <c r="E203" s="16">
        <v>87102</v>
      </c>
      <c r="F203" s="10" t="s">
        <v>455</v>
      </c>
      <c r="G203" s="10">
        <v>220</v>
      </c>
      <c r="H203" s="11">
        <v>41134</v>
      </c>
      <c r="I203" s="10" t="s">
        <v>21</v>
      </c>
      <c r="J203" s="12" t="str">
        <f>IF(OR(TED[[#This Row],[SITUACAO]]=1,TED[[#This Row],[SITUACAO]]=9,TED[[#This Row],[SITUACAO]]=18),"ATIVO","AFASTADO")</f>
        <v>ATIVO</v>
      </c>
      <c r="K203" s="12">
        <v>1</v>
      </c>
    </row>
    <row r="204" spans="1:11" x14ac:dyDescent="0.25">
      <c r="A204" s="10">
        <v>28345</v>
      </c>
      <c r="B204" s="9" t="s">
        <v>927</v>
      </c>
      <c r="C204" s="12" t="str">
        <f>IFERROR(VLOOKUP(TED[[#This Row],[CENTRO]],'CENTRO DE CUSTO'!B:E,4,FALSE)," ")</f>
        <v>PAULO TORRES</v>
      </c>
      <c r="D204" s="12">
        <v>87</v>
      </c>
      <c r="E204" s="16">
        <v>87481</v>
      </c>
      <c r="F204" s="10" t="s">
        <v>613</v>
      </c>
      <c r="G204" s="10">
        <v>220</v>
      </c>
      <c r="H204" s="11">
        <v>45170</v>
      </c>
      <c r="I204" s="10" t="s">
        <v>604</v>
      </c>
      <c r="J204" s="12" t="str">
        <f>IF(OR(TED[[#This Row],[SITUACAO]]=1,TED[[#This Row],[SITUACAO]]=9,TED[[#This Row],[SITUACAO]]=18),"ATIVO","AFASTADO")</f>
        <v>ATIVO</v>
      </c>
      <c r="K204" s="12">
        <v>18</v>
      </c>
    </row>
    <row r="205" spans="1:11" x14ac:dyDescent="0.25">
      <c r="A205" s="10">
        <v>25169</v>
      </c>
      <c r="B205" s="9" t="s">
        <v>290</v>
      </c>
      <c r="C205" s="12" t="str">
        <f>IFERROR(VLOOKUP(TED[[#This Row],[CENTRO]],'CENTRO DE CUSTO'!B:E,4,FALSE)," ")</f>
        <v>CARLOS FABRI</v>
      </c>
      <c r="D205" s="12">
        <v>87</v>
      </c>
      <c r="E205" s="16">
        <v>87068</v>
      </c>
      <c r="F205" s="10" t="s">
        <v>288</v>
      </c>
      <c r="G205" s="10">
        <v>220</v>
      </c>
      <c r="H205" s="11">
        <v>44960</v>
      </c>
      <c r="I205" s="10" t="s">
        <v>21</v>
      </c>
      <c r="J205" s="12" t="str">
        <f>IF(OR(TED[[#This Row],[SITUACAO]]=1,TED[[#This Row],[SITUACAO]]=9,TED[[#This Row],[SITUACAO]]=18),"ATIVO","AFASTADO")</f>
        <v>ATIVO</v>
      </c>
      <c r="K205" s="12">
        <v>1</v>
      </c>
    </row>
    <row r="206" spans="1:11" x14ac:dyDescent="0.25">
      <c r="A206" s="10">
        <v>5301</v>
      </c>
      <c r="B206" s="9" t="s">
        <v>24</v>
      </c>
      <c r="C206" s="12" t="str">
        <f>IFERROR(VLOOKUP(TED[[#This Row],[CENTRO]],'CENTRO DE CUSTO'!B:E,4,FALSE)," ")</f>
        <v>JOÃO CLEMENTONI</v>
      </c>
      <c r="D206" s="12">
        <v>87</v>
      </c>
      <c r="E206" s="16">
        <v>87013</v>
      </c>
      <c r="F206" s="10" t="s">
        <v>25</v>
      </c>
      <c r="G206" s="10">
        <v>220</v>
      </c>
      <c r="H206" s="11">
        <v>42156</v>
      </c>
      <c r="I206" s="10" t="s">
        <v>1</v>
      </c>
      <c r="J206" s="12" t="str">
        <f>IF(OR(TED[[#This Row],[SITUACAO]]=1,TED[[#This Row],[SITUACAO]]=9,TED[[#This Row],[SITUACAO]]=18),"ATIVO","AFASTADO")</f>
        <v>ATIVO</v>
      </c>
      <c r="K206" s="12">
        <v>1</v>
      </c>
    </row>
    <row r="207" spans="1:11" x14ac:dyDescent="0.25">
      <c r="A207" s="10">
        <v>20122</v>
      </c>
      <c r="B207" s="9" t="s">
        <v>537</v>
      </c>
      <c r="C207" s="12" t="str">
        <f>IFERROR(VLOOKUP(TED[[#This Row],[CENTRO]],'CENTRO DE CUSTO'!B:E,4,FALSE)," ")</f>
        <v>JOÃO CLEMENTONI</v>
      </c>
      <c r="D207" s="12">
        <v>87</v>
      </c>
      <c r="E207" s="16">
        <v>87116</v>
      </c>
      <c r="F207" s="10" t="s">
        <v>534</v>
      </c>
      <c r="G207" s="10">
        <v>220</v>
      </c>
      <c r="H207" s="11">
        <v>44586</v>
      </c>
      <c r="I207" s="10" t="s">
        <v>1</v>
      </c>
      <c r="J207" s="12" t="str">
        <f>IF(OR(TED[[#This Row],[SITUACAO]]=1,TED[[#This Row],[SITUACAO]]=9,TED[[#This Row],[SITUACAO]]=18),"ATIVO","AFASTADO")</f>
        <v>ATIVO</v>
      </c>
      <c r="K207" s="12">
        <v>1</v>
      </c>
    </row>
    <row r="208" spans="1:11" x14ac:dyDescent="0.25">
      <c r="A208" s="10">
        <v>32972</v>
      </c>
      <c r="B208" s="9" t="s">
        <v>608</v>
      </c>
      <c r="C208" s="12" t="str">
        <f>IFERROR(VLOOKUP(TED[[#This Row],[CENTRO]],'CENTRO DE CUSTO'!B:E,4,FALSE)," ")</f>
        <v>PAULO TORRES</v>
      </c>
      <c r="D208" s="12">
        <v>87</v>
      </c>
      <c r="E208" s="16">
        <v>87200</v>
      </c>
      <c r="F208" s="10" t="s">
        <v>599</v>
      </c>
      <c r="G208" s="10">
        <v>220</v>
      </c>
      <c r="H208" s="11">
        <v>45463</v>
      </c>
      <c r="I208" s="10" t="s">
        <v>1</v>
      </c>
      <c r="J208" s="12" t="str">
        <f>IF(OR(TED[[#This Row],[SITUACAO]]=1,TED[[#This Row],[SITUACAO]]=9,TED[[#This Row],[SITUACAO]]=18),"ATIVO","AFASTADO")</f>
        <v>ATIVO</v>
      </c>
      <c r="K208" s="12">
        <v>1</v>
      </c>
    </row>
    <row r="209" spans="1:11" x14ac:dyDescent="0.25">
      <c r="A209" s="10">
        <v>40503</v>
      </c>
      <c r="B209" s="9" t="s">
        <v>147</v>
      </c>
      <c r="C209" s="12" t="str">
        <f>IFERROR(VLOOKUP(TED[[#This Row],[CENTRO]],'CENTRO DE CUSTO'!B:E,4,FALSE)," ")</f>
        <v>DÉBORA GOBETTI</v>
      </c>
      <c r="D209" s="12">
        <v>87</v>
      </c>
      <c r="E209" s="16">
        <v>87041</v>
      </c>
      <c r="F209" s="10" t="s">
        <v>140</v>
      </c>
      <c r="G209" s="10">
        <v>220</v>
      </c>
      <c r="H209" s="11">
        <v>45903</v>
      </c>
      <c r="I209" s="10" t="s">
        <v>21</v>
      </c>
      <c r="J209" s="12" t="str">
        <f>IF(OR(TED[[#This Row],[SITUACAO]]=1,TED[[#This Row],[SITUACAO]]=9,TED[[#This Row],[SITUACAO]]=18),"ATIVO","AFASTADO")</f>
        <v>ATIVO</v>
      </c>
      <c r="K209" s="12">
        <v>1</v>
      </c>
    </row>
    <row r="210" spans="1:11" x14ac:dyDescent="0.25">
      <c r="A210" s="10">
        <v>35245</v>
      </c>
      <c r="B210" s="9" t="s">
        <v>339</v>
      </c>
      <c r="C210" s="12" t="str">
        <f>IFERROR(VLOOKUP(TED[[#This Row],[CENTRO]],'CENTRO DE CUSTO'!B:E,4,FALSE)," ")</f>
        <v>JOÃO CLEMENTONI</v>
      </c>
      <c r="D210" s="12">
        <v>87</v>
      </c>
      <c r="E210" s="16">
        <v>87079</v>
      </c>
      <c r="F210" s="10" t="s">
        <v>340</v>
      </c>
      <c r="G210" s="10">
        <v>220</v>
      </c>
      <c r="H210" s="11">
        <v>45681</v>
      </c>
      <c r="I210" s="10" t="s">
        <v>1</v>
      </c>
      <c r="J210" s="12" t="str">
        <f>IF(OR(TED[[#This Row],[SITUACAO]]=1,TED[[#This Row],[SITUACAO]]=9,TED[[#This Row],[SITUACAO]]=18),"ATIVO","AFASTADO")</f>
        <v>ATIVO</v>
      </c>
      <c r="K210" s="12">
        <v>1</v>
      </c>
    </row>
    <row r="211" spans="1:11" x14ac:dyDescent="0.25">
      <c r="A211" s="10">
        <v>13989</v>
      </c>
      <c r="B211" s="9" t="s">
        <v>578</v>
      </c>
      <c r="C211" s="12" t="str">
        <f>IFERROR(VLOOKUP(TED[[#This Row],[CENTRO]],'CENTRO DE CUSTO'!B:E,4,FALSE)," ")</f>
        <v>CARLOS FABRI</v>
      </c>
      <c r="D211" s="12">
        <v>87</v>
      </c>
      <c r="E211" s="16">
        <v>87127</v>
      </c>
      <c r="F211" s="10" t="s">
        <v>576</v>
      </c>
      <c r="G211" s="10">
        <v>220</v>
      </c>
      <c r="H211" s="11">
        <v>43864</v>
      </c>
      <c r="I211" s="10" t="s">
        <v>1</v>
      </c>
      <c r="J211" s="12" t="str">
        <f>IF(OR(TED[[#This Row],[SITUACAO]]=1,TED[[#This Row],[SITUACAO]]=9,TED[[#This Row],[SITUACAO]]=18),"ATIVO","AFASTADO")</f>
        <v>ATIVO</v>
      </c>
      <c r="K211" s="12">
        <v>1</v>
      </c>
    </row>
    <row r="212" spans="1:11" x14ac:dyDescent="0.25">
      <c r="A212" s="10">
        <v>490</v>
      </c>
      <c r="B212" s="9" t="s">
        <v>66</v>
      </c>
      <c r="C212" s="12" t="str">
        <f>IFERROR(VLOOKUP(TED[[#This Row],[CENTRO]],'CENTRO DE CUSTO'!B:E,4,FALSE)," ")</f>
        <v>S/ SUPERVISOR</v>
      </c>
      <c r="D212" s="12">
        <v>87</v>
      </c>
      <c r="E212" s="16">
        <v>87023</v>
      </c>
      <c r="F212" s="10" t="s">
        <v>65</v>
      </c>
      <c r="G212" s="10">
        <v>220</v>
      </c>
      <c r="H212" s="11">
        <v>40476</v>
      </c>
      <c r="I212" s="10" t="s">
        <v>21</v>
      </c>
      <c r="J212" s="12" t="str">
        <f>IF(OR(TED[[#This Row],[SITUACAO]]=1,TED[[#This Row],[SITUACAO]]=9,TED[[#This Row],[SITUACAO]]=18),"ATIVO","AFASTADO")</f>
        <v>ATIVO</v>
      </c>
      <c r="K212" s="12">
        <v>1</v>
      </c>
    </row>
    <row r="213" spans="1:11" x14ac:dyDescent="0.25">
      <c r="A213" s="10">
        <v>5420</v>
      </c>
      <c r="B213" s="9" t="s">
        <v>345</v>
      </c>
      <c r="C213" s="12" t="str">
        <f>IFERROR(VLOOKUP(TED[[#This Row],[CENTRO]],'CENTRO DE CUSTO'!B:E,4,FALSE)," ")</f>
        <v>JOÃO CLEMENTONI</v>
      </c>
      <c r="D213" s="12">
        <v>87</v>
      </c>
      <c r="E213" s="16">
        <v>87079</v>
      </c>
      <c r="F213" s="10" t="s">
        <v>340</v>
      </c>
      <c r="G213" s="10">
        <v>220</v>
      </c>
      <c r="H213" s="11">
        <v>42156</v>
      </c>
      <c r="I213" s="10" t="s">
        <v>21</v>
      </c>
      <c r="J213" s="12" t="str">
        <f>IF(OR(TED[[#This Row],[SITUACAO]]=1,TED[[#This Row],[SITUACAO]]=9,TED[[#This Row],[SITUACAO]]=18),"ATIVO","AFASTADO")</f>
        <v>ATIVO</v>
      </c>
      <c r="K213" s="12">
        <v>1</v>
      </c>
    </row>
    <row r="214" spans="1:11" x14ac:dyDescent="0.25">
      <c r="A214" s="10">
        <v>5613</v>
      </c>
      <c r="B214" s="9" t="s">
        <v>363</v>
      </c>
      <c r="C214" s="12" t="str">
        <f>IFERROR(VLOOKUP(TED[[#This Row],[CENTRO]],'CENTRO DE CUSTO'!B:E,4,FALSE)," ")</f>
        <v>VANDERSON</v>
      </c>
      <c r="D214" s="12">
        <v>87</v>
      </c>
      <c r="E214" s="16">
        <v>87083</v>
      </c>
      <c r="F214" s="10" t="s">
        <v>364</v>
      </c>
      <c r="G214" s="10">
        <v>220</v>
      </c>
      <c r="H214" s="11">
        <v>42156</v>
      </c>
      <c r="I214" s="10" t="s">
        <v>1</v>
      </c>
      <c r="J214" s="12" t="str">
        <f>IF(OR(TED[[#This Row],[SITUACAO]]=1,TED[[#This Row],[SITUACAO]]=9,TED[[#This Row],[SITUACAO]]=18),"ATIVO","AFASTADO")</f>
        <v>ATIVO</v>
      </c>
      <c r="K214" s="12">
        <v>1</v>
      </c>
    </row>
    <row r="215" spans="1:11" x14ac:dyDescent="0.25">
      <c r="A215" s="10">
        <v>43269</v>
      </c>
      <c r="B215" s="9" t="s">
        <v>2046</v>
      </c>
      <c r="C215" s="12" t="str">
        <f>IFERROR(VLOOKUP(TED[[#This Row],[CENTRO]],'CENTRO DE CUSTO'!B:E,4,FALSE)," ")</f>
        <v>S/ SUPERVISOR</v>
      </c>
      <c r="D215" s="12">
        <v>87</v>
      </c>
      <c r="E215" s="16">
        <v>87111</v>
      </c>
      <c r="F215" s="10" t="s">
        <v>506</v>
      </c>
      <c r="G215" s="10">
        <v>220</v>
      </c>
      <c r="H215" s="11">
        <v>46043</v>
      </c>
      <c r="I215" s="10" t="s">
        <v>1</v>
      </c>
      <c r="J215" s="12" t="str">
        <f>IF(OR(TED[[#This Row],[SITUACAO]]=1,TED[[#This Row],[SITUACAO]]=9,TED[[#This Row],[SITUACAO]]=18),"ATIVO","AFASTADO")</f>
        <v>ATIVO</v>
      </c>
      <c r="K215" s="12">
        <v>1</v>
      </c>
    </row>
    <row r="216" spans="1:11" x14ac:dyDescent="0.25">
      <c r="A216" s="10">
        <v>30721</v>
      </c>
      <c r="B216" s="9" t="s">
        <v>193</v>
      </c>
      <c r="C216" s="12" t="str">
        <f>IFERROR(VLOOKUP(TED[[#This Row],[CENTRO]],'CENTRO DE CUSTO'!B:E,4,FALSE)," ")</f>
        <v>VANDERSON</v>
      </c>
      <c r="D216" s="12">
        <v>87</v>
      </c>
      <c r="E216" s="16">
        <v>87050</v>
      </c>
      <c r="F216" s="10" t="s">
        <v>194</v>
      </c>
      <c r="G216" s="10">
        <v>220</v>
      </c>
      <c r="H216" s="11">
        <v>45331</v>
      </c>
      <c r="I216" s="10" t="s">
        <v>1</v>
      </c>
      <c r="J216" s="12" t="str">
        <f>IF(OR(TED[[#This Row],[SITUACAO]]=1,TED[[#This Row],[SITUACAO]]=9,TED[[#This Row],[SITUACAO]]=18),"ATIVO","AFASTADO")</f>
        <v>ATIVO</v>
      </c>
      <c r="K216" s="12">
        <v>1</v>
      </c>
    </row>
    <row r="217" spans="1:11" x14ac:dyDescent="0.25">
      <c r="A217" s="10">
        <v>24957</v>
      </c>
      <c r="B217" s="9" t="s">
        <v>217</v>
      </c>
      <c r="C217" s="12" t="str">
        <f>IFERROR(VLOOKUP(TED[[#This Row],[CENTRO]],'CENTRO DE CUSTO'!B:E,4,FALSE)," ")</f>
        <v>CARLOS FABRI</v>
      </c>
      <c r="D217" s="12">
        <v>87</v>
      </c>
      <c r="E217" s="16">
        <v>87056</v>
      </c>
      <c r="F217" s="10" t="s">
        <v>218</v>
      </c>
      <c r="G217" s="10">
        <v>150</v>
      </c>
      <c r="H217" s="11">
        <v>44951</v>
      </c>
      <c r="I217" s="10" t="s">
        <v>1</v>
      </c>
      <c r="J217" s="12" t="str">
        <f>IF(OR(TED[[#This Row],[SITUACAO]]=1,TED[[#This Row],[SITUACAO]]=9,TED[[#This Row],[SITUACAO]]=18),"ATIVO","AFASTADO")</f>
        <v>ATIVO</v>
      </c>
      <c r="K217" s="12">
        <v>1</v>
      </c>
    </row>
    <row r="218" spans="1:11" x14ac:dyDescent="0.25">
      <c r="A218" s="10">
        <v>37494</v>
      </c>
      <c r="B218" s="9" t="s">
        <v>260</v>
      </c>
      <c r="C218" s="12" t="str">
        <f>IFERROR(VLOOKUP(TED[[#This Row],[CENTRO]],'CENTRO DE CUSTO'!B:E,4,FALSE)," ")</f>
        <v>JOÃO CLEMENTONI</v>
      </c>
      <c r="D218" s="12">
        <v>87</v>
      </c>
      <c r="E218" s="16">
        <v>87063</v>
      </c>
      <c r="F218" s="10" t="s">
        <v>256</v>
      </c>
      <c r="G218" s="10">
        <v>220</v>
      </c>
      <c r="H218" s="11">
        <v>45722</v>
      </c>
      <c r="I218" s="10" t="s">
        <v>21</v>
      </c>
      <c r="J218" s="12" t="str">
        <f>IF(OR(TED[[#This Row],[SITUACAO]]=1,TED[[#This Row],[SITUACAO]]=9,TED[[#This Row],[SITUACAO]]=18),"ATIVO","AFASTADO")</f>
        <v>AFASTADO</v>
      </c>
      <c r="K218" s="12">
        <v>6</v>
      </c>
    </row>
    <row r="219" spans="1:11" x14ac:dyDescent="0.25">
      <c r="A219" s="10">
        <v>5385</v>
      </c>
      <c r="B219" s="9" t="s">
        <v>489</v>
      </c>
      <c r="C219" s="12" t="str">
        <f>IFERROR(VLOOKUP(TED[[#This Row],[CENTRO]],'CENTRO DE CUSTO'!B:E,4,FALSE)," ")</f>
        <v>DÉBORA GOBETTI</v>
      </c>
      <c r="D219" s="12">
        <v>87</v>
      </c>
      <c r="E219" s="16">
        <v>87107</v>
      </c>
      <c r="F219" s="10" t="s">
        <v>484</v>
      </c>
      <c r="G219" s="10">
        <v>220</v>
      </c>
      <c r="H219" s="11">
        <v>42156</v>
      </c>
      <c r="I219" s="10" t="s">
        <v>1</v>
      </c>
      <c r="J219" s="12" t="str">
        <f>IF(OR(TED[[#This Row],[SITUACAO]]=1,TED[[#This Row],[SITUACAO]]=9,TED[[#This Row],[SITUACAO]]=18),"ATIVO","AFASTADO")</f>
        <v>ATIVO</v>
      </c>
      <c r="K219" s="12">
        <v>1</v>
      </c>
    </row>
    <row r="220" spans="1:11" x14ac:dyDescent="0.25">
      <c r="A220" s="10">
        <v>16625</v>
      </c>
      <c r="B220" s="9" t="s">
        <v>547</v>
      </c>
      <c r="C220" s="12" t="str">
        <f>IFERROR(VLOOKUP(TED[[#This Row],[CENTRO]],'CENTRO DE CUSTO'!B:E,4,FALSE)," ")</f>
        <v>S/ SUPERVISOR</v>
      </c>
      <c r="D220" s="12">
        <v>87</v>
      </c>
      <c r="E220" s="16">
        <v>87118</v>
      </c>
      <c r="F220" s="10" t="s">
        <v>544</v>
      </c>
      <c r="G220" s="10">
        <v>150</v>
      </c>
      <c r="H220" s="11">
        <v>44364</v>
      </c>
      <c r="I220" s="10" t="s">
        <v>1</v>
      </c>
      <c r="J220" s="12" t="str">
        <f>IF(OR(TED[[#This Row],[SITUACAO]]=1,TED[[#This Row],[SITUACAO]]=9,TED[[#This Row],[SITUACAO]]=18),"ATIVO","AFASTADO")</f>
        <v>ATIVO</v>
      </c>
      <c r="K220" s="12">
        <v>1</v>
      </c>
    </row>
    <row r="221" spans="1:11" x14ac:dyDescent="0.25">
      <c r="A221" s="10">
        <v>5529</v>
      </c>
      <c r="B221" s="9" t="s">
        <v>527</v>
      </c>
      <c r="C221" s="12" t="str">
        <f>IFERROR(VLOOKUP(TED[[#This Row],[CENTRO]],'CENTRO DE CUSTO'!B:E,4,FALSE)," ")</f>
        <v>S/ SUPERVISOR</v>
      </c>
      <c r="D221" s="12">
        <v>87</v>
      </c>
      <c r="E221" s="16">
        <v>87115</v>
      </c>
      <c r="F221" s="10" t="s">
        <v>528</v>
      </c>
      <c r="G221" s="10">
        <v>220</v>
      </c>
      <c r="H221" s="11">
        <v>42156</v>
      </c>
      <c r="I221" s="10" t="s">
        <v>21</v>
      </c>
      <c r="J221" s="12" t="str">
        <f>IF(OR(TED[[#This Row],[SITUACAO]]=1,TED[[#This Row],[SITUACAO]]=9,TED[[#This Row],[SITUACAO]]=18),"ATIVO","AFASTADO")</f>
        <v>ATIVO</v>
      </c>
      <c r="K221" s="12">
        <v>1</v>
      </c>
    </row>
    <row r="222" spans="1:11" x14ac:dyDescent="0.25">
      <c r="A222" s="10">
        <v>21168</v>
      </c>
      <c r="B222" s="9" t="s">
        <v>590</v>
      </c>
      <c r="C222" s="12" t="str">
        <f>IFERROR(VLOOKUP(TED[[#This Row],[CENTRO]],'CENTRO DE CUSTO'!B:E,4,FALSE)," ")</f>
        <v>DÉBORA GOBETTI</v>
      </c>
      <c r="D222" s="12">
        <v>87</v>
      </c>
      <c r="E222" s="16">
        <v>87130</v>
      </c>
      <c r="F222" s="10" t="s">
        <v>589</v>
      </c>
      <c r="G222" s="10">
        <v>220</v>
      </c>
      <c r="H222" s="11">
        <v>44698</v>
      </c>
      <c r="I222" s="10" t="s">
        <v>1</v>
      </c>
      <c r="J222" s="12" t="str">
        <f>IF(OR(TED[[#This Row],[SITUACAO]]=1,TED[[#This Row],[SITUACAO]]=9,TED[[#This Row],[SITUACAO]]=18),"ATIVO","AFASTADO")</f>
        <v>ATIVO</v>
      </c>
      <c r="K222" s="12">
        <v>1</v>
      </c>
    </row>
    <row r="223" spans="1:11" x14ac:dyDescent="0.25">
      <c r="A223" s="10">
        <v>43509</v>
      </c>
      <c r="B223" s="9" t="s">
        <v>2069</v>
      </c>
      <c r="C223" s="12" t="str">
        <f>IFERROR(VLOOKUP(TED[[#This Row],[CENTRO]],'CENTRO DE CUSTO'!B:E,4,FALSE)," ")</f>
        <v>CARLOS FABRI</v>
      </c>
      <c r="D223" s="12">
        <v>87</v>
      </c>
      <c r="E223" s="16">
        <v>87096</v>
      </c>
      <c r="F223" s="10" t="s">
        <v>426</v>
      </c>
      <c r="G223" s="10">
        <v>220</v>
      </c>
      <c r="H223" s="11">
        <v>46050</v>
      </c>
      <c r="I223" s="10" t="s">
        <v>21</v>
      </c>
      <c r="J223" s="12" t="str">
        <f>IF(OR(TED[[#This Row],[SITUACAO]]=1,TED[[#This Row],[SITUACAO]]=9,TED[[#This Row],[SITUACAO]]=18),"ATIVO","AFASTADO")</f>
        <v>ATIVO</v>
      </c>
      <c r="K223" s="12">
        <v>1</v>
      </c>
    </row>
    <row r="224" spans="1:11" x14ac:dyDescent="0.25">
      <c r="A224" s="10">
        <v>5642</v>
      </c>
      <c r="B224" s="9" t="s">
        <v>19</v>
      </c>
      <c r="C224" s="12" t="str">
        <f>IFERROR(VLOOKUP(TED[[#This Row],[CENTRO]],'CENTRO DE CUSTO'!B:E,4,FALSE)," ")</f>
        <v>VANDERSON</v>
      </c>
      <c r="D224" s="12">
        <v>87</v>
      </c>
      <c r="E224" s="16">
        <v>87011</v>
      </c>
      <c r="F224" s="10" t="s">
        <v>18</v>
      </c>
      <c r="G224" s="10">
        <v>220</v>
      </c>
      <c r="H224" s="11">
        <v>42156</v>
      </c>
      <c r="I224" s="10" t="s">
        <v>1</v>
      </c>
      <c r="J224" s="12" t="str">
        <f>IF(OR(TED[[#This Row],[SITUACAO]]=1,TED[[#This Row],[SITUACAO]]=9,TED[[#This Row],[SITUACAO]]=18),"ATIVO","AFASTADO")</f>
        <v>ATIVO</v>
      </c>
      <c r="K224" s="12">
        <v>1</v>
      </c>
    </row>
    <row r="225" spans="1:11" x14ac:dyDescent="0.25">
      <c r="A225" s="10">
        <v>5296</v>
      </c>
      <c r="B225" s="9" t="s">
        <v>253</v>
      </c>
      <c r="C225" s="12" t="str">
        <f>IFERROR(VLOOKUP(TED[[#This Row],[CENTRO]],'CENTRO DE CUSTO'!B:E,4,FALSE)," ")</f>
        <v>CARLOS FABRI</v>
      </c>
      <c r="D225" s="12">
        <v>87</v>
      </c>
      <c r="E225" s="16">
        <v>87062</v>
      </c>
      <c r="F225" s="10" t="s">
        <v>252</v>
      </c>
      <c r="G225" s="10">
        <v>220</v>
      </c>
      <c r="H225" s="11">
        <v>42156</v>
      </c>
      <c r="I225" s="10" t="s">
        <v>1</v>
      </c>
      <c r="J225" s="12" t="str">
        <f>IF(OR(TED[[#This Row],[SITUACAO]]=1,TED[[#This Row],[SITUACAO]]=9,TED[[#This Row],[SITUACAO]]=18),"ATIVO","AFASTADO")</f>
        <v>ATIVO</v>
      </c>
      <c r="K225" s="12">
        <v>1</v>
      </c>
    </row>
    <row r="226" spans="1:11" x14ac:dyDescent="0.25">
      <c r="A226" s="10">
        <v>5548</v>
      </c>
      <c r="B226" s="9" t="s">
        <v>168</v>
      </c>
      <c r="C226" s="12" t="str">
        <f>IFERROR(VLOOKUP(TED[[#This Row],[CENTRO]],'CENTRO DE CUSTO'!B:E,4,FALSE)," ")</f>
        <v>S/ SUPERVISOR</v>
      </c>
      <c r="D226" s="12">
        <v>87</v>
      </c>
      <c r="E226" s="16">
        <v>87045</v>
      </c>
      <c r="F226" s="10" t="s">
        <v>166</v>
      </c>
      <c r="G226" s="10">
        <v>220</v>
      </c>
      <c r="H226" s="11">
        <v>42156</v>
      </c>
      <c r="I226" s="10" t="s">
        <v>21</v>
      </c>
      <c r="J226" s="12" t="str">
        <f>IF(OR(TED[[#This Row],[SITUACAO]]=1,TED[[#This Row],[SITUACAO]]=9,TED[[#This Row],[SITUACAO]]=18),"ATIVO","AFASTADO")</f>
        <v>ATIVO</v>
      </c>
      <c r="K226" s="12">
        <v>1</v>
      </c>
    </row>
    <row r="227" spans="1:11" x14ac:dyDescent="0.25">
      <c r="A227" s="10">
        <v>5931</v>
      </c>
      <c r="B227" s="9" t="s">
        <v>453</v>
      </c>
      <c r="C227" s="12" t="str">
        <f>IFERROR(VLOOKUP(TED[[#This Row],[CENTRO]],'CENTRO DE CUSTO'!B:E,4,FALSE)," ")</f>
        <v>DÉBORA GOBETTI</v>
      </c>
      <c r="D227" s="12">
        <v>87</v>
      </c>
      <c r="E227" s="16">
        <v>87101</v>
      </c>
      <c r="F227" s="10" t="s">
        <v>451</v>
      </c>
      <c r="G227" s="10">
        <v>220</v>
      </c>
      <c r="H227" s="11">
        <v>42207</v>
      </c>
      <c r="I227" s="10" t="s">
        <v>1</v>
      </c>
      <c r="J227" s="12" t="str">
        <f>IF(OR(TED[[#This Row],[SITUACAO]]=1,TED[[#This Row],[SITUACAO]]=9,TED[[#This Row],[SITUACAO]]=18),"ATIVO","AFASTADO")</f>
        <v>AFASTADO</v>
      </c>
      <c r="K227" s="12">
        <v>12</v>
      </c>
    </row>
    <row r="228" spans="1:11" x14ac:dyDescent="0.25">
      <c r="A228" s="10">
        <v>25342</v>
      </c>
      <c r="B228" s="9" t="s">
        <v>541</v>
      </c>
      <c r="C228" s="12" t="str">
        <f>IFERROR(VLOOKUP(TED[[#This Row],[CENTRO]],'CENTRO DE CUSTO'!B:E,4,FALSE)," ")</f>
        <v>VANDERSON</v>
      </c>
      <c r="D228" s="12">
        <v>87</v>
      </c>
      <c r="E228" s="16">
        <v>87117</v>
      </c>
      <c r="F228" s="10" t="s">
        <v>540</v>
      </c>
      <c r="G228" s="10">
        <v>220</v>
      </c>
      <c r="H228" s="11">
        <v>44971</v>
      </c>
      <c r="I228" s="10" t="s">
        <v>1</v>
      </c>
      <c r="J228" s="12" t="str">
        <f>IF(OR(TED[[#This Row],[SITUACAO]]=1,TED[[#This Row],[SITUACAO]]=9,TED[[#This Row],[SITUACAO]]=18),"ATIVO","AFASTADO")</f>
        <v>AFASTADO</v>
      </c>
      <c r="K228" s="12">
        <v>12</v>
      </c>
    </row>
    <row r="229" spans="1:11" x14ac:dyDescent="0.25">
      <c r="A229" s="10">
        <v>5600</v>
      </c>
      <c r="B229" s="9" t="s">
        <v>553</v>
      </c>
      <c r="C229" s="12" t="str">
        <f>IFERROR(VLOOKUP(TED[[#This Row],[CENTRO]],'CENTRO DE CUSTO'!B:E,4,FALSE)," ")</f>
        <v>JOÃO CLEMENTONI</v>
      </c>
      <c r="D229" s="12">
        <v>87</v>
      </c>
      <c r="E229" s="16">
        <v>87120</v>
      </c>
      <c r="F229" s="10" t="s">
        <v>554</v>
      </c>
      <c r="G229" s="10">
        <v>220</v>
      </c>
      <c r="H229" s="11">
        <v>42156</v>
      </c>
      <c r="I229" s="10" t="s">
        <v>1</v>
      </c>
      <c r="J229" s="12" t="str">
        <f>IF(OR(TED[[#This Row],[SITUACAO]]=1,TED[[#This Row],[SITUACAO]]=9,TED[[#This Row],[SITUACAO]]=18),"ATIVO","AFASTADO")</f>
        <v>ATIVO</v>
      </c>
      <c r="K229" s="12">
        <v>1</v>
      </c>
    </row>
    <row r="230" spans="1:11" x14ac:dyDescent="0.25">
      <c r="A230" s="10">
        <v>10976</v>
      </c>
      <c r="B230" s="9" t="s">
        <v>414</v>
      </c>
      <c r="C230" s="12" t="str">
        <f>IFERROR(VLOOKUP(TED[[#This Row],[CENTRO]],'CENTRO DE CUSTO'!B:E,4,FALSE)," ")</f>
        <v>CARLOS FABRI</v>
      </c>
      <c r="D230" s="12">
        <v>87</v>
      </c>
      <c r="E230" s="16">
        <v>87093</v>
      </c>
      <c r="F230" s="10" t="s">
        <v>412</v>
      </c>
      <c r="G230" s="10">
        <v>220</v>
      </c>
      <c r="H230" s="11">
        <v>43299</v>
      </c>
      <c r="I230" s="10" t="s">
        <v>21</v>
      </c>
      <c r="J230" s="12" t="str">
        <f>IF(OR(TED[[#This Row],[SITUACAO]]=1,TED[[#This Row],[SITUACAO]]=9,TED[[#This Row],[SITUACAO]]=18),"ATIVO","AFASTADO")</f>
        <v>ATIVO</v>
      </c>
      <c r="K230" s="12">
        <v>1</v>
      </c>
    </row>
    <row r="231" spans="1:11" x14ac:dyDescent="0.25">
      <c r="A231" s="10">
        <v>34982</v>
      </c>
      <c r="B231" s="9" t="s">
        <v>495</v>
      </c>
      <c r="C231" s="12" t="str">
        <f>IFERROR(VLOOKUP(TED[[#This Row],[CENTRO]],'CENTRO DE CUSTO'!B:E,4,FALSE)," ")</f>
        <v>VANDERSON</v>
      </c>
      <c r="D231" s="12">
        <v>87</v>
      </c>
      <c r="E231" s="16">
        <v>87109</v>
      </c>
      <c r="F231" s="10" t="s">
        <v>496</v>
      </c>
      <c r="G231" s="10">
        <v>220</v>
      </c>
      <c r="H231" s="11">
        <v>45677</v>
      </c>
      <c r="I231" s="10" t="s">
        <v>21</v>
      </c>
      <c r="J231" s="12" t="str">
        <f>IF(OR(TED[[#This Row],[SITUACAO]]=1,TED[[#This Row],[SITUACAO]]=9,TED[[#This Row],[SITUACAO]]=18),"ATIVO","AFASTADO")</f>
        <v>ATIVO</v>
      </c>
      <c r="K231" s="12">
        <v>1</v>
      </c>
    </row>
    <row r="232" spans="1:11" x14ac:dyDescent="0.25">
      <c r="A232" s="10">
        <v>11391</v>
      </c>
      <c r="B232" s="9" t="s">
        <v>569</v>
      </c>
      <c r="C232" s="12" t="str">
        <f>IFERROR(VLOOKUP(TED[[#This Row],[CENTRO]],'CENTRO DE CUSTO'!B:E,4,FALSE)," ")</f>
        <v>CARLOS FABRI</v>
      </c>
      <c r="D232" s="12">
        <v>87</v>
      </c>
      <c r="E232" s="16">
        <v>87123</v>
      </c>
      <c r="F232" s="10" t="s">
        <v>563</v>
      </c>
      <c r="G232" s="10">
        <v>220</v>
      </c>
      <c r="H232" s="11">
        <v>43390</v>
      </c>
      <c r="I232" s="10" t="s">
        <v>1</v>
      </c>
      <c r="J232" s="12" t="str">
        <f>IF(OR(TED[[#This Row],[SITUACAO]]=1,TED[[#This Row],[SITUACAO]]=9,TED[[#This Row],[SITUACAO]]=18),"ATIVO","AFASTADO")</f>
        <v>ATIVO</v>
      </c>
      <c r="K232" s="12">
        <v>1</v>
      </c>
    </row>
    <row r="233" spans="1:11" x14ac:dyDescent="0.25">
      <c r="A233" s="10">
        <v>39868</v>
      </c>
      <c r="B233" s="9" t="s">
        <v>31</v>
      </c>
      <c r="C233" s="12" t="str">
        <f>IFERROR(VLOOKUP(TED[[#This Row],[CENTRO]],'CENTRO DE CUSTO'!B:E,4,FALSE)," ")</f>
        <v>CARLOS FABRI</v>
      </c>
      <c r="D233" s="12">
        <v>87</v>
      </c>
      <c r="E233" s="16">
        <v>87015</v>
      </c>
      <c r="F233" s="10" t="s">
        <v>32</v>
      </c>
      <c r="G233" s="10">
        <v>220</v>
      </c>
      <c r="H233" s="11">
        <v>45882</v>
      </c>
      <c r="I233" s="10" t="s">
        <v>1</v>
      </c>
      <c r="J233" s="12" t="str">
        <f>IF(OR(TED[[#This Row],[SITUACAO]]=1,TED[[#This Row],[SITUACAO]]=9,TED[[#This Row],[SITUACAO]]=18),"ATIVO","AFASTADO")</f>
        <v>ATIVO</v>
      </c>
      <c r="K233" s="12">
        <v>1</v>
      </c>
    </row>
    <row r="234" spans="1:11" x14ac:dyDescent="0.25">
      <c r="A234" s="10">
        <v>5321</v>
      </c>
      <c r="B234" s="9" t="s">
        <v>521</v>
      </c>
      <c r="C234" s="12" t="str">
        <f>IFERROR(VLOOKUP(TED[[#This Row],[CENTRO]],'CENTRO DE CUSTO'!B:E,4,FALSE)," ")</f>
        <v>VANDERSON</v>
      </c>
      <c r="D234" s="12">
        <v>87</v>
      </c>
      <c r="E234" s="16">
        <v>87113</v>
      </c>
      <c r="F234" s="10" t="s">
        <v>519</v>
      </c>
      <c r="G234" s="10">
        <v>220</v>
      </c>
      <c r="H234" s="11">
        <v>42156</v>
      </c>
      <c r="I234" s="10" t="s">
        <v>1</v>
      </c>
      <c r="J234" s="12" t="str">
        <f>IF(OR(TED[[#This Row],[SITUACAO]]=1,TED[[#This Row],[SITUACAO]]=9,TED[[#This Row],[SITUACAO]]=18),"ATIVO","AFASTADO")</f>
        <v>ATIVO</v>
      </c>
      <c r="K234" s="12">
        <v>1</v>
      </c>
    </row>
    <row r="235" spans="1:11" x14ac:dyDescent="0.25">
      <c r="A235" s="10">
        <v>7509</v>
      </c>
      <c r="B235" s="9" t="s">
        <v>485</v>
      </c>
      <c r="C235" s="12" t="str">
        <f>IFERROR(VLOOKUP(TED[[#This Row],[CENTRO]],'CENTRO DE CUSTO'!B:E,4,FALSE)," ")</f>
        <v>DÉBORA GOBETTI</v>
      </c>
      <c r="D235" s="12">
        <v>87</v>
      </c>
      <c r="E235" s="16">
        <v>87107</v>
      </c>
      <c r="F235" s="10" t="s">
        <v>484</v>
      </c>
      <c r="G235" s="10">
        <v>220</v>
      </c>
      <c r="H235" s="11">
        <v>42492</v>
      </c>
      <c r="I235" s="10" t="s">
        <v>21</v>
      </c>
      <c r="J235" s="12" t="str">
        <f>IF(OR(TED[[#This Row],[SITUACAO]]=1,TED[[#This Row],[SITUACAO]]=9,TED[[#This Row],[SITUACAO]]=18),"ATIVO","AFASTADO")</f>
        <v>ATIVO</v>
      </c>
      <c r="K235" s="12">
        <v>1</v>
      </c>
    </row>
    <row r="236" spans="1:11" x14ac:dyDescent="0.25">
      <c r="A236" s="10">
        <v>7939</v>
      </c>
      <c r="B236" s="9" t="s">
        <v>80</v>
      </c>
      <c r="C236" s="12" t="str">
        <f>IFERROR(VLOOKUP(TED[[#This Row],[CENTRO]],'CENTRO DE CUSTO'!B:E,4,FALSE)," ")</f>
        <v>CARLOS FABRI</v>
      </c>
      <c r="D236" s="12">
        <v>87</v>
      </c>
      <c r="E236" s="16">
        <v>87027</v>
      </c>
      <c r="F236" s="10" t="s">
        <v>81</v>
      </c>
      <c r="G236" s="10">
        <v>220</v>
      </c>
      <c r="H236" s="11">
        <v>42606</v>
      </c>
      <c r="I236" s="10" t="s">
        <v>1</v>
      </c>
      <c r="J236" s="12" t="str">
        <f>IF(OR(TED[[#This Row],[SITUACAO]]=1,TED[[#This Row],[SITUACAO]]=9,TED[[#This Row],[SITUACAO]]=18),"ATIVO","AFASTADO")</f>
        <v>ATIVO</v>
      </c>
      <c r="K236" s="12">
        <v>1</v>
      </c>
    </row>
    <row r="237" spans="1:11" x14ac:dyDescent="0.25">
      <c r="A237" s="10">
        <v>30675</v>
      </c>
      <c r="B237" s="9" t="s">
        <v>438</v>
      </c>
      <c r="C237" s="12" t="str">
        <f>IFERROR(VLOOKUP(TED[[#This Row],[CENTRO]],'CENTRO DE CUSTO'!B:E,4,FALSE)," ")</f>
        <v>CARLOS FABRI</v>
      </c>
      <c r="D237" s="12">
        <v>87</v>
      </c>
      <c r="E237" s="16">
        <v>87098</v>
      </c>
      <c r="F237" s="10" t="s">
        <v>435</v>
      </c>
      <c r="G237" s="10">
        <v>150</v>
      </c>
      <c r="H237" s="11">
        <v>45330</v>
      </c>
      <c r="I237" s="10" t="s">
        <v>1</v>
      </c>
      <c r="J237" s="12" t="str">
        <f>IF(OR(TED[[#This Row],[SITUACAO]]=1,TED[[#This Row],[SITUACAO]]=9,TED[[#This Row],[SITUACAO]]=18),"ATIVO","AFASTADO")</f>
        <v>ATIVO</v>
      </c>
      <c r="K237" s="12">
        <v>1</v>
      </c>
    </row>
    <row r="238" spans="1:11" x14ac:dyDescent="0.25">
      <c r="A238" s="10">
        <v>5710</v>
      </c>
      <c r="B238" s="9" t="s">
        <v>40</v>
      </c>
      <c r="C238" s="12" t="str">
        <f>IFERROR(VLOOKUP(TED[[#This Row],[CENTRO]],'CENTRO DE CUSTO'!B:E,4,FALSE)," ")</f>
        <v>VANDERSON</v>
      </c>
      <c r="D238" s="12">
        <v>87</v>
      </c>
      <c r="E238" s="16">
        <v>87017</v>
      </c>
      <c r="F238" s="10" t="s">
        <v>39</v>
      </c>
      <c r="G238" s="10">
        <v>220</v>
      </c>
      <c r="H238" s="11">
        <v>42164</v>
      </c>
      <c r="I238" s="10" t="s">
        <v>1</v>
      </c>
      <c r="J238" s="12" t="str">
        <f>IF(OR(TED[[#This Row],[SITUACAO]]=1,TED[[#This Row],[SITUACAO]]=9,TED[[#This Row],[SITUACAO]]=18),"ATIVO","AFASTADO")</f>
        <v>ATIVO</v>
      </c>
      <c r="K238" s="12">
        <v>1</v>
      </c>
    </row>
    <row r="239" spans="1:11" x14ac:dyDescent="0.25">
      <c r="A239" s="10">
        <v>47434</v>
      </c>
      <c r="B239" s="9" t="s">
        <v>2323</v>
      </c>
      <c r="C239" s="12" t="str">
        <f>IFERROR(VLOOKUP(TED[[#This Row],[CENTRO]],'CENTRO DE CUSTO'!B:E,4,FALSE)," ")</f>
        <v>CARLOS FABRI</v>
      </c>
      <c r="D239" s="12">
        <v>87</v>
      </c>
      <c r="E239" s="16">
        <v>87037</v>
      </c>
      <c r="F239" s="10" t="s">
        <v>123</v>
      </c>
      <c r="G239" s="10">
        <v>220</v>
      </c>
      <c r="H239" s="11">
        <v>46204</v>
      </c>
      <c r="I239" s="10" t="s">
        <v>21</v>
      </c>
      <c r="J239" s="12" t="str">
        <f>IF(OR(TED[[#This Row],[SITUACAO]]=1,TED[[#This Row],[SITUACAO]]=9,TED[[#This Row],[SITUACAO]]=18),"ATIVO","AFASTADO")</f>
        <v>ATIVO</v>
      </c>
      <c r="K239" s="12">
        <v>1</v>
      </c>
    </row>
    <row r="240" spans="1:11" x14ac:dyDescent="0.25">
      <c r="A240" s="10">
        <v>5243</v>
      </c>
      <c r="B240" s="9" t="s">
        <v>158</v>
      </c>
      <c r="C240" s="12" t="str">
        <f>IFERROR(VLOOKUP(TED[[#This Row],[CENTRO]],'CENTRO DE CUSTO'!B:E,4,FALSE)," ")</f>
        <v>S/ SUPERVISOR</v>
      </c>
      <c r="D240" s="12">
        <v>87</v>
      </c>
      <c r="E240" s="16">
        <v>87043</v>
      </c>
      <c r="F240" s="10" t="s">
        <v>154</v>
      </c>
      <c r="G240" s="10">
        <v>220</v>
      </c>
      <c r="H240" s="11">
        <v>42156</v>
      </c>
      <c r="I240" s="10" t="s">
        <v>1</v>
      </c>
      <c r="J240" s="12" t="str">
        <f>IF(OR(TED[[#This Row],[SITUACAO]]=1,TED[[#This Row],[SITUACAO]]=9,TED[[#This Row],[SITUACAO]]=18),"ATIVO","AFASTADO")</f>
        <v>ATIVO</v>
      </c>
      <c r="K240" s="12">
        <v>1</v>
      </c>
    </row>
    <row r="241" spans="1:11" x14ac:dyDescent="0.25">
      <c r="A241" s="10">
        <v>43270</v>
      </c>
      <c r="B241" s="9" t="s">
        <v>2030</v>
      </c>
      <c r="C241" s="12" t="str">
        <f>IFERROR(VLOOKUP(TED[[#This Row],[CENTRO]],'CENTRO DE CUSTO'!B:E,4,FALSE)," ")</f>
        <v>VANDERSON</v>
      </c>
      <c r="D241" s="12">
        <v>87</v>
      </c>
      <c r="E241" s="16">
        <v>87017</v>
      </c>
      <c r="F241" s="10" t="s">
        <v>39</v>
      </c>
      <c r="G241" s="10">
        <v>220</v>
      </c>
      <c r="H241" s="11">
        <v>46043</v>
      </c>
      <c r="I241" s="10" t="s">
        <v>21</v>
      </c>
      <c r="J241" s="12" t="str">
        <f>IF(OR(TED[[#This Row],[SITUACAO]]=1,TED[[#This Row],[SITUACAO]]=9,TED[[#This Row],[SITUACAO]]=18),"ATIVO","AFASTADO")</f>
        <v>ATIVO</v>
      </c>
      <c r="K241" s="12">
        <v>1</v>
      </c>
    </row>
    <row r="242" spans="1:11" x14ac:dyDescent="0.25">
      <c r="A242" s="10">
        <v>38522</v>
      </c>
      <c r="B242" s="9" t="s">
        <v>226</v>
      </c>
      <c r="C242" s="12" t="str">
        <f>IFERROR(VLOOKUP(TED[[#This Row],[CENTRO]],'CENTRO DE CUSTO'!B:E,4,FALSE)," ")</f>
        <v>DÉBORA GOBETTI</v>
      </c>
      <c r="D242" s="12">
        <v>87</v>
      </c>
      <c r="E242" s="16">
        <v>87057</v>
      </c>
      <c r="F242" s="10" t="s">
        <v>224</v>
      </c>
      <c r="G242" s="10">
        <v>220</v>
      </c>
      <c r="H242" s="11">
        <v>45782</v>
      </c>
      <c r="I242" s="10" t="s">
        <v>21</v>
      </c>
      <c r="J242" s="12" t="str">
        <f>IF(OR(TED[[#This Row],[SITUACAO]]=1,TED[[#This Row],[SITUACAO]]=9,TED[[#This Row],[SITUACAO]]=18),"ATIVO","AFASTADO")</f>
        <v>ATIVO</v>
      </c>
      <c r="K242" s="12">
        <v>1</v>
      </c>
    </row>
    <row r="243" spans="1:11" x14ac:dyDescent="0.25">
      <c r="A243" s="10">
        <v>5309</v>
      </c>
      <c r="B243" s="9" t="s">
        <v>351</v>
      </c>
      <c r="C243" s="12" t="str">
        <f>IFERROR(VLOOKUP(TED[[#This Row],[CENTRO]],'CENTRO DE CUSTO'!B:E,4,FALSE)," ")</f>
        <v>JOÃO CLEMENTONI</v>
      </c>
      <c r="D243" s="12">
        <v>87</v>
      </c>
      <c r="E243" s="16">
        <v>87080</v>
      </c>
      <c r="F243" s="10" t="s">
        <v>347</v>
      </c>
      <c r="G243" s="10">
        <v>220</v>
      </c>
      <c r="H243" s="11">
        <v>42156</v>
      </c>
      <c r="I243" s="10" t="s">
        <v>1</v>
      </c>
      <c r="J243" s="12" t="str">
        <f>IF(OR(TED[[#This Row],[SITUACAO]]=1,TED[[#This Row],[SITUACAO]]=9,TED[[#This Row],[SITUACAO]]=18),"ATIVO","AFASTADO")</f>
        <v>ATIVO</v>
      </c>
      <c r="K243" s="12">
        <v>1</v>
      </c>
    </row>
    <row r="244" spans="1:11" x14ac:dyDescent="0.25">
      <c r="A244" s="10">
        <v>5646</v>
      </c>
      <c r="B244" s="9" t="s">
        <v>456</v>
      </c>
      <c r="C244" s="12" t="str">
        <f>IFERROR(VLOOKUP(TED[[#This Row],[CENTRO]],'CENTRO DE CUSTO'!B:E,4,FALSE)," ")</f>
        <v>S/ SUPERVISOR</v>
      </c>
      <c r="D244" s="12">
        <v>87</v>
      </c>
      <c r="E244" s="16">
        <v>87102</v>
      </c>
      <c r="F244" s="10" t="s">
        <v>455</v>
      </c>
      <c r="G244" s="10">
        <v>220</v>
      </c>
      <c r="H244" s="11">
        <v>42156</v>
      </c>
      <c r="I244" s="10" t="s">
        <v>21</v>
      </c>
      <c r="J244" s="12" t="str">
        <f>IF(OR(TED[[#This Row],[SITUACAO]]=1,TED[[#This Row],[SITUACAO]]=9,TED[[#This Row],[SITUACAO]]=18),"ATIVO","AFASTADO")</f>
        <v>ATIVO</v>
      </c>
      <c r="K244" s="12">
        <v>1</v>
      </c>
    </row>
    <row r="245" spans="1:11" x14ac:dyDescent="0.25">
      <c r="A245" s="10">
        <v>5729</v>
      </c>
      <c r="B245" s="9" t="s">
        <v>429</v>
      </c>
      <c r="C245" s="12" t="str">
        <f>IFERROR(VLOOKUP(TED[[#This Row],[CENTRO]],'CENTRO DE CUSTO'!B:E,4,FALSE)," ")</f>
        <v>JOÃO CLEMENTONI</v>
      </c>
      <c r="D245" s="12">
        <v>87</v>
      </c>
      <c r="E245" s="16">
        <v>87097</v>
      </c>
      <c r="F245" s="10" t="s">
        <v>430</v>
      </c>
      <c r="G245" s="10">
        <v>220</v>
      </c>
      <c r="H245" s="11">
        <v>42172</v>
      </c>
      <c r="I245" s="10" t="s">
        <v>21</v>
      </c>
      <c r="J245" s="12" t="str">
        <f>IF(OR(TED[[#This Row],[SITUACAO]]=1,TED[[#This Row],[SITUACAO]]=9,TED[[#This Row],[SITUACAO]]=18),"ATIVO","AFASTADO")</f>
        <v>ATIVO</v>
      </c>
      <c r="K245" s="12">
        <v>1</v>
      </c>
    </row>
    <row r="246" spans="1:11" x14ac:dyDescent="0.25">
      <c r="A246" s="10">
        <v>9480</v>
      </c>
      <c r="B246" s="9" t="s">
        <v>95</v>
      </c>
      <c r="C246" s="12" t="str">
        <f>IFERROR(VLOOKUP(TED[[#This Row],[CENTRO]],'CENTRO DE CUSTO'!B:E,4,FALSE)," ")</f>
        <v>VANDERSON</v>
      </c>
      <c r="D246" s="12">
        <v>87</v>
      </c>
      <c r="E246" s="16">
        <v>87031</v>
      </c>
      <c r="F246" s="10" t="s">
        <v>94</v>
      </c>
      <c r="G246" s="10">
        <v>220</v>
      </c>
      <c r="H246" s="11">
        <v>42948</v>
      </c>
      <c r="I246" s="10" t="s">
        <v>1</v>
      </c>
      <c r="J246" s="12" t="str">
        <f>IF(OR(TED[[#This Row],[SITUACAO]]=1,TED[[#This Row],[SITUACAO]]=9,TED[[#This Row],[SITUACAO]]=18),"ATIVO","AFASTADO")</f>
        <v>ATIVO</v>
      </c>
      <c r="K246" s="12">
        <v>1</v>
      </c>
    </row>
    <row r="247" spans="1:11" x14ac:dyDescent="0.25">
      <c r="A247" s="10">
        <v>45125</v>
      </c>
      <c r="B247" s="9" t="s">
        <v>2172</v>
      </c>
      <c r="C247" s="12" t="str">
        <f>IFERROR(VLOOKUP(TED[[#This Row],[CENTRO]],'CENTRO DE CUSTO'!B:E,4,FALSE)," ")</f>
        <v>S/ SUPERVISOR</v>
      </c>
      <c r="D247" s="12">
        <v>87</v>
      </c>
      <c r="E247" s="16">
        <v>87128</v>
      </c>
      <c r="F247" s="10" t="s">
        <v>580</v>
      </c>
      <c r="G247" s="10">
        <v>220</v>
      </c>
      <c r="H247" s="11">
        <v>46134</v>
      </c>
      <c r="I247" s="10" t="s">
        <v>21</v>
      </c>
      <c r="J247" s="12" t="str">
        <f>IF(OR(TED[[#This Row],[SITUACAO]]=1,TED[[#This Row],[SITUACAO]]=9,TED[[#This Row],[SITUACAO]]=18),"ATIVO","AFASTADO")</f>
        <v>ATIVO</v>
      </c>
      <c r="K247" s="12">
        <v>1</v>
      </c>
    </row>
    <row r="248" spans="1:11" x14ac:dyDescent="0.25">
      <c r="A248" s="10">
        <v>38212</v>
      </c>
      <c r="B248" s="9" t="s">
        <v>159</v>
      </c>
      <c r="C248" s="12" t="str">
        <f>IFERROR(VLOOKUP(TED[[#This Row],[CENTRO]],'CENTRO DE CUSTO'!B:E,4,FALSE)," ")</f>
        <v>S/ SUPERVISOR</v>
      </c>
      <c r="D248" s="12">
        <v>87</v>
      </c>
      <c r="E248" s="16">
        <v>87043</v>
      </c>
      <c r="F248" s="10" t="s">
        <v>154</v>
      </c>
      <c r="G248" s="10">
        <v>220</v>
      </c>
      <c r="H248" s="11">
        <v>45758</v>
      </c>
      <c r="I248" s="10" t="s">
        <v>21</v>
      </c>
      <c r="J248" s="12" t="str">
        <f>IF(OR(TED[[#This Row],[SITUACAO]]=1,TED[[#This Row],[SITUACAO]]=9,TED[[#This Row],[SITUACAO]]=18),"ATIVO","AFASTADO")</f>
        <v>ATIVO</v>
      </c>
      <c r="K248" s="12">
        <v>1</v>
      </c>
    </row>
    <row r="249" spans="1:11" x14ac:dyDescent="0.25">
      <c r="A249" s="10">
        <v>36495</v>
      </c>
      <c r="B249" s="9" t="s">
        <v>434</v>
      </c>
      <c r="C249" s="12" t="str">
        <f>IFERROR(VLOOKUP(TED[[#This Row],[CENTRO]],'CENTRO DE CUSTO'!B:E,4,FALSE)," ")</f>
        <v>CARLOS FABRI</v>
      </c>
      <c r="D249" s="12">
        <v>87</v>
      </c>
      <c r="E249" s="16">
        <v>87098</v>
      </c>
      <c r="F249" s="10" t="s">
        <v>435</v>
      </c>
      <c r="G249" s="10">
        <v>220</v>
      </c>
      <c r="H249" s="11">
        <v>45694</v>
      </c>
      <c r="I249" s="10" t="s">
        <v>21</v>
      </c>
      <c r="J249" s="12" t="str">
        <f>IF(OR(TED[[#This Row],[SITUACAO]]=1,TED[[#This Row],[SITUACAO]]=9,TED[[#This Row],[SITUACAO]]=18),"ATIVO","AFASTADO")</f>
        <v>ATIVO</v>
      </c>
      <c r="K249" s="12">
        <v>1</v>
      </c>
    </row>
    <row r="250" spans="1:11" x14ac:dyDescent="0.25">
      <c r="A250" s="10">
        <v>28383</v>
      </c>
      <c r="B250" s="9" t="s">
        <v>605</v>
      </c>
      <c r="C250" s="12" t="str">
        <f>IFERROR(VLOOKUP(TED[[#This Row],[CENTRO]],'CENTRO DE CUSTO'!B:E,4,FALSE)," ")</f>
        <v>PAULO TORRES</v>
      </c>
      <c r="D250" s="12">
        <v>87</v>
      </c>
      <c r="E250" s="16">
        <v>87200</v>
      </c>
      <c r="F250" s="10" t="s">
        <v>599</v>
      </c>
      <c r="G250" s="10">
        <v>220</v>
      </c>
      <c r="H250" s="11">
        <v>45170</v>
      </c>
      <c r="I250" s="10" t="s">
        <v>604</v>
      </c>
      <c r="J250" s="12" t="str">
        <f>IF(OR(TED[[#This Row],[SITUACAO]]=1,TED[[#This Row],[SITUACAO]]=9,TED[[#This Row],[SITUACAO]]=18),"ATIVO","AFASTADO")</f>
        <v>ATIVO</v>
      </c>
      <c r="K250" s="12">
        <v>1</v>
      </c>
    </row>
    <row r="251" spans="1:11" x14ac:dyDescent="0.25">
      <c r="A251" s="10">
        <v>43802</v>
      </c>
      <c r="B251" s="9" t="s">
        <v>2067</v>
      </c>
      <c r="C251" s="12" t="str">
        <f>IFERROR(VLOOKUP(TED[[#This Row],[CENTRO]],'CENTRO DE CUSTO'!B:E,4,FALSE)," ")</f>
        <v>JOÃO CLEMENTONI</v>
      </c>
      <c r="D251" s="12">
        <v>87</v>
      </c>
      <c r="E251" s="16">
        <v>87063</v>
      </c>
      <c r="F251" s="10" t="s">
        <v>256</v>
      </c>
      <c r="G251" s="10">
        <v>220</v>
      </c>
      <c r="H251" s="11">
        <v>46059</v>
      </c>
      <c r="I251" s="10" t="s">
        <v>21</v>
      </c>
      <c r="J251" s="12" t="str">
        <f>IF(OR(TED[[#This Row],[SITUACAO]]=1,TED[[#This Row],[SITUACAO]]=9,TED[[#This Row],[SITUACAO]]=18),"ATIVO","AFASTADO")</f>
        <v>ATIVO</v>
      </c>
      <c r="K251" s="12">
        <v>1</v>
      </c>
    </row>
    <row r="252" spans="1:11" x14ac:dyDescent="0.25">
      <c r="A252" s="10">
        <v>24901</v>
      </c>
      <c r="B252" s="9" t="s">
        <v>283</v>
      </c>
      <c r="C252" s="12" t="str">
        <f>IFERROR(VLOOKUP(TED[[#This Row],[CENTRO]],'CENTRO DE CUSTO'!B:E,4,FALSE)," ")</f>
        <v>DÉBORA GOBETTI</v>
      </c>
      <c r="D252" s="12">
        <v>87</v>
      </c>
      <c r="E252" s="16">
        <v>87067</v>
      </c>
      <c r="F252" s="10" t="s">
        <v>278</v>
      </c>
      <c r="G252" s="10">
        <v>220</v>
      </c>
      <c r="H252" s="11">
        <v>44949</v>
      </c>
      <c r="I252" s="10" t="s">
        <v>1</v>
      </c>
      <c r="J252" s="12" t="str">
        <f>IF(OR(TED[[#This Row],[SITUACAO]]=1,TED[[#This Row],[SITUACAO]]=9,TED[[#This Row],[SITUACAO]]=18),"ATIVO","AFASTADO")</f>
        <v>ATIVO</v>
      </c>
      <c r="K252" s="12">
        <v>1</v>
      </c>
    </row>
    <row r="253" spans="1:11" x14ac:dyDescent="0.25">
      <c r="A253" s="10">
        <v>43260</v>
      </c>
      <c r="B253" s="9" t="s">
        <v>2028</v>
      </c>
      <c r="C253" s="12" t="str">
        <f>IFERROR(VLOOKUP(TED[[#This Row],[CENTRO]],'CENTRO DE CUSTO'!B:E,4,FALSE)," ")</f>
        <v>CARLOS FABRI</v>
      </c>
      <c r="D253" s="12">
        <v>87</v>
      </c>
      <c r="E253" s="16">
        <v>87003</v>
      </c>
      <c r="F253" s="10" t="s">
        <v>2</v>
      </c>
      <c r="G253" s="10">
        <v>220</v>
      </c>
      <c r="H253" s="11">
        <v>46043</v>
      </c>
      <c r="I253" s="10" t="s">
        <v>1</v>
      </c>
      <c r="J253" s="12" t="str">
        <f>IF(OR(TED[[#This Row],[SITUACAO]]=1,TED[[#This Row],[SITUACAO]]=9,TED[[#This Row],[SITUACAO]]=18),"ATIVO","AFASTADO")</f>
        <v>ATIVO</v>
      </c>
      <c r="K253" s="12">
        <v>1</v>
      </c>
    </row>
    <row r="254" spans="1:11" x14ac:dyDescent="0.25">
      <c r="A254" s="10">
        <v>7466</v>
      </c>
      <c r="B254" s="9" t="s">
        <v>107</v>
      </c>
      <c r="C254" s="12" t="str">
        <f>IFERROR(VLOOKUP(TED[[#This Row],[CENTRO]],'CENTRO DE CUSTO'!B:E,4,FALSE)," ")</f>
        <v>JOÃO CLEMENTONI</v>
      </c>
      <c r="D254" s="12">
        <v>87</v>
      </c>
      <c r="E254" s="16">
        <v>87034</v>
      </c>
      <c r="F254" s="10" t="s">
        <v>106</v>
      </c>
      <c r="G254" s="10">
        <v>220</v>
      </c>
      <c r="H254" s="11">
        <v>42466</v>
      </c>
      <c r="I254" s="10" t="s">
        <v>1</v>
      </c>
      <c r="J254" s="12" t="str">
        <f>IF(OR(TED[[#This Row],[SITUACAO]]=1,TED[[#This Row],[SITUACAO]]=9,TED[[#This Row],[SITUACAO]]=18),"ATIVO","AFASTADO")</f>
        <v>ATIVO</v>
      </c>
      <c r="K254" s="12">
        <v>1</v>
      </c>
    </row>
    <row r="255" spans="1:11" x14ac:dyDescent="0.25">
      <c r="A255" s="10">
        <v>5663</v>
      </c>
      <c r="B255" s="9" t="s">
        <v>331</v>
      </c>
      <c r="C255" s="12" t="str">
        <f>IFERROR(VLOOKUP(TED[[#This Row],[CENTRO]],'CENTRO DE CUSTO'!B:E,4,FALSE)," ")</f>
        <v>DÉBORA GOBETTI</v>
      </c>
      <c r="D255" s="12">
        <v>87</v>
      </c>
      <c r="E255" s="16">
        <v>87077</v>
      </c>
      <c r="F255" s="10" t="s">
        <v>330</v>
      </c>
      <c r="G255" s="10">
        <v>220</v>
      </c>
      <c r="H255" s="11">
        <v>42156</v>
      </c>
      <c r="I255" s="10" t="s">
        <v>1</v>
      </c>
      <c r="J255" s="12" t="str">
        <f>IF(OR(TED[[#This Row],[SITUACAO]]=1,TED[[#This Row],[SITUACAO]]=9,TED[[#This Row],[SITUACAO]]=18),"ATIVO","AFASTADO")</f>
        <v>ATIVO</v>
      </c>
      <c r="K255" s="12">
        <v>1</v>
      </c>
    </row>
    <row r="256" spans="1:11" x14ac:dyDescent="0.25">
      <c r="A256" s="10">
        <v>25830</v>
      </c>
      <c r="B256" s="9" t="s">
        <v>69</v>
      </c>
      <c r="C256" s="12" t="str">
        <f>IFERROR(VLOOKUP(TED[[#This Row],[CENTRO]],'CENTRO DE CUSTO'!B:E,4,FALSE)," ")</f>
        <v>DÉBORA GOBETTI</v>
      </c>
      <c r="D256" s="12">
        <v>87</v>
      </c>
      <c r="E256" s="16">
        <v>87024</v>
      </c>
      <c r="F256" s="10" t="s">
        <v>70</v>
      </c>
      <c r="G256" s="10">
        <v>220</v>
      </c>
      <c r="H256" s="11">
        <v>44995</v>
      </c>
      <c r="I256" s="10" t="s">
        <v>1</v>
      </c>
      <c r="J256" s="12" t="str">
        <f>IF(OR(TED[[#This Row],[SITUACAO]]=1,TED[[#This Row],[SITUACAO]]=9,TED[[#This Row],[SITUACAO]]=18),"ATIVO","AFASTADO")</f>
        <v>ATIVO</v>
      </c>
      <c r="K256" s="12">
        <v>1</v>
      </c>
    </row>
    <row r="257" spans="1:11" x14ac:dyDescent="0.25">
      <c r="A257" s="10">
        <v>31842</v>
      </c>
      <c r="B257" s="9" t="s">
        <v>442</v>
      </c>
      <c r="C257" s="12" t="str">
        <f>IFERROR(VLOOKUP(TED[[#This Row],[CENTRO]],'CENTRO DE CUSTO'!B:E,4,FALSE)," ")</f>
        <v>JOÃO CLEMENTONI</v>
      </c>
      <c r="D257" s="12">
        <v>87</v>
      </c>
      <c r="E257" s="16">
        <v>87099</v>
      </c>
      <c r="F257" s="10" t="s">
        <v>443</v>
      </c>
      <c r="G257" s="10">
        <v>220</v>
      </c>
      <c r="H257" s="11">
        <v>45377</v>
      </c>
      <c r="I257" s="10" t="s">
        <v>1</v>
      </c>
      <c r="J257" s="12" t="str">
        <f>IF(OR(TED[[#This Row],[SITUACAO]]=1,TED[[#This Row],[SITUACAO]]=9,TED[[#This Row],[SITUACAO]]=18),"ATIVO","AFASTADO")</f>
        <v>ATIVO</v>
      </c>
      <c r="K257" s="12">
        <v>1</v>
      </c>
    </row>
    <row r="258" spans="1:11" x14ac:dyDescent="0.25">
      <c r="A258" s="10">
        <v>532</v>
      </c>
      <c r="B258" s="9" t="s">
        <v>454</v>
      </c>
      <c r="C258" s="12" t="str">
        <f>IFERROR(VLOOKUP(TED[[#This Row],[CENTRO]],'CENTRO DE CUSTO'!B:E,4,FALSE)," ")</f>
        <v>S/ SUPERVISOR</v>
      </c>
      <c r="D258" s="12">
        <v>87</v>
      </c>
      <c r="E258" s="16">
        <v>87102</v>
      </c>
      <c r="F258" s="10" t="s">
        <v>455</v>
      </c>
      <c r="G258" s="10">
        <v>220</v>
      </c>
      <c r="H258" s="11">
        <v>40476</v>
      </c>
      <c r="I258" s="10" t="s">
        <v>1</v>
      </c>
      <c r="J258" s="12" t="str">
        <f>IF(OR(TED[[#This Row],[SITUACAO]]=1,TED[[#This Row],[SITUACAO]]=9,TED[[#This Row],[SITUACAO]]=18),"ATIVO","AFASTADO")</f>
        <v>ATIVO</v>
      </c>
      <c r="K258" s="12">
        <v>1</v>
      </c>
    </row>
    <row r="259" spans="1:11" x14ac:dyDescent="0.25">
      <c r="A259" s="10">
        <v>5810</v>
      </c>
      <c r="B259" s="9" t="s">
        <v>85</v>
      </c>
      <c r="C259" s="12" t="str">
        <f>IFERROR(VLOOKUP(TED[[#This Row],[CENTRO]],'CENTRO DE CUSTO'!B:E,4,FALSE)," ")</f>
        <v>S/ SUPERVISOR</v>
      </c>
      <c r="D259" s="12">
        <v>87</v>
      </c>
      <c r="E259" s="16">
        <v>87029</v>
      </c>
      <c r="F259" s="10" t="s">
        <v>86</v>
      </c>
      <c r="G259" s="10">
        <v>220</v>
      </c>
      <c r="H259" s="11">
        <v>42205</v>
      </c>
      <c r="I259" s="10" t="s">
        <v>1</v>
      </c>
      <c r="J259" s="12" t="str">
        <f>IF(OR(TED[[#This Row],[SITUACAO]]=1,TED[[#This Row],[SITUACAO]]=9,TED[[#This Row],[SITUACAO]]=18),"ATIVO","AFASTADO")</f>
        <v>ATIVO</v>
      </c>
      <c r="K259" s="12">
        <v>1</v>
      </c>
    </row>
    <row r="260" spans="1:11" x14ac:dyDescent="0.25">
      <c r="A260" s="10">
        <v>5461</v>
      </c>
      <c r="B260" s="9" t="s">
        <v>567</v>
      </c>
      <c r="C260" s="12" t="str">
        <f>IFERROR(VLOOKUP(TED[[#This Row],[CENTRO]],'CENTRO DE CUSTO'!B:E,4,FALSE)," ")</f>
        <v>CARLOS FABRI</v>
      </c>
      <c r="D260" s="12">
        <v>87</v>
      </c>
      <c r="E260" s="16">
        <v>87123</v>
      </c>
      <c r="F260" s="10" t="s">
        <v>563</v>
      </c>
      <c r="G260" s="10">
        <v>220</v>
      </c>
      <c r="H260" s="11">
        <v>42156</v>
      </c>
      <c r="I260" s="10" t="s">
        <v>1</v>
      </c>
      <c r="J260" s="12" t="str">
        <f>IF(OR(TED[[#This Row],[SITUACAO]]=1,TED[[#This Row],[SITUACAO]]=9,TED[[#This Row],[SITUACAO]]=18),"ATIVO","AFASTADO")</f>
        <v>AFASTADO</v>
      </c>
      <c r="K260" s="12">
        <v>6</v>
      </c>
    </row>
    <row r="261" spans="1:11" x14ac:dyDescent="0.25">
      <c r="A261" s="10">
        <v>7475</v>
      </c>
      <c r="B261" s="9" t="s">
        <v>268</v>
      </c>
      <c r="C261" s="12" t="str">
        <f>IFERROR(VLOOKUP(TED[[#This Row],[CENTRO]],'CENTRO DE CUSTO'!B:E,4,FALSE)," ")</f>
        <v>S/ SUPERVISOR</v>
      </c>
      <c r="D261" s="12">
        <v>87</v>
      </c>
      <c r="E261" s="16">
        <v>87065</v>
      </c>
      <c r="F261" s="10" t="s">
        <v>267</v>
      </c>
      <c r="G261" s="10">
        <v>220</v>
      </c>
      <c r="H261" s="11">
        <v>42473</v>
      </c>
      <c r="I261" s="10" t="s">
        <v>1</v>
      </c>
      <c r="J261" s="12" t="str">
        <f>IF(OR(TED[[#This Row],[SITUACAO]]=1,TED[[#This Row],[SITUACAO]]=9,TED[[#This Row],[SITUACAO]]=18),"ATIVO","AFASTADO")</f>
        <v>ATIVO</v>
      </c>
      <c r="K261" s="12">
        <v>1</v>
      </c>
    </row>
    <row r="262" spans="1:11" x14ac:dyDescent="0.25">
      <c r="A262" s="10">
        <v>20278</v>
      </c>
      <c r="B262" s="9" t="s">
        <v>145</v>
      </c>
      <c r="C262" s="12" t="str">
        <f>IFERROR(VLOOKUP(TED[[#This Row],[CENTRO]],'CENTRO DE CUSTO'!B:E,4,FALSE)," ")</f>
        <v>DÉBORA GOBETTI</v>
      </c>
      <c r="D262" s="12">
        <v>87</v>
      </c>
      <c r="E262" s="16">
        <v>87041</v>
      </c>
      <c r="F262" s="10" t="s">
        <v>140</v>
      </c>
      <c r="G262" s="10">
        <v>220</v>
      </c>
      <c r="H262" s="11">
        <v>44599</v>
      </c>
      <c r="I262" s="10" t="s">
        <v>1</v>
      </c>
      <c r="J262" s="12" t="str">
        <f>IF(OR(TED[[#This Row],[SITUACAO]]=1,TED[[#This Row],[SITUACAO]]=9,TED[[#This Row],[SITUACAO]]=18),"ATIVO","AFASTADO")</f>
        <v>ATIVO</v>
      </c>
      <c r="K262" s="12">
        <v>1</v>
      </c>
    </row>
    <row r="263" spans="1:11" x14ac:dyDescent="0.25">
      <c r="A263" s="10">
        <v>43508</v>
      </c>
      <c r="B263" s="9" t="s">
        <v>2066</v>
      </c>
      <c r="C263" s="12" t="str">
        <f>IFERROR(VLOOKUP(TED[[#This Row],[CENTRO]],'CENTRO DE CUSTO'!B:E,4,FALSE)," ")</f>
        <v>JOÃO CLEMENTONI</v>
      </c>
      <c r="D263" s="12">
        <v>87</v>
      </c>
      <c r="E263" s="16">
        <v>87063</v>
      </c>
      <c r="F263" s="10" t="s">
        <v>256</v>
      </c>
      <c r="G263" s="10">
        <v>220</v>
      </c>
      <c r="H263" s="11">
        <v>46050</v>
      </c>
      <c r="I263" s="10" t="s">
        <v>21</v>
      </c>
      <c r="J263" s="12" t="str">
        <f>IF(OR(TED[[#This Row],[SITUACAO]]=1,TED[[#This Row],[SITUACAO]]=9,TED[[#This Row],[SITUACAO]]=18),"ATIVO","AFASTADO")</f>
        <v>ATIVO</v>
      </c>
      <c r="K263" s="12">
        <v>1</v>
      </c>
    </row>
    <row r="264" spans="1:11" x14ac:dyDescent="0.25">
      <c r="A264" s="10">
        <v>25016</v>
      </c>
      <c r="B264" s="9" t="s">
        <v>302</v>
      </c>
      <c r="C264" s="12" t="str">
        <f>IFERROR(VLOOKUP(TED[[#This Row],[CENTRO]],'CENTRO DE CUSTO'!B:E,4,FALSE)," ")</f>
        <v>DÉBORA GOBETTI</v>
      </c>
      <c r="D264" s="12">
        <v>87</v>
      </c>
      <c r="E264" s="16">
        <v>87071</v>
      </c>
      <c r="F264" s="10" t="s">
        <v>299</v>
      </c>
      <c r="G264" s="10">
        <v>220</v>
      </c>
      <c r="H264" s="11">
        <v>44956</v>
      </c>
      <c r="I264" s="10" t="s">
        <v>21</v>
      </c>
      <c r="J264" s="12" t="str">
        <f>IF(OR(TED[[#This Row],[SITUACAO]]=1,TED[[#This Row],[SITUACAO]]=9,TED[[#This Row],[SITUACAO]]=18),"ATIVO","AFASTADO")</f>
        <v>ATIVO</v>
      </c>
      <c r="K264" s="12">
        <v>1</v>
      </c>
    </row>
    <row r="265" spans="1:11" x14ac:dyDescent="0.25">
      <c r="A265" s="10">
        <v>38276</v>
      </c>
      <c r="B265" s="9" t="s">
        <v>282</v>
      </c>
      <c r="C265" s="12" t="str">
        <f>IFERROR(VLOOKUP(TED[[#This Row],[CENTRO]],'CENTRO DE CUSTO'!B:E,4,FALSE)," ")</f>
        <v>DÉBORA GOBETTI</v>
      </c>
      <c r="D265" s="12">
        <v>87</v>
      </c>
      <c r="E265" s="16">
        <v>87067</v>
      </c>
      <c r="F265" s="10" t="s">
        <v>278</v>
      </c>
      <c r="G265" s="10">
        <v>150</v>
      </c>
      <c r="H265" s="11">
        <v>45762</v>
      </c>
      <c r="I265" s="10" t="s">
        <v>1</v>
      </c>
      <c r="J265" s="12" t="str">
        <f>IF(OR(TED[[#This Row],[SITUACAO]]=1,TED[[#This Row],[SITUACAO]]=9,TED[[#This Row],[SITUACAO]]=18),"ATIVO","AFASTADO")</f>
        <v>ATIVO</v>
      </c>
      <c r="K265" s="12">
        <v>1</v>
      </c>
    </row>
    <row r="266" spans="1:11" x14ac:dyDescent="0.25">
      <c r="A266" s="10">
        <v>5173</v>
      </c>
      <c r="B266" s="9" t="s">
        <v>529</v>
      </c>
      <c r="C266" s="12" t="str">
        <f>IFERROR(VLOOKUP(TED[[#This Row],[CENTRO]],'CENTRO DE CUSTO'!B:E,4,FALSE)," ")</f>
        <v>S/ SUPERVISOR</v>
      </c>
      <c r="D266" s="12">
        <v>87</v>
      </c>
      <c r="E266" s="16">
        <v>87115</v>
      </c>
      <c r="F266" s="10" t="s">
        <v>528</v>
      </c>
      <c r="G266" s="10">
        <v>220</v>
      </c>
      <c r="H266" s="11">
        <v>42160</v>
      </c>
      <c r="I266" s="10" t="s">
        <v>21</v>
      </c>
      <c r="J266" s="12" t="str">
        <f>IF(OR(TED[[#This Row],[SITUACAO]]=1,TED[[#This Row],[SITUACAO]]=9,TED[[#This Row],[SITUACAO]]=18),"ATIVO","AFASTADO")</f>
        <v>ATIVO</v>
      </c>
      <c r="K266" s="12">
        <v>1</v>
      </c>
    </row>
    <row r="267" spans="1:11" x14ac:dyDescent="0.25">
      <c r="A267" s="10">
        <v>44298</v>
      </c>
      <c r="B267" s="9" t="s">
        <v>2105</v>
      </c>
      <c r="C267" s="12" t="str">
        <f>IFERROR(VLOOKUP(TED[[#This Row],[CENTRO]],'CENTRO DE CUSTO'!B:E,4,FALSE)," ")</f>
        <v>S/ SUPERVISOR</v>
      </c>
      <c r="D267" s="12">
        <v>87</v>
      </c>
      <c r="E267" s="16">
        <v>87045</v>
      </c>
      <c r="F267" s="10" t="s">
        <v>166</v>
      </c>
      <c r="G267" s="10">
        <v>220</v>
      </c>
      <c r="H267" s="11">
        <v>46083</v>
      </c>
      <c r="I267" s="10" t="s">
        <v>21</v>
      </c>
      <c r="J267" s="12" t="str">
        <f>IF(OR(TED[[#This Row],[SITUACAO]]=1,TED[[#This Row],[SITUACAO]]=9,TED[[#This Row],[SITUACAO]]=18),"ATIVO","AFASTADO")</f>
        <v>ATIVO</v>
      </c>
      <c r="K267" s="12">
        <v>1</v>
      </c>
    </row>
    <row r="268" spans="1:11" x14ac:dyDescent="0.25">
      <c r="A268" s="10">
        <v>25947</v>
      </c>
      <c r="B268" s="9" t="s">
        <v>205</v>
      </c>
      <c r="C268" s="12" t="str">
        <f>IFERROR(VLOOKUP(TED[[#This Row],[CENTRO]],'CENTRO DE CUSTO'!B:E,4,FALSE)," ")</f>
        <v>VANDERSON</v>
      </c>
      <c r="D268" s="12">
        <v>87</v>
      </c>
      <c r="E268" s="16">
        <v>87052</v>
      </c>
      <c r="F268" s="10" t="s">
        <v>204</v>
      </c>
      <c r="G268" s="10">
        <v>220</v>
      </c>
      <c r="H268" s="11">
        <v>45005</v>
      </c>
      <c r="I268" s="10" t="s">
        <v>1</v>
      </c>
      <c r="J268" s="12" t="str">
        <f>IF(OR(TED[[#This Row],[SITUACAO]]=1,TED[[#This Row],[SITUACAO]]=9,TED[[#This Row],[SITUACAO]]=18),"ATIVO","AFASTADO")</f>
        <v>ATIVO</v>
      </c>
      <c r="K268" s="12">
        <v>1</v>
      </c>
    </row>
    <row r="269" spans="1:11" x14ac:dyDescent="0.25">
      <c r="A269" s="10">
        <v>15678</v>
      </c>
      <c r="B269" s="9" t="s">
        <v>311</v>
      </c>
      <c r="C269" s="12" t="str">
        <f>IFERROR(VLOOKUP(TED[[#This Row],[CENTRO]],'CENTRO DE CUSTO'!B:E,4,FALSE)," ")</f>
        <v>JOÃO CLEMENTONI</v>
      </c>
      <c r="D269" s="12">
        <v>87</v>
      </c>
      <c r="E269" s="16">
        <v>87006</v>
      </c>
      <c r="F269" s="10" t="s">
        <v>9</v>
      </c>
      <c r="G269" s="10">
        <v>220</v>
      </c>
      <c r="H269" s="11">
        <v>44252</v>
      </c>
      <c r="I269" s="10" t="s">
        <v>1</v>
      </c>
      <c r="J269" s="12" t="str">
        <f>IF(OR(TED[[#This Row],[SITUACAO]]=1,TED[[#This Row],[SITUACAO]]=9,TED[[#This Row],[SITUACAO]]=18),"ATIVO","AFASTADO")</f>
        <v>ATIVO</v>
      </c>
      <c r="K269" s="12">
        <v>1</v>
      </c>
    </row>
    <row r="270" spans="1:11" x14ac:dyDescent="0.25">
      <c r="A270" s="10">
        <v>7042</v>
      </c>
      <c r="B270" s="9" t="s">
        <v>54</v>
      </c>
      <c r="C270" s="12" t="str">
        <f>IFERROR(VLOOKUP(TED[[#This Row],[CENTRO]],'CENTRO DE CUSTO'!B:E,4,FALSE)," ")</f>
        <v>JOÃO CLEMENTONI</v>
      </c>
      <c r="D270" s="12">
        <v>87</v>
      </c>
      <c r="E270" s="16">
        <v>87021</v>
      </c>
      <c r="F270" s="10" t="s">
        <v>55</v>
      </c>
      <c r="G270" s="10">
        <v>220</v>
      </c>
      <c r="H270" s="11">
        <v>42418</v>
      </c>
      <c r="I270" s="10" t="s">
        <v>1</v>
      </c>
      <c r="J270" s="12" t="str">
        <f>IF(OR(TED[[#This Row],[SITUACAO]]=1,TED[[#This Row],[SITUACAO]]=9,TED[[#This Row],[SITUACAO]]=18),"ATIVO","AFASTADO")</f>
        <v>ATIVO</v>
      </c>
      <c r="K270" s="12">
        <v>1</v>
      </c>
    </row>
    <row r="271" spans="1:11" x14ac:dyDescent="0.25">
      <c r="A271" s="10">
        <v>43989</v>
      </c>
      <c r="B271" s="9" t="s">
        <v>2071</v>
      </c>
      <c r="C271" s="12" t="str">
        <f>IFERROR(VLOOKUP(TED[[#This Row],[CENTRO]],'CENTRO DE CUSTO'!B:E,4,FALSE)," ")</f>
        <v>PAULO TORRES</v>
      </c>
      <c r="D271" s="12">
        <v>87</v>
      </c>
      <c r="E271" s="16">
        <v>87481</v>
      </c>
      <c r="F271" s="10" t="s">
        <v>613</v>
      </c>
      <c r="G271" s="10">
        <v>220</v>
      </c>
      <c r="H271" s="11">
        <v>46072</v>
      </c>
      <c r="I271" s="10" t="s">
        <v>604</v>
      </c>
      <c r="J271" s="12" t="str">
        <f>IF(OR(TED[[#This Row],[SITUACAO]]=1,TED[[#This Row],[SITUACAO]]=9,TED[[#This Row],[SITUACAO]]=18),"ATIVO","AFASTADO")</f>
        <v>ATIVO</v>
      </c>
      <c r="K271" s="12">
        <v>1</v>
      </c>
    </row>
    <row r="272" spans="1:11" x14ac:dyDescent="0.25">
      <c r="A272" s="10">
        <v>12729</v>
      </c>
      <c r="B272" s="9" t="s">
        <v>555</v>
      </c>
      <c r="C272" s="12" t="str">
        <f>IFERROR(VLOOKUP(TED[[#This Row],[CENTRO]],'CENTRO DE CUSTO'!B:E,4,FALSE)," ")</f>
        <v>JOÃO CLEMENTONI</v>
      </c>
      <c r="D272" s="12">
        <v>87</v>
      </c>
      <c r="E272" s="16">
        <v>87120</v>
      </c>
      <c r="F272" s="10" t="s">
        <v>554</v>
      </c>
      <c r="G272" s="10">
        <v>220</v>
      </c>
      <c r="H272" s="11">
        <v>43601</v>
      </c>
      <c r="I272" s="10" t="s">
        <v>1</v>
      </c>
      <c r="J272" s="12" t="str">
        <f>IF(OR(TED[[#This Row],[SITUACAO]]=1,TED[[#This Row],[SITUACAO]]=9,TED[[#This Row],[SITUACAO]]=18),"ATIVO","AFASTADO")</f>
        <v>ATIVO</v>
      </c>
      <c r="K272" s="12">
        <v>1</v>
      </c>
    </row>
    <row r="273" spans="1:11" x14ac:dyDescent="0.25">
      <c r="A273" s="10">
        <v>29794</v>
      </c>
      <c r="B273" s="9" t="s">
        <v>257</v>
      </c>
      <c r="C273" s="12" t="str">
        <f>IFERROR(VLOOKUP(TED[[#This Row],[CENTRO]],'CENTRO DE CUSTO'!B:E,4,FALSE)," ")</f>
        <v>JOÃO CLEMENTONI</v>
      </c>
      <c r="D273" s="12">
        <v>87</v>
      </c>
      <c r="E273" s="16">
        <v>87063</v>
      </c>
      <c r="F273" s="10" t="s">
        <v>256</v>
      </c>
      <c r="G273" s="10">
        <v>150</v>
      </c>
      <c r="H273" s="11">
        <v>45313</v>
      </c>
      <c r="I273" s="10" t="s">
        <v>1</v>
      </c>
      <c r="J273" s="12" t="str">
        <f>IF(OR(TED[[#This Row],[SITUACAO]]=1,TED[[#This Row],[SITUACAO]]=9,TED[[#This Row],[SITUACAO]]=18),"ATIVO","AFASTADO")</f>
        <v>ATIVO</v>
      </c>
      <c r="K273" s="12">
        <v>1</v>
      </c>
    </row>
    <row r="274" spans="1:11" x14ac:dyDescent="0.25">
      <c r="A274" s="10">
        <v>9674</v>
      </c>
      <c r="B274" s="9" t="s">
        <v>175</v>
      </c>
      <c r="C274" s="12" t="str">
        <f>IFERROR(VLOOKUP(TED[[#This Row],[CENTRO]],'CENTRO DE CUSTO'!B:E,4,FALSE)," ")</f>
        <v>DÉBORA GOBETTI</v>
      </c>
      <c r="D274" s="12">
        <v>87</v>
      </c>
      <c r="E274" s="16">
        <v>87046</v>
      </c>
      <c r="F274" s="10" t="s">
        <v>170</v>
      </c>
      <c r="G274" s="10">
        <v>220</v>
      </c>
      <c r="H274" s="11">
        <v>43014</v>
      </c>
      <c r="I274" s="10" t="s">
        <v>21</v>
      </c>
      <c r="J274" s="12" t="str">
        <f>IF(OR(TED[[#This Row],[SITUACAO]]=1,TED[[#This Row],[SITUACAO]]=9,TED[[#This Row],[SITUACAO]]=18),"ATIVO","AFASTADO")</f>
        <v>AFASTADO</v>
      </c>
      <c r="K274" s="12">
        <v>6</v>
      </c>
    </row>
    <row r="275" spans="1:11" x14ac:dyDescent="0.25">
      <c r="A275" s="10">
        <v>43585</v>
      </c>
      <c r="B275" s="9" t="s">
        <v>2062</v>
      </c>
      <c r="C275" s="12" t="str">
        <f>IFERROR(VLOOKUP(TED[[#This Row],[CENTRO]],'CENTRO DE CUSTO'!B:E,4,FALSE)," ")</f>
        <v>VANDERSON</v>
      </c>
      <c r="D275" s="12">
        <v>87</v>
      </c>
      <c r="E275" s="16">
        <v>87012</v>
      </c>
      <c r="F275" s="10" t="s">
        <v>22</v>
      </c>
      <c r="G275" s="10">
        <v>220</v>
      </c>
      <c r="H275" s="11">
        <v>46055</v>
      </c>
      <c r="I275" s="10" t="s">
        <v>1</v>
      </c>
      <c r="J275" s="12" t="str">
        <f>IF(OR(TED[[#This Row],[SITUACAO]]=1,TED[[#This Row],[SITUACAO]]=9,TED[[#This Row],[SITUACAO]]=18),"ATIVO","AFASTADO")</f>
        <v>ATIVO</v>
      </c>
      <c r="K275" s="12">
        <v>1</v>
      </c>
    </row>
    <row r="276" spans="1:11" x14ac:dyDescent="0.25">
      <c r="A276" s="10">
        <v>30194</v>
      </c>
      <c r="B276" s="9" t="s">
        <v>462</v>
      </c>
      <c r="C276" s="12" t="str">
        <f>IFERROR(VLOOKUP(TED[[#This Row],[CENTRO]],'CENTRO DE CUSTO'!B:E,4,FALSE)," ")</f>
        <v>S/ SUPERVISOR</v>
      </c>
      <c r="D276" s="12">
        <v>87</v>
      </c>
      <c r="E276" s="16">
        <v>87103</v>
      </c>
      <c r="F276" s="10" t="s">
        <v>459</v>
      </c>
      <c r="G276" s="10">
        <v>220</v>
      </c>
      <c r="H276" s="11">
        <v>45324</v>
      </c>
      <c r="I276" s="10" t="s">
        <v>1</v>
      </c>
      <c r="J276" s="12" t="str">
        <f>IF(OR(TED[[#This Row],[SITUACAO]]=1,TED[[#This Row],[SITUACAO]]=9,TED[[#This Row],[SITUACAO]]=18),"ATIVO","AFASTADO")</f>
        <v>ATIVO</v>
      </c>
      <c r="K276" s="12">
        <v>1</v>
      </c>
    </row>
    <row r="277" spans="1:11" x14ac:dyDescent="0.25">
      <c r="A277" s="10">
        <v>5229</v>
      </c>
      <c r="B277" s="9" t="s">
        <v>460</v>
      </c>
      <c r="C277" s="12" t="str">
        <f>IFERROR(VLOOKUP(TED[[#This Row],[CENTRO]],'CENTRO DE CUSTO'!B:E,4,FALSE)," ")</f>
        <v>S/ SUPERVISOR</v>
      </c>
      <c r="D277" s="12">
        <v>87</v>
      </c>
      <c r="E277" s="16">
        <v>87103</v>
      </c>
      <c r="F277" s="10" t="s">
        <v>459</v>
      </c>
      <c r="G277" s="10">
        <v>220</v>
      </c>
      <c r="H277" s="11">
        <v>42156</v>
      </c>
      <c r="I277" s="10" t="s">
        <v>1</v>
      </c>
      <c r="J277" s="12" t="str">
        <f>IF(OR(TED[[#This Row],[SITUACAO]]=1,TED[[#This Row],[SITUACAO]]=9,TED[[#This Row],[SITUACAO]]=18),"ATIVO","AFASTADO")</f>
        <v>ATIVO</v>
      </c>
      <c r="K277" s="12">
        <v>1</v>
      </c>
    </row>
    <row r="278" spans="1:11" x14ac:dyDescent="0.25">
      <c r="A278" s="10">
        <v>33493</v>
      </c>
      <c r="B278" s="9" t="s">
        <v>5</v>
      </c>
      <c r="C278" s="12" t="str">
        <f>IFERROR(VLOOKUP(TED[[#This Row],[CENTRO]],'CENTRO DE CUSTO'!B:E,4,FALSE)," ")</f>
        <v>CARLOS FABRI</v>
      </c>
      <c r="D278" s="12">
        <v>87</v>
      </c>
      <c r="E278" s="16">
        <v>87004</v>
      </c>
      <c r="F278" s="10" t="s">
        <v>6</v>
      </c>
      <c r="G278" s="10">
        <v>150</v>
      </c>
      <c r="H278" s="11">
        <v>45513</v>
      </c>
      <c r="I278" s="10" t="s">
        <v>1</v>
      </c>
      <c r="J278" s="12" t="str">
        <f>IF(OR(TED[[#This Row],[SITUACAO]]=1,TED[[#This Row],[SITUACAO]]=9,TED[[#This Row],[SITUACAO]]=18),"ATIVO","AFASTADO")</f>
        <v>ATIVO</v>
      </c>
      <c r="K278" s="12">
        <v>1</v>
      </c>
    </row>
    <row r="279" spans="1:11" x14ac:dyDescent="0.25">
      <c r="A279" s="10">
        <v>25236</v>
      </c>
      <c r="B279" s="9" t="s">
        <v>530</v>
      </c>
      <c r="C279" s="12" t="str">
        <f>IFERROR(VLOOKUP(TED[[#This Row],[CENTRO]],'CENTRO DE CUSTO'!B:E,4,FALSE)," ")</f>
        <v>S/ SUPERVISOR</v>
      </c>
      <c r="D279" s="12">
        <v>87</v>
      </c>
      <c r="E279" s="16">
        <v>87115</v>
      </c>
      <c r="F279" s="10" t="s">
        <v>528</v>
      </c>
      <c r="G279" s="10">
        <v>220</v>
      </c>
      <c r="H279" s="11">
        <v>44965</v>
      </c>
      <c r="I279" s="10" t="s">
        <v>1</v>
      </c>
      <c r="J279" s="12" t="str">
        <f>IF(OR(TED[[#This Row],[SITUACAO]]=1,TED[[#This Row],[SITUACAO]]=9,TED[[#This Row],[SITUACAO]]=18),"ATIVO","AFASTADO")</f>
        <v>ATIVO</v>
      </c>
      <c r="K279" s="12">
        <v>1</v>
      </c>
    </row>
    <row r="280" spans="1:11" x14ac:dyDescent="0.25">
      <c r="A280" s="10">
        <v>5409</v>
      </c>
      <c r="B280" s="9" t="s">
        <v>583</v>
      </c>
      <c r="C280" s="12" t="str">
        <f>IFERROR(VLOOKUP(TED[[#This Row],[CENTRO]],'CENTRO DE CUSTO'!B:E,4,FALSE)," ")</f>
        <v>S/ SUPERVISOR</v>
      </c>
      <c r="D280" s="12">
        <v>87</v>
      </c>
      <c r="E280" s="16">
        <v>87129</v>
      </c>
      <c r="F280" s="10" t="s">
        <v>582</v>
      </c>
      <c r="G280" s="10">
        <v>220</v>
      </c>
      <c r="H280" s="11">
        <v>42156</v>
      </c>
      <c r="I280" s="10" t="s">
        <v>1</v>
      </c>
      <c r="J280" s="12" t="str">
        <f>IF(OR(TED[[#This Row],[SITUACAO]]=1,TED[[#This Row],[SITUACAO]]=9,TED[[#This Row],[SITUACAO]]=18),"ATIVO","AFASTADO")</f>
        <v>AFASTADO</v>
      </c>
      <c r="K280" s="12">
        <v>6</v>
      </c>
    </row>
    <row r="281" spans="1:11" x14ac:dyDescent="0.25">
      <c r="A281" s="10">
        <v>5660</v>
      </c>
      <c r="B281" s="9" t="s">
        <v>510</v>
      </c>
      <c r="C281" s="12" t="str">
        <f>IFERROR(VLOOKUP(TED[[#This Row],[CENTRO]],'CENTRO DE CUSTO'!B:E,4,FALSE)," ")</f>
        <v>S/ SUPERVISOR</v>
      </c>
      <c r="D281" s="12">
        <v>87</v>
      </c>
      <c r="E281" s="16">
        <v>87111</v>
      </c>
      <c r="F281" s="10" t="s">
        <v>506</v>
      </c>
      <c r="G281" s="10">
        <v>220</v>
      </c>
      <c r="H281" s="11">
        <v>42156</v>
      </c>
      <c r="I281" s="10" t="s">
        <v>21</v>
      </c>
      <c r="J281" s="12" t="str">
        <f>IF(OR(TED[[#This Row],[SITUACAO]]=1,TED[[#This Row],[SITUACAO]]=9,TED[[#This Row],[SITUACAO]]=18),"ATIVO","AFASTADO")</f>
        <v>AFASTADO</v>
      </c>
      <c r="K281" s="12">
        <v>6</v>
      </c>
    </row>
    <row r="282" spans="1:11" x14ac:dyDescent="0.25">
      <c r="A282" s="10">
        <v>6050</v>
      </c>
      <c r="B282" s="9" t="s">
        <v>518</v>
      </c>
      <c r="C282" s="12" t="str">
        <f>IFERROR(VLOOKUP(TED[[#This Row],[CENTRO]],'CENTRO DE CUSTO'!B:E,4,FALSE)," ")</f>
        <v>VANDERSON</v>
      </c>
      <c r="D282" s="12">
        <v>87</v>
      </c>
      <c r="E282" s="16">
        <v>87012</v>
      </c>
      <c r="F282" s="10" t="s">
        <v>22</v>
      </c>
      <c r="G282" s="10">
        <v>220</v>
      </c>
      <c r="H282" s="11">
        <v>42236</v>
      </c>
      <c r="I282" s="10" t="s">
        <v>21</v>
      </c>
      <c r="J282" s="12" t="str">
        <f>IF(OR(TED[[#This Row],[SITUACAO]]=1,TED[[#This Row],[SITUACAO]]=9,TED[[#This Row],[SITUACAO]]=18),"ATIVO","AFASTADO")</f>
        <v>ATIVO</v>
      </c>
      <c r="K282" s="12">
        <v>1</v>
      </c>
    </row>
    <row r="283" spans="1:11" x14ac:dyDescent="0.25">
      <c r="A283" s="10">
        <v>9644</v>
      </c>
      <c r="B283" s="9" t="s">
        <v>93</v>
      </c>
      <c r="C283" s="12" t="str">
        <f>IFERROR(VLOOKUP(TED[[#This Row],[CENTRO]],'CENTRO DE CUSTO'!B:E,4,FALSE)," ")</f>
        <v>VANDERSON</v>
      </c>
      <c r="D283" s="12">
        <v>87</v>
      </c>
      <c r="E283" s="16">
        <v>87031</v>
      </c>
      <c r="F283" s="10" t="s">
        <v>94</v>
      </c>
      <c r="G283" s="10">
        <v>220</v>
      </c>
      <c r="H283" s="11">
        <v>42999</v>
      </c>
      <c r="I283" s="10" t="s">
        <v>1</v>
      </c>
      <c r="J283" s="12" t="str">
        <f>IF(OR(TED[[#This Row],[SITUACAO]]=1,TED[[#This Row],[SITUACAO]]=9,TED[[#This Row],[SITUACAO]]=18),"ATIVO","AFASTADO")</f>
        <v>ATIVO</v>
      </c>
      <c r="K283" s="12">
        <v>1</v>
      </c>
    </row>
    <row r="284" spans="1:11" x14ac:dyDescent="0.25">
      <c r="A284" s="10">
        <v>20417</v>
      </c>
      <c r="B284" s="9" t="s">
        <v>482</v>
      </c>
      <c r="C284" s="12" t="str">
        <f>IFERROR(VLOOKUP(TED[[#This Row],[CENTRO]],'CENTRO DE CUSTO'!B:E,4,FALSE)," ")</f>
        <v>DÉBORA GOBETTI</v>
      </c>
      <c r="D284" s="12">
        <v>87</v>
      </c>
      <c r="E284" s="16">
        <v>87106</v>
      </c>
      <c r="F284" s="10" t="s">
        <v>477</v>
      </c>
      <c r="G284" s="10">
        <v>220</v>
      </c>
      <c r="H284" s="11">
        <v>44608</v>
      </c>
      <c r="I284" s="10" t="s">
        <v>21</v>
      </c>
      <c r="J284" s="12" t="str">
        <f>IF(OR(TED[[#This Row],[SITUACAO]]=1,TED[[#This Row],[SITUACAO]]=9,TED[[#This Row],[SITUACAO]]=18),"ATIVO","AFASTADO")</f>
        <v>ATIVO</v>
      </c>
      <c r="K284" s="12">
        <v>1</v>
      </c>
    </row>
    <row r="285" spans="1:11" x14ac:dyDescent="0.25">
      <c r="A285" s="10">
        <v>16500</v>
      </c>
      <c r="B285" s="9" t="s">
        <v>149</v>
      </c>
      <c r="C285" s="12" t="str">
        <f>IFERROR(VLOOKUP(TED[[#This Row],[CENTRO]],'CENTRO DE CUSTO'!B:E,4,FALSE)," ")</f>
        <v>DÉBORA GOBETTI</v>
      </c>
      <c r="D285" s="12">
        <v>87</v>
      </c>
      <c r="E285" s="16">
        <v>87041</v>
      </c>
      <c r="F285" s="10" t="s">
        <v>140</v>
      </c>
      <c r="G285" s="10">
        <v>220</v>
      </c>
      <c r="H285" s="11">
        <v>44357</v>
      </c>
      <c r="I285" s="10" t="s">
        <v>21</v>
      </c>
      <c r="J285" s="12" t="str">
        <f>IF(OR(TED[[#This Row],[SITUACAO]]=1,TED[[#This Row],[SITUACAO]]=9,TED[[#This Row],[SITUACAO]]=18),"ATIVO","AFASTADO")</f>
        <v>ATIVO</v>
      </c>
      <c r="K285" s="12">
        <v>1</v>
      </c>
    </row>
    <row r="286" spans="1:11" x14ac:dyDescent="0.25">
      <c r="A286" s="10">
        <v>45557</v>
      </c>
      <c r="B286" s="9" t="s">
        <v>2216</v>
      </c>
      <c r="C286" s="12" t="str">
        <f>IFERROR(VLOOKUP(TED[[#This Row],[CENTRO]],'CENTRO DE CUSTO'!B:E,4,FALSE)," ")</f>
        <v>CARLOS FABRI</v>
      </c>
      <c r="D286" s="12">
        <v>87</v>
      </c>
      <c r="E286" s="16">
        <v>87037</v>
      </c>
      <c r="F286" s="10" t="s">
        <v>123</v>
      </c>
      <c r="G286" s="10">
        <v>220</v>
      </c>
      <c r="H286" s="11">
        <v>46154</v>
      </c>
      <c r="I286" s="10" t="s">
        <v>21</v>
      </c>
      <c r="J286" s="12" t="str">
        <f>IF(OR(TED[[#This Row],[SITUACAO]]=1,TED[[#This Row],[SITUACAO]]=9,TED[[#This Row],[SITUACAO]]=18),"ATIVO","AFASTADO")</f>
        <v>ATIVO</v>
      </c>
      <c r="K286" s="12">
        <v>1</v>
      </c>
    </row>
    <row r="287" spans="1:11" x14ac:dyDescent="0.25">
      <c r="A287" s="10">
        <v>5565</v>
      </c>
      <c r="B287" s="9" t="s">
        <v>108</v>
      </c>
      <c r="C287" s="12" t="str">
        <f>IFERROR(VLOOKUP(TED[[#This Row],[CENTRO]],'CENTRO DE CUSTO'!B:E,4,FALSE)," ")</f>
        <v>S/ SUPERVISOR</v>
      </c>
      <c r="D287" s="12">
        <v>87</v>
      </c>
      <c r="E287" s="16">
        <v>87035</v>
      </c>
      <c r="F287" s="10" t="s">
        <v>109</v>
      </c>
      <c r="G287" s="10">
        <v>220</v>
      </c>
      <c r="H287" s="11">
        <v>42156</v>
      </c>
      <c r="I287" s="10" t="s">
        <v>1</v>
      </c>
      <c r="J287" s="12" t="str">
        <f>IF(OR(TED[[#This Row],[SITUACAO]]=1,TED[[#This Row],[SITUACAO]]=9,TED[[#This Row],[SITUACAO]]=18),"ATIVO","AFASTADO")</f>
        <v>ATIVO</v>
      </c>
      <c r="K287" s="12">
        <v>1</v>
      </c>
    </row>
    <row r="288" spans="1:11" x14ac:dyDescent="0.25">
      <c r="A288" s="10">
        <v>12357</v>
      </c>
      <c r="B288" s="9" t="s">
        <v>317</v>
      </c>
      <c r="C288" s="12" t="str">
        <f>IFERROR(VLOOKUP(TED[[#This Row],[CENTRO]],'CENTRO DE CUSTO'!B:E,4,FALSE)," ")</f>
        <v>VANDERSON</v>
      </c>
      <c r="D288" s="12">
        <v>87</v>
      </c>
      <c r="E288" s="16">
        <v>87074</v>
      </c>
      <c r="F288" s="10" t="s">
        <v>315</v>
      </c>
      <c r="G288" s="10">
        <v>220</v>
      </c>
      <c r="H288" s="11">
        <v>43532</v>
      </c>
      <c r="I288" s="10" t="s">
        <v>1</v>
      </c>
      <c r="J288" s="12" t="str">
        <f>IF(OR(TED[[#This Row],[SITUACAO]]=1,TED[[#This Row],[SITUACAO]]=9,TED[[#This Row],[SITUACAO]]=18),"ATIVO","AFASTADO")</f>
        <v>ATIVO</v>
      </c>
      <c r="K288" s="12">
        <v>1</v>
      </c>
    </row>
    <row r="289" spans="1:11" x14ac:dyDescent="0.25">
      <c r="A289" s="10">
        <v>5276</v>
      </c>
      <c r="B289" s="9" t="s">
        <v>469</v>
      </c>
      <c r="C289" s="12" t="str">
        <f>IFERROR(VLOOKUP(TED[[#This Row],[CENTRO]],'CENTRO DE CUSTO'!B:E,4,FALSE)," ")</f>
        <v>S/ SUPERVISOR</v>
      </c>
      <c r="D289" s="12">
        <v>87</v>
      </c>
      <c r="E289" s="16">
        <v>87104</v>
      </c>
      <c r="F289" s="10" t="s">
        <v>467</v>
      </c>
      <c r="G289" s="10">
        <v>220</v>
      </c>
      <c r="H289" s="11">
        <v>42156</v>
      </c>
      <c r="I289" s="10" t="s">
        <v>1</v>
      </c>
      <c r="J289" s="12" t="str">
        <f>IF(OR(TED[[#This Row],[SITUACAO]]=1,TED[[#This Row],[SITUACAO]]=9,TED[[#This Row],[SITUACAO]]=18),"ATIVO","AFASTADO")</f>
        <v>ATIVO</v>
      </c>
      <c r="K289" s="12">
        <v>1</v>
      </c>
    </row>
    <row r="290" spans="1:11" x14ac:dyDescent="0.25">
      <c r="A290" s="10">
        <v>16413</v>
      </c>
      <c r="B290" s="9" t="s">
        <v>424</v>
      </c>
      <c r="C290" s="12" t="str">
        <f>IFERROR(VLOOKUP(TED[[#This Row],[CENTRO]],'CENTRO DE CUSTO'!B:E,4,FALSE)," ")</f>
        <v>JOÃO CLEMENTONI</v>
      </c>
      <c r="D290" s="12">
        <v>87</v>
      </c>
      <c r="E290" s="16">
        <v>87095</v>
      </c>
      <c r="F290" s="10" t="s">
        <v>421</v>
      </c>
      <c r="G290" s="10">
        <v>150</v>
      </c>
      <c r="H290" s="11">
        <v>44349</v>
      </c>
      <c r="I290" s="10" t="s">
        <v>1</v>
      </c>
      <c r="J290" s="12" t="str">
        <f>IF(OR(TED[[#This Row],[SITUACAO]]=1,TED[[#This Row],[SITUACAO]]=9,TED[[#This Row],[SITUACAO]]=18),"ATIVO","AFASTADO")</f>
        <v>ATIVO</v>
      </c>
      <c r="K290" s="12">
        <v>1</v>
      </c>
    </row>
    <row r="291" spans="1:11" x14ac:dyDescent="0.25">
      <c r="A291" s="10">
        <v>46170</v>
      </c>
      <c r="B291" s="9" t="s">
        <v>2324</v>
      </c>
      <c r="C291" s="12" t="str">
        <f>IFERROR(VLOOKUP(TED[[#This Row],[CENTRO]],'CENTRO DE CUSTO'!B:E,4,FALSE)," ")</f>
        <v>CARLOS FABRI</v>
      </c>
      <c r="D291" s="12">
        <v>87</v>
      </c>
      <c r="E291" s="16">
        <v>87123</v>
      </c>
      <c r="F291" s="10" t="s">
        <v>563</v>
      </c>
      <c r="G291" s="10">
        <v>220</v>
      </c>
      <c r="H291" s="11">
        <v>46188</v>
      </c>
      <c r="I291" s="10" t="s">
        <v>1</v>
      </c>
      <c r="J291" s="12" t="str">
        <f>IF(OR(TED[[#This Row],[SITUACAO]]=1,TED[[#This Row],[SITUACAO]]=9,TED[[#This Row],[SITUACAO]]=18),"ATIVO","AFASTADO")</f>
        <v>ATIVO</v>
      </c>
      <c r="K291" s="12">
        <v>1</v>
      </c>
    </row>
    <row r="292" spans="1:11" x14ac:dyDescent="0.25">
      <c r="A292" s="10">
        <v>24909</v>
      </c>
      <c r="B292" s="9" t="s">
        <v>219</v>
      </c>
      <c r="C292" s="12" t="str">
        <f>IFERROR(VLOOKUP(TED[[#This Row],[CENTRO]],'CENTRO DE CUSTO'!B:E,4,FALSE)," ")</f>
        <v>CARLOS FABRI</v>
      </c>
      <c r="D292" s="12">
        <v>87</v>
      </c>
      <c r="E292" s="16">
        <v>87056</v>
      </c>
      <c r="F292" s="10" t="s">
        <v>218</v>
      </c>
      <c r="G292" s="10">
        <v>220</v>
      </c>
      <c r="H292" s="11">
        <v>44949</v>
      </c>
      <c r="I292" s="10" t="s">
        <v>21</v>
      </c>
      <c r="J292" s="12" t="str">
        <f>IF(OR(TED[[#This Row],[SITUACAO]]=1,TED[[#This Row],[SITUACAO]]=9,TED[[#This Row],[SITUACAO]]=18),"ATIVO","AFASTADO")</f>
        <v>ATIVO</v>
      </c>
      <c r="K292" s="12">
        <v>1</v>
      </c>
    </row>
    <row r="293" spans="1:11" x14ac:dyDescent="0.25">
      <c r="A293" s="10">
        <v>32083</v>
      </c>
      <c r="B293" s="9" t="s">
        <v>603</v>
      </c>
      <c r="C293" s="12" t="str">
        <f>IFERROR(VLOOKUP(TED[[#This Row],[CENTRO]],'CENTRO DE CUSTO'!B:E,4,FALSE)," ")</f>
        <v>PAULO TORRES</v>
      </c>
      <c r="D293" s="12">
        <v>87</v>
      </c>
      <c r="E293" s="16">
        <v>87200</v>
      </c>
      <c r="F293" s="10" t="s">
        <v>599</v>
      </c>
      <c r="G293" s="10">
        <v>220</v>
      </c>
      <c r="H293" s="11">
        <v>45392</v>
      </c>
      <c r="I293" s="10" t="s">
        <v>604</v>
      </c>
      <c r="J293" s="12" t="str">
        <f>IF(OR(TED[[#This Row],[SITUACAO]]=1,TED[[#This Row],[SITUACAO]]=9,TED[[#This Row],[SITUACAO]]=18),"ATIVO","AFASTADO")</f>
        <v>ATIVO</v>
      </c>
      <c r="K293" s="12">
        <v>1</v>
      </c>
    </row>
    <row r="294" spans="1:11" x14ac:dyDescent="0.25">
      <c r="A294" s="10">
        <v>24902</v>
      </c>
      <c r="B294" s="9" t="s">
        <v>361</v>
      </c>
      <c r="C294" s="12" t="str">
        <f>IFERROR(VLOOKUP(TED[[#This Row],[CENTRO]],'CENTRO DE CUSTO'!B:E,4,FALSE)," ")</f>
        <v>JOÃO CLEMENTONI</v>
      </c>
      <c r="D294" s="12">
        <v>87</v>
      </c>
      <c r="E294" s="16">
        <v>87080</v>
      </c>
      <c r="F294" s="10" t="s">
        <v>347</v>
      </c>
      <c r="G294" s="10">
        <v>220</v>
      </c>
      <c r="H294" s="11">
        <v>44949</v>
      </c>
      <c r="I294" s="10" t="s">
        <v>1</v>
      </c>
      <c r="J294" s="12" t="str">
        <f>IF(OR(TED[[#This Row],[SITUACAO]]=1,TED[[#This Row],[SITUACAO]]=9,TED[[#This Row],[SITUACAO]]=18),"ATIVO","AFASTADO")</f>
        <v>AFASTADO</v>
      </c>
      <c r="K294" s="12">
        <v>6</v>
      </c>
    </row>
    <row r="295" spans="1:11" x14ac:dyDescent="0.25">
      <c r="A295" s="10">
        <v>35327</v>
      </c>
      <c r="B295" s="9" t="s">
        <v>124</v>
      </c>
      <c r="C295" s="12" t="str">
        <f>IFERROR(VLOOKUP(TED[[#This Row],[CENTRO]],'CENTRO DE CUSTO'!B:E,4,FALSE)," ")</f>
        <v>CARLOS FABRI</v>
      </c>
      <c r="D295" s="12">
        <v>87</v>
      </c>
      <c r="E295" s="16">
        <v>87123</v>
      </c>
      <c r="F295" s="10" t="s">
        <v>563</v>
      </c>
      <c r="G295" s="10">
        <v>220</v>
      </c>
      <c r="H295" s="11">
        <v>45691</v>
      </c>
      <c r="I295" s="10" t="s">
        <v>21</v>
      </c>
      <c r="J295" s="12" t="str">
        <f>IF(OR(TED[[#This Row],[SITUACAO]]=1,TED[[#This Row],[SITUACAO]]=9,TED[[#This Row],[SITUACAO]]=18),"ATIVO","AFASTADO")</f>
        <v>ATIVO</v>
      </c>
      <c r="K295" s="12">
        <v>1</v>
      </c>
    </row>
    <row r="296" spans="1:11" x14ac:dyDescent="0.25">
      <c r="A296" s="10">
        <v>43292</v>
      </c>
      <c r="B296" s="9" t="s">
        <v>2043</v>
      </c>
      <c r="C296" s="12" t="str">
        <f>IFERROR(VLOOKUP(TED[[#This Row],[CENTRO]],'CENTRO DE CUSTO'!B:E,4,FALSE)," ")</f>
        <v>DÉBORA GOBETTI</v>
      </c>
      <c r="D296" s="12">
        <v>87</v>
      </c>
      <c r="E296" s="16">
        <v>87055</v>
      </c>
      <c r="F296" s="10" t="s">
        <v>213</v>
      </c>
      <c r="G296" s="10">
        <v>220</v>
      </c>
      <c r="H296" s="11">
        <v>46043</v>
      </c>
      <c r="I296" s="10" t="s">
        <v>21</v>
      </c>
      <c r="J296" s="12" t="str">
        <f>IF(OR(TED[[#This Row],[SITUACAO]]=1,TED[[#This Row],[SITUACAO]]=9,TED[[#This Row],[SITUACAO]]=18),"ATIVO","AFASTADO")</f>
        <v>ATIVO</v>
      </c>
      <c r="K296" s="12">
        <v>1</v>
      </c>
    </row>
    <row r="297" spans="1:11" x14ac:dyDescent="0.25">
      <c r="A297" s="10">
        <v>6357</v>
      </c>
      <c r="B297" s="9" t="s">
        <v>632</v>
      </c>
      <c r="C297" s="12" t="str">
        <f>IFERROR(VLOOKUP(TED[[#This Row],[CENTRO]],'CENTRO DE CUSTO'!B:E,4,FALSE)," ")</f>
        <v>DÉBORA GOBETTI</v>
      </c>
      <c r="D297" s="12">
        <v>87</v>
      </c>
      <c r="E297" s="16">
        <v>87484</v>
      </c>
      <c r="F297" s="10" t="s">
        <v>631</v>
      </c>
      <c r="G297" s="10">
        <v>220</v>
      </c>
      <c r="H297" s="11">
        <v>42303</v>
      </c>
      <c r="I297" s="10" t="s">
        <v>1</v>
      </c>
      <c r="J297" s="12" t="str">
        <f>IF(OR(TED[[#This Row],[SITUACAO]]=1,TED[[#This Row],[SITUACAO]]=9,TED[[#This Row],[SITUACAO]]=18),"ATIVO","AFASTADO")</f>
        <v>ATIVO</v>
      </c>
      <c r="K297" s="12">
        <v>1</v>
      </c>
    </row>
    <row r="298" spans="1:11" x14ac:dyDescent="0.25">
      <c r="A298" s="10">
        <v>45706</v>
      </c>
      <c r="B298" s="9" t="s">
        <v>2221</v>
      </c>
      <c r="C298" s="12" t="str">
        <f>IFERROR(VLOOKUP(TED[[#This Row],[CENTRO]],'CENTRO DE CUSTO'!B:E,4,FALSE)," ")</f>
        <v>S/ SUPERVISOR</v>
      </c>
      <c r="D298" s="12">
        <v>87</v>
      </c>
      <c r="E298" s="16">
        <v>87118</v>
      </c>
      <c r="F298" s="10" t="s">
        <v>544</v>
      </c>
      <c r="G298" s="10">
        <v>220</v>
      </c>
      <c r="H298" s="11">
        <v>46161</v>
      </c>
      <c r="I298" s="10" t="s">
        <v>21</v>
      </c>
      <c r="J298" s="12" t="str">
        <f>IF(OR(TED[[#This Row],[SITUACAO]]=1,TED[[#This Row],[SITUACAO]]=9,TED[[#This Row],[SITUACAO]]=18),"ATIVO","AFASTADO")</f>
        <v>ATIVO</v>
      </c>
      <c r="K298" s="12">
        <v>1</v>
      </c>
    </row>
    <row r="299" spans="1:11" x14ac:dyDescent="0.25">
      <c r="A299" s="10">
        <v>39699</v>
      </c>
      <c r="B299" s="9" t="s">
        <v>3</v>
      </c>
      <c r="C299" s="12" t="str">
        <f>IFERROR(VLOOKUP(TED[[#This Row],[CENTRO]],'CENTRO DE CUSTO'!B:E,4,FALSE)," ")</f>
        <v>CARLOS FABRI</v>
      </c>
      <c r="D299" s="12">
        <v>87</v>
      </c>
      <c r="E299" s="16">
        <v>87003</v>
      </c>
      <c r="F299" s="10" t="s">
        <v>2</v>
      </c>
      <c r="G299" s="10">
        <v>220</v>
      </c>
      <c r="H299" s="11">
        <v>45861</v>
      </c>
      <c r="I299" s="10" t="s">
        <v>1</v>
      </c>
      <c r="J299" s="12" t="str">
        <f>IF(OR(TED[[#This Row],[SITUACAO]]=1,TED[[#This Row],[SITUACAO]]=9,TED[[#This Row],[SITUACAO]]=18),"ATIVO","AFASTADO")</f>
        <v>ATIVO</v>
      </c>
      <c r="K299" s="12">
        <v>1</v>
      </c>
    </row>
    <row r="300" spans="1:11" x14ac:dyDescent="0.25">
      <c r="A300" s="10">
        <v>6976</v>
      </c>
      <c r="B300" s="9" t="s">
        <v>126</v>
      </c>
      <c r="C300" s="12" t="str">
        <f>IFERROR(VLOOKUP(TED[[#This Row],[CENTRO]],'CENTRO DE CUSTO'!B:E,4,FALSE)," ")</f>
        <v>CARLOS FABRI</v>
      </c>
      <c r="D300" s="12">
        <v>87</v>
      </c>
      <c r="E300" s="16">
        <v>87124</v>
      </c>
      <c r="F300" s="10" t="s">
        <v>572</v>
      </c>
      <c r="G300" s="10">
        <v>220</v>
      </c>
      <c r="H300" s="11">
        <v>42395</v>
      </c>
      <c r="I300" s="10" t="s">
        <v>21</v>
      </c>
      <c r="J300" s="12" t="str">
        <f>IF(OR(TED[[#This Row],[SITUACAO]]=1,TED[[#This Row],[SITUACAO]]=9,TED[[#This Row],[SITUACAO]]=18),"ATIVO","AFASTADO")</f>
        <v>ATIVO</v>
      </c>
      <c r="K300" s="12">
        <v>1</v>
      </c>
    </row>
    <row r="301" spans="1:11" x14ac:dyDescent="0.25">
      <c r="A301" s="10">
        <v>38738</v>
      </c>
      <c r="B301" s="9" t="s">
        <v>422</v>
      </c>
      <c r="C301" s="12" t="str">
        <f>IFERROR(VLOOKUP(TED[[#This Row],[CENTRO]],'CENTRO DE CUSTO'!B:E,4,FALSE)," ")</f>
        <v>JOÃO CLEMENTONI</v>
      </c>
      <c r="D301" s="12">
        <v>87</v>
      </c>
      <c r="E301" s="16">
        <v>87095</v>
      </c>
      <c r="F301" s="10" t="s">
        <v>421</v>
      </c>
      <c r="G301" s="10">
        <v>220</v>
      </c>
      <c r="H301" s="11">
        <v>45798</v>
      </c>
      <c r="I301" s="10" t="s">
        <v>21</v>
      </c>
      <c r="J301" s="12" t="str">
        <f>IF(OR(TED[[#This Row],[SITUACAO]]=1,TED[[#This Row],[SITUACAO]]=9,TED[[#This Row],[SITUACAO]]=18),"ATIVO","AFASTADO")</f>
        <v>ATIVO</v>
      </c>
      <c r="K301" s="12">
        <v>1</v>
      </c>
    </row>
    <row r="302" spans="1:11" x14ac:dyDescent="0.25">
      <c r="A302" s="10">
        <v>31442</v>
      </c>
      <c r="B302" s="9" t="s">
        <v>33</v>
      </c>
      <c r="C302" s="12" t="str">
        <f>IFERROR(VLOOKUP(TED[[#This Row],[CENTRO]],'CENTRO DE CUSTO'!B:E,4,FALSE)," ")</f>
        <v>CARLOS FABRI</v>
      </c>
      <c r="D302" s="12">
        <v>87</v>
      </c>
      <c r="E302" s="16">
        <v>87015</v>
      </c>
      <c r="F302" s="10" t="s">
        <v>32</v>
      </c>
      <c r="G302" s="10">
        <v>220</v>
      </c>
      <c r="H302" s="11">
        <v>45356</v>
      </c>
      <c r="I302" s="10" t="s">
        <v>1</v>
      </c>
      <c r="J302" s="12" t="str">
        <f>IF(OR(TED[[#This Row],[SITUACAO]]=1,TED[[#This Row],[SITUACAO]]=9,TED[[#This Row],[SITUACAO]]=18),"ATIVO","AFASTADO")</f>
        <v>ATIVO</v>
      </c>
      <c r="K302" s="12">
        <v>1</v>
      </c>
    </row>
    <row r="303" spans="1:11" x14ac:dyDescent="0.25">
      <c r="A303" s="10">
        <v>10370</v>
      </c>
      <c r="B303" s="9" t="s">
        <v>614</v>
      </c>
      <c r="C303" s="12" t="str">
        <f>IFERROR(VLOOKUP(TED[[#This Row],[CENTRO]],'CENTRO DE CUSTO'!B:E,4,FALSE)," ")</f>
        <v>PAULO TORRES</v>
      </c>
      <c r="D303" s="12">
        <v>87</v>
      </c>
      <c r="E303" s="16">
        <v>87481</v>
      </c>
      <c r="F303" s="10" t="s">
        <v>613</v>
      </c>
      <c r="G303" s="10">
        <v>220</v>
      </c>
      <c r="H303" s="11">
        <v>43178</v>
      </c>
      <c r="I303" s="10" t="s">
        <v>612</v>
      </c>
      <c r="J303" s="12" t="str">
        <f>IF(OR(TED[[#This Row],[SITUACAO]]=1,TED[[#This Row],[SITUACAO]]=9,TED[[#This Row],[SITUACAO]]=18),"ATIVO","AFASTADO")</f>
        <v>ATIVO</v>
      </c>
      <c r="K303" s="12">
        <v>1</v>
      </c>
    </row>
    <row r="304" spans="1:11" x14ac:dyDescent="0.25">
      <c r="A304" s="10">
        <v>43196</v>
      </c>
      <c r="B304" s="9" t="s">
        <v>1895</v>
      </c>
      <c r="C304" s="12" t="str">
        <f>IFERROR(VLOOKUP(TED[[#This Row],[CENTRO]],'CENTRO DE CUSTO'!B:E,4,FALSE)," ")</f>
        <v>PAULO TORRES</v>
      </c>
      <c r="D304" s="12">
        <v>87</v>
      </c>
      <c r="E304" s="16">
        <v>87481</v>
      </c>
      <c r="F304" s="10" t="s">
        <v>613</v>
      </c>
      <c r="G304" s="10">
        <v>220</v>
      </c>
      <c r="H304" s="11">
        <v>46034</v>
      </c>
      <c r="I304" s="10" t="s">
        <v>612</v>
      </c>
      <c r="J304" s="12" t="str">
        <f>IF(OR(TED[[#This Row],[SITUACAO]]=1,TED[[#This Row],[SITUACAO]]=9,TED[[#This Row],[SITUACAO]]=18),"ATIVO","AFASTADO")</f>
        <v>ATIVO</v>
      </c>
      <c r="K304" s="12">
        <v>1</v>
      </c>
    </row>
    <row r="305" spans="1:11" x14ac:dyDescent="0.25">
      <c r="A305" s="10">
        <v>22547</v>
      </c>
      <c r="B305" s="9" t="s">
        <v>122</v>
      </c>
      <c r="C305" s="12" t="str">
        <f>IFERROR(VLOOKUP(TED[[#This Row],[CENTRO]],'CENTRO DE CUSTO'!B:E,4,FALSE)," ")</f>
        <v>CARLOS FABRI</v>
      </c>
      <c r="D305" s="12">
        <v>87</v>
      </c>
      <c r="E305" s="16">
        <v>87037</v>
      </c>
      <c r="F305" s="10" t="s">
        <v>123</v>
      </c>
      <c r="G305" s="10">
        <v>220</v>
      </c>
      <c r="H305" s="11">
        <v>44767</v>
      </c>
      <c r="I305" s="10" t="s">
        <v>1</v>
      </c>
      <c r="J305" s="12" t="str">
        <f>IF(OR(TED[[#This Row],[SITUACAO]]=1,TED[[#This Row],[SITUACAO]]=9,TED[[#This Row],[SITUACAO]]=18),"ATIVO","AFASTADO")</f>
        <v>ATIVO</v>
      </c>
      <c r="K305" s="12">
        <v>1</v>
      </c>
    </row>
    <row r="306" spans="1:11" x14ac:dyDescent="0.25">
      <c r="A306" s="10">
        <v>37995</v>
      </c>
      <c r="B306" s="9" t="s">
        <v>407</v>
      </c>
      <c r="C306" s="12" t="str">
        <f>IFERROR(VLOOKUP(TED[[#This Row],[CENTRO]],'CENTRO DE CUSTO'!B:E,4,FALSE)," ")</f>
        <v>S/ SUPERVISOR</v>
      </c>
      <c r="D306" s="12">
        <v>87</v>
      </c>
      <c r="E306" s="16">
        <v>87092</v>
      </c>
      <c r="F306" s="10" t="s">
        <v>405</v>
      </c>
      <c r="G306" s="10">
        <v>220</v>
      </c>
      <c r="H306" s="11">
        <v>45748</v>
      </c>
      <c r="I306" s="10" t="s">
        <v>21</v>
      </c>
      <c r="J306" s="12" t="str">
        <f>IF(OR(TED[[#This Row],[SITUACAO]]=1,TED[[#This Row],[SITUACAO]]=9,TED[[#This Row],[SITUACAO]]=18),"ATIVO","AFASTADO")</f>
        <v>ATIVO</v>
      </c>
      <c r="K306" s="12">
        <v>1</v>
      </c>
    </row>
    <row r="307" spans="1:11" x14ac:dyDescent="0.25">
      <c r="A307" s="10">
        <v>43220</v>
      </c>
      <c r="B307" s="9" t="s">
        <v>2039</v>
      </c>
      <c r="C307" s="12" t="str">
        <f>IFERROR(VLOOKUP(TED[[#This Row],[CENTRO]],'CENTRO DE CUSTO'!B:E,4,FALSE)," ")</f>
        <v>VANDERSON</v>
      </c>
      <c r="D307" s="12">
        <v>87</v>
      </c>
      <c r="E307" s="16">
        <v>87070</v>
      </c>
      <c r="F307" s="10" t="s">
        <v>296</v>
      </c>
      <c r="G307" s="10">
        <v>220</v>
      </c>
      <c r="H307" s="11">
        <v>46043</v>
      </c>
      <c r="I307" s="10" t="s">
        <v>21</v>
      </c>
      <c r="J307" s="12" t="str">
        <f>IF(OR(TED[[#This Row],[SITUACAO]]=1,TED[[#This Row],[SITUACAO]]=9,TED[[#This Row],[SITUACAO]]=18),"ATIVO","AFASTADO")</f>
        <v>ATIVO</v>
      </c>
      <c r="K307" s="12">
        <v>1</v>
      </c>
    </row>
    <row r="308" spans="1:11" x14ac:dyDescent="0.25">
      <c r="A308" s="10">
        <v>39074</v>
      </c>
      <c r="B308" s="9" t="s">
        <v>609</v>
      </c>
      <c r="C308" s="12" t="str">
        <f>IFERROR(VLOOKUP(TED[[#This Row],[CENTRO]],'CENTRO DE CUSTO'!B:E,4,FALSE)," ")</f>
        <v>PAULO TORRES</v>
      </c>
      <c r="D308" s="12">
        <v>87</v>
      </c>
      <c r="E308" s="16">
        <v>87200</v>
      </c>
      <c r="F308" s="10" t="s">
        <v>599</v>
      </c>
      <c r="G308" s="10">
        <v>220</v>
      </c>
      <c r="H308" s="11">
        <v>45819</v>
      </c>
      <c r="I308" s="10" t="s">
        <v>610</v>
      </c>
      <c r="J308" s="12" t="str">
        <f>IF(OR(TED[[#This Row],[SITUACAO]]=1,TED[[#This Row],[SITUACAO]]=9,TED[[#This Row],[SITUACAO]]=18),"ATIVO","AFASTADO")</f>
        <v>ATIVO</v>
      </c>
      <c r="K308" s="12">
        <v>1</v>
      </c>
    </row>
    <row r="309" spans="1:11" x14ac:dyDescent="0.25">
      <c r="A309" s="10">
        <v>30174</v>
      </c>
      <c r="B309" s="9" t="s">
        <v>248</v>
      </c>
      <c r="C309" s="12" t="str">
        <f>IFERROR(VLOOKUP(TED[[#This Row],[CENTRO]],'CENTRO DE CUSTO'!B:E,4,FALSE)," ")</f>
        <v>VANDERSON</v>
      </c>
      <c r="D309" s="12">
        <v>87</v>
      </c>
      <c r="E309" s="16">
        <v>87061</v>
      </c>
      <c r="F309" s="10" t="s">
        <v>247</v>
      </c>
      <c r="G309" s="10">
        <v>220</v>
      </c>
      <c r="H309" s="11">
        <v>45324</v>
      </c>
      <c r="I309" s="10" t="s">
        <v>21</v>
      </c>
      <c r="J309" s="12" t="str">
        <f>IF(OR(TED[[#This Row],[SITUACAO]]=1,TED[[#This Row],[SITUACAO]]=9,TED[[#This Row],[SITUACAO]]=18),"ATIVO","AFASTADO")</f>
        <v>ATIVO</v>
      </c>
      <c r="K309" s="12">
        <v>1</v>
      </c>
    </row>
    <row r="310" spans="1:11" x14ac:dyDescent="0.25">
      <c r="A310" s="10">
        <v>44724</v>
      </c>
      <c r="B310" s="9" t="s">
        <v>2149</v>
      </c>
      <c r="C310" s="12" t="str">
        <f>IFERROR(VLOOKUP(TED[[#This Row],[CENTRO]],'CENTRO DE CUSTO'!B:E,4,FALSE)," ")</f>
        <v>DÉBORA GOBETTI</v>
      </c>
      <c r="D310" s="12">
        <v>87</v>
      </c>
      <c r="E310" s="16">
        <v>87046</v>
      </c>
      <c r="F310" s="10" t="s">
        <v>170</v>
      </c>
      <c r="G310" s="10">
        <v>220</v>
      </c>
      <c r="H310" s="11">
        <v>46105</v>
      </c>
      <c r="I310" s="10" t="s">
        <v>21</v>
      </c>
      <c r="J310" s="12" t="str">
        <f>IF(OR(TED[[#This Row],[SITUACAO]]=1,TED[[#This Row],[SITUACAO]]=9,TED[[#This Row],[SITUACAO]]=18),"ATIVO","AFASTADO")</f>
        <v>ATIVO</v>
      </c>
      <c r="K310" s="12">
        <v>1</v>
      </c>
    </row>
    <row r="311" spans="1:11" x14ac:dyDescent="0.25">
      <c r="A311" s="10">
        <v>34990</v>
      </c>
      <c r="B311" s="9" t="s">
        <v>208</v>
      </c>
      <c r="C311" s="12" t="str">
        <f>IFERROR(VLOOKUP(TED[[#This Row],[CENTRO]],'CENTRO DE CUSTO'!B:E,4,FALSE)," ")</f>
        <v>DÉBORA GOBETTI</v>
      </c>
      <c r="D311" s="12">
        <v>87</v>
      </c>
      <c r="E311" s="16">
        <v>87054</v>
      </c>
      <c r="F311" s="10" t="s">
        <v>209</v>
      </c>
      <c r="G311" s="10">
        <v>220</v>
      </c>
      <c r="H311" s="11">
        <v>45677</v>
      </c>
      <c r="I311" s="10" t="s">
        <v>1</v>
      </c>
      <c r="J311" s="12" t="str">
        <f>IF(OR(TED[[#This Row],[SITUACAO]]=1,TED[[#This Row],[SITUACAO]]=9,TED[[#This Row],[SITUACAO]]=18),"ATIVO","AFASTADO")</f>
        <v>ATIVO</v>
      </c>
      <c r="K311" s="12">
        <v>1</v>
      </c>
    </row>
    <row r="312" spans="1:11" x14ac:dyDescent="0.25">
      <c r="A312" s="10">
        <v>1070</v>
      </c>
      <c r="B312" s="9" t="s">
        <v>237</v>
      </c>
      <c r="C312" s="12" t="str">
        <f>IFERROR(VLOOKUP(TED[[#This Row],[CENTRO]],'CENTRO DE CUSTO'!B:E,4,FALSE)," ")</f>
        <v>S/ SUPERVISOR</v>
      </c>
      <c r="D312" s="12">
        <v>87</v>
      </c>
      <c r="E312" s="16">
        <v>87059</v>
      </c>
      <c r="F312" s="10" t="s">
        <v>235</v>
      </c>
      <c r="G312" s="10">
        <v>220</v>
      </c>
      <c r="H312" s="11">
        <v>40879</v>
      </c>
      <c r="I312" s="10" t="s">
        <v>1</v>
      </c>
      <c r="J312" s="12" t="str">
        <f>IF(OR(TED[[#This Row],[SITUACAO]]=1,TED[[#This Row],[SITUACAO]]=9,TED[[#This Row],[SITUACAO]]=18),"ATIVO","AFASTADO")</f>
        <v>ATIVO</v>
      </c>
      <c r="K312" s="12">
        <v>1</v>
      </c>
    </row>
    <row r="313" spans="1:11" x14ac:dyDescent="0.25">
      <c r="A313" s="10">
        <v>16408</v>
      </c>
      <c r="B313" s="9" t="s">
        <v>254</v>
      </c>
      <c r="C313" s="12" t="str">
        <f>IFERROR(VLOOKUP(TED[[#This Row],[CENTRO]],'CENTRO DE CUSTO'!B:E,4,FALSE)," ")</f>
        <v>CARLOS FABRI</v>
      </c>
      <c r="D313" s="12">
        <v>87</v>
      </c>
      <c r="E313" s="16">
        <v>87062</v>
      </c>
      <c r="F313" s="10" t="s">
        <v>252</v>
      </c>
      <c r="G313" s="10">
        <v>150</v>
      </c>
      <c r="H313" s="11">
        <v>44349</v>
      </c>
      <c r="I313" s="10" t="s">
        <v>1</v>
      </c>
      <c r="J313" s="12" t="str">
        <f>IF(OR(TED[[#This Row],[SITUACAO]]=1,TED[[#This Row],[SITUACAO]]=9,TED[[#This Row],[SITUACAO]]=18),"ATIVO","AFASTADO")</f>
        <v>ATIVO</v>
      </c>
      <c r="K313" s="12">
        <v>1</v>
      </c>
    </row>
    <row r="314" spans="1:11" x14ac:dyDescent="0.25">
      <c r="A314" s="10">
        <v>25232</v>
      </c>
      <c r="B314" s="9" t="s">
        <v>155</v>
      </c>
      <c r="C314" s="12" t="str">
        <f>IFERROR(VLOOKUP(TED[[#This Row],[CENTRO]],'CENTRO DE CUSTO'!B:E,4,FALSE)," ")</f>
        <v>S/ SUPERVISOR</v>
      </c>
      <c r="D314" s="12">
        <v>87</v>
      </c>
      <c r="E314" s="16">
        <v>87043</v>
      </c>
      <c r="F314" s="10" t="s">
        <v>154</v>
      </c>
      <c r="G314" s="10">
        <v>220</v>
      </c>
      <c r="H314" s="11">
        <v>44964</v>
      </c>
      <c r="I314" s="10" t="s">
        <v>21</v>
      </c>
      <c r="J314" s="12" t="str">
        <f>IF(OR(TED[[#This Row],[SITUACAO]]=1,TED[[#This Row],[SITUACAO]]=9,TED[[#This Row],[SITUACAO]]=18),"ATIVO","AFASTADO")</f>
        <v>AFASTADO</v>
      </c>
      <c r="K314" s="12">
        <v>6</v>
      </c>
    </row>
    <row r="315" spans="1:11" x14ac:dyDescent="0.25">
      <c r="A315" s="10">
        <v>40689</v>
      </c>
      <c r="B315" s="9" t="s">
        <v>335</v>
      </c>
      <c r="C315" s="12" t="str">
        <f>IFERROR(VLOOKUP(TED[[#This Row],[CENTRO]],'CENTRO DE CUSTO'!B:E,4,FALSE)," ")</f>
        <v>DÉBORA GOBETTI</v>
      </c>
      <c r="D315" s="12">
        <v>87</v>
      </c>
      <c r="E315" s="16">
        <v>87077</v>
      </c>
      <c r="F315" s="10" t="s">
        <v>330</v>
      </c>
      <c r="G315" s="10">
        <v>220</v>
      </c>
      <c r="H315" s="11">
        <v>45915</v>
      </c>
      <c r="I315" s="10" t="s">
        <v>21</v>
      </c>
      <c r="J315" s="12" t="str">
        <f>IF(OR(TED[[#This Row],[SITUACAO]]=1,TED[[#This Row],[SITUACAO]]=9,TED[[#This Row],[SITUACAO]]=18),"ATIVO","AFASTADO")</f>
        <v>ATIVO</v>
      </c>
      <c r="K315" s="12">
        <v>1</v>
      </c>
    </row>
    <row r="316" spans="1:11" x14ac:dyDescent="0.25">
      <c r="A316" s="10">
        <v>9573</v>
      </c>
      <c r="B316" s="9" t="s">
        <v>374</v>
      </c>
      <c r="C316" s="12" t="str">
        <f>IFERROR(VLOOKUP(TED[[#This Row],[CENTRO]],'CENTRO DE CUSTO'!B:E,4,FALSE)," ")</f>
        <v>JOÃO CLEMENTONI</v>
      </c>
      <c r="D316" s="12">
        <v>87</v>
      </c>
      <c r="E316" s="16">
        <v>87085</v>
      </c>
      <c r="F316" s="10" t="s">
        <v>370</v>
      </c>
      <c r="G316" s="10">
        <v>220</v>
      </c>
      <c r="H316" s="11">
        <v>42950</v>
      </c>
      <c r="I316" s="10" t="s">
        <v>21</v>
      </c>
      <c r="J316" s="12" t="str">
        <f>IF(OR(TED[[#This Row],[SITUACAO]]=1,TED[[#This Row],[SITUACAO]]=9,TED[[#This Row],[SITUACAO]]=18),"ATIVO","AFASTADO")</f>
        <v>ATIVO</v>
      </c>
      <c r="K316" s="12">
        <v>1</v>
      </c>
    </row>
    <row r="317" spans="1:11" x14ac:dyDescent="0.25">
      <c r="A317" s="10">
        <v>39171</v>
      </c>
      <c r="B317" s="9" t="s">
        <v>375</v>
      </c>
      <c r="C317" s="12" t="str">
        <f>IFERROR(VLOOKUP(TED[[#This Row],[CENTRO]],'CENTRO DE CUSTO'!B:E,4,FALSE)," ")</f>
        <v>DÉBORA GOBETTI</v>
      </c>
      <c r="D317" s="12">
        <v>87</v>
      </c>
      <c r="E317" s="16">
        <v>87086</v>
      </c>
      <c r="F317" s="10" t="s">
        <v>376</v>
      </c>
      <c r="G317" s="10">
        <v>220</v>
      </c>
      <c r="H317" s="11">
        <v>45831</v>
      </c>
      <c r="I317" s="10" t="s">
        <v>21</v>
      </c>
      <c r="J317" s="12" t="str">
        <f>IF(OR(TED[[#This Row],[SITUACAO]]=1,TED[[#This Row],[SITUACAO]]=9,TED[[#This Row],[SITUACAO]]=18),"ATIVO","AFASTADO")</f>
        <v>ATIVO</v>
      </c>
      <c r="K317" s="12">
        <v>1</v>
      </c>
    </row>
    <row r="318" spans="1:11" x14ac:dyDescent="0.25">
      <c r="A318" s="10">
        <v>27921</v>
      </c>
      <c r="B318" s="9" t="s">
        <v>401</v>
      </c>
      <c r="C318" s="12" t="str">
        <f>IFERROR(VLOOKUP(TED[[#This Row],[CENTRO]],'CENTRO DE CUSTO'!B:E,4,FALSE)," ")</f>
        <v>VANDERSON</v>
      </c>
      <c r="D318" s="12">
        <v>87</v>
      </c>
      <c r="E318" s="16">
        <v>87091</v>
      </c>
      <c r="F318" s="10" t="s">
        <v>399</v>
      </c>
      <c r="G318" s="10">
        <v>220</v>
      </c>
      <c r="H318" s="11">
        <v>45124</v>
      </c>
      <c r="I318" s="10" t="s">
        <v>21</v>
      </c>
      <c r="J318" s="12" t="str">
        <f>IF(OR(TED[[#This Row],[SITUACAO]]=1,TED[[#This Row],[SITUACAO]]=9,TED[[#This Row],[SITUACAO]]=18),"ATIVO","AFASTADO")</f>
        <v>ATIVO</v>
      </c>
      <c r="K318" s="12">
        <v>1</v>
      </c>
    </row>
    <row r="319" spans="1:11" x14ac:dyDescent="0.25">
      <c r="A319" s="10">
        <v>10418</v>
      </c>
      <c r="B319" s="9" t="s">
        <v>570</v>
      </c>
      <c r="C319" s="12" t="str">
        <f>IFERROR(VLOOKUP(TED[[#This Row],[CENTRO]],'CENTRO DE CUSTO'!B:E,4,FALSE)," ")</f>
        <v>CARLOS FABRI</v>
      </c>
      <c r="D319" s="12">
        <v>87</v>
      </c>
      <c r="E319" s="16">
        <v>87022</v>
      </c>
      <c r="F319" s="10" t="s">
        <v>59</v>
      </c>
      <c r="G319" s="10">
        <v>220</v>
      </c>
      <c r="H319" s="11">
        <v>43192</v>
      </c>
      <c r="I319" s="10" t="s">
        <v>1</v>
      </c>
      <c r="J319" s="12" t="str">
        <f>IF(OR(TED[[#This Row],[SITUACAO]]=1,TED[[#This Row],[SITUACAO]]=9,TED[[#This Row],[SITUACAO]]=18),"ATIVO","AFASTADO")</f>
        <v>ATIVO</v>
      </c>
      <c r="K319" s="12">
        <v>1</v>
      </c>
    </row>
    <row r="320" spans="1:11" x14ac:dyDescent="0.25">
      <c r="A320" s="10">
        <v>45965</v>
      </c>
      <c r="B320" s="9" t="s">
        <v>2325</v>
      </c>
      <c r="C320" s="12" t="str">
        <f>IFERROR(VLOOKUP(TED[[#This Row],[CENTRO]],'CENTRO DE CUSTO'!B:E,4,FALSE)," ")</f>
        <v>JOÃO CLEMENTONI</v>
      </c>
      <c r="D320" s="12">
        <v>87</v>
      </c>
      <c r="E320" s="16">
        <v>87085</v>
      </c>
      <c r="F320" s="10" t="s">
        <v>370</v>
      </c>
      <c r="G320" s="10">
        <v>220</v>
      </c>
      <c r="H320" s="11">
        <v>46174</v>
      </c>
      <c r="I320" s="10" t="s">
        <v>21</v>
      </c>
      <c r="J320" s="12" t="str">
        <f>IF(OR(TED[[#This Row],[SITUACAO]]=1,TED[[#This Row],[SITUACAO]]=9,TED[[#This Row],[SITUACAO]]=18),"ATIVO","AFASTADO")</f>
        <v>ATIVO</v>
      </c>
      <c r="K320" s="12">
        <v>1</v>
      </c>
    </row>
    <row r="321" spans="1:11" x14ac:dyDescent="0.25">
      <c r="A321" s="10">
        <v>5376</v>
      </c>
      <c r="B321" s="9" t="s">
        <v>449</v>
      </c>
      <c r="C321" s="12" t="str">
        <f>IFERROR(VLOOKUP(TED[[#This Row],[CENTRO]],'CENTRO DE CUSTO'!B:E,4,FALSE)," ")</f>
        <v>CARLOS FABRI</v>
      </c>
      <c r="D321" s="12">
        <v>87</v>
      </c>
      <c r="E321" s="16">
        <v>87100</v>
      </c>
      <c r="F321" s="10" t="s">
        <v>448</v>
      </c>
      <c r="G321" s="10">
        <v>220</v>
      </c>
      <c r="H321" s="11">
        <v>42156</v>
      </c>
      <c r="I321" s="10" t="s">
        <v>1</v>
      </c>
      <c r="J321" s="12" t="str">
        <f>IF(OR(TED[[#This Row],[SITUACAO]]=1,TED[[#This Row],[SITUACAO]]=9,TED[[#This Row],[SITUACAO]]=18),"ATIVO","AFASTADO")</f>
        <v>ATIVO</v>
      </c>
      <c r="K321" s="12">
        <v>1</v>
      </c>
    </row>
    <row r="322" spans="1:11" x14ac:dyDescent="0.25">
      <c r="A322" s="10">
        <v>43304</v>
      </c>
      <c r="B322" s="9" t="s">
        <v>2056</v>
      </c>
      <c r="C322" s="12" t="str">
        <f>IFERROR(VLOOKUP(TED[[#This Row],[CENTRO]],'CENTRO DE CUSTO'!B:E,4,FALSE)," ")</f>
        <v>S/ SUPERVISOR</v>
      </c>
      <c r="D322" s="12">
        <v>87</v>
      </c>
      <c r="E322" s="16">
        <v>87104</v>
      </c>
      <c r="F322" s="10" t="s">
        <v>467</v>
      </c>
      <c r="G322" s="10">
        <v>220</v>
      </c>
      <c r="H322" s="11">
        <v>46043</v>
      </c>
      <c r="I322" s="10" t="s">
        <v>21</v>
      </c>
      <c r="J322" s="12" t="str">
        <f>IF(OR(TED[[#This Row],[SITUACAO]]=1,TED[[#This Row],[SITUACAO]]=9,TED[[#This Row],[SITUACAO]]=18),"ATIVO","AFASTADO")</f>
        <v>ATIVO</v>
      </c>
      <c r="K322" s="12">
        <v>1</v>
      </c>
    </row>
    <row r="323" spans="1:11" x14ac:dyDescent="0.25">
      <c r="A323" s="10">
        <v>5254</v>
      </c>
      <c r="B323" s="9" t="s">
        <v>196</v>
      </c>
      <c r="C323" s="12" t="str">
        <f>IFERROR(VLOOKUP(TED[[#This Row],[CENTRO]],'CENTRO DE CUSTO'!B:E,4,FALSE)," ")</f>
        <v>VANDERSON</v>
      </c>
      <c r="D323" s="12">
        <v>87</v>
      </c>
      <c r="E323" s="16">
        <v>87050</v>
      </c>
      <c r="F323" s="10" t="s">
        <v>194</v>
      </c>
      <c r="G323" s="10">
        <v>220</v>
      </c>
      <c r="H323" s="11">
        <v>42156</v>
      </c>
      <c r="I323" s="10" t="s">
        <v>21</v>
      </c>
      <c r="J323" s="12" t="str">
        <f>IF(OR(TED[[#This Row],[SITUACAO]]=1,TED[[#This Row],[SITUACAO]]=9,TED[[#This Row],[SITUACAO]]=18),"ATIVO","AFASTADO")</f>
        <v>ATIVO</v>
      </c>
      <c r="K323" s="12">
        <v>1</v>
      </c>
    </row>
    <row r="324" spans="1:11" x14ac:dyDescent="0.25">
      <c r="A324" s="10">
        <v>20740</v>
      </c>
      <c r="B324" s="9" t="s">
        <v>607</v>
      </c>
      <c r="C324" s="12" t="str">
        <f>IFERROR(VLOOKUP(TED[[#This Row],[CENTRO]],'CENTRO DE CUSTO'!B:E,4,FALSE)," ")</f>
        <v>PAULO TORRES</v>
      </c>
      <c r="D324" s="12">
        <v>87</v>
      </c>
      <c r="E324" s="16">
        <v>87200</v>
      </c>
      <c r="F324" s="10" t="s">
        <v>599</v>
      </c>
      <c r="G324" s="10">
        <v>220</v>
      </c>
      <c r="H324" s="11">
        <v>44637</v>
      </c>
      <c r="I324" s="10" t="s">
        <v>604</v>
      </c>
      <c r="J324" s="12" t="str">
        <f>IF(OR(TED[[#This Row],[SITUACAO]]=1,TED[[#This Row],[SITUACAO]]=9,TED[[#This Row],[SITUACAO]]=18),"ATIVO","AFASTADO")</f>
        <v>ATIVO</v>
      </c>
      <c r="K324" s="12">
        <v>1</v>
      </c>
    </row>
    <row r="325" spans="1:11" x14ac:dyDescent="0.25">
      <c r="A325" s="10">
        <v>11197</v>
      </c>
      <c r="B325" s="9" t="s">
        <v>362</v>
      </c>
      <c r="C325" s="12" t="str">
        <f>IFERROR(VLOOKUP(TED[[#This Row],[CENTRO]],'CENTRO DE CUSTO'!B:E,4,FALSE)," ")</f>
        <v>JOÃO CLEMENTONI</v>
      </c>
      <c r="D325" s="12">
        <v>87</v>
      </c>
      <c r="E325" s="16">
        <v>87082</v>
      </c>
      <c r="F325" s="10" t="s">
        <v>359</v>
      </c>
      <c r="G325" s="10">
        <v>220</v>
      </c>
      <c r="H325" s="11">
        <v>43374</v>
      </c>
      <c r="I325" s="10" t="s">
        <v>1</v>
      </c>
      <c r="J325" s="12" t="str">
        <f>IF(OR(TED[[#This Row],[SITUACAO]]=1,TED[[#This Row],[SITUACAO]]=9,TED[[#This Row],[SITUACAO]]=18),"ATIVO","AFASTADO")</f>
        <v>ATIVO</v>
      </c>
      <c r="K325" s="12">
        <v>1</v>
      </c>
    </row>
    <row r="326" spans="1:11" x14ac:dyDescent="0.25">
      <c r="A326" s="10">
        <v>12872</v>
      </c>
      <c r="B326" s="9" t="s">
        <v>89</v>
      </c>
      <c r="C326" s="12" t="str">
        <f>IFERROR(VLOOKUP(TED[[#This Row],[CENTRO]],'CENTRO DE CUSTO'!B:E,4,FALSE)," ")</f>
        <v>S/ SUPERVISOR</v>
      </c>
      <c r="D326" s="12">
        <v>87</v>
      </c>
      <c r="E326" s="16">
        <v>87030</v>
      </c>
      <c r="F326" s="10" t="s">
        <v>88</v>
      </c>
      <c r="G326" s="10">
        <v>220</v>
      </c>
      <c r="H326" s="11">
        <v>43620</v>
      </c>
      <c r="I326" s="10" t="s">
        <v>21</v>
      </c>
      <c r="J326" s="12" t="str">
        <f>IF(OR(TED[[#This Row],[SITUACAO]]=1,TED[[#This Row],[SITUACAO]]=9,TED[[#This Row],[SITUACAO]]=18),"ATIVO","AFASTADO")</f>
        <v>ATIVO</v>
      </c>
      <c r="K326" s="12">
        <v>1</v>
      </c>
    </row>
    <row r="327" spans="1:11" x14ac:dyDescent="0.25">
      <c r="A327" s="10">
        <v>38015</v>
      </c>
      <c r="B327" s="9" t="s">
        <v>246</v>
      </c>
      <c r="C327" s="12" t="str">
        <f>IFERROR(VLOOKUP(TED[[#This Row],[CENTRO]],'CENTRO DE CUSTO'!B:E,4,FALSE)," ")</f>
        <v>VANDERSON</v>
      </c>
      <c r="D327" s="12">
        <v>87</v>
      </c>
      <c r="E327" s="16">
        <v>87061</v>
      </c>
      <c r="F327" s="10" t="s">
        <v>247</v>
      </c>
      <c r="G327" s="10">
        <v>150</v>
      </c>
      <c r="H327" s="11">
        <v>45749</v>
      </c>
      <c r="I327" s="10" t="s">
        <v>1</v>
      </c>
      <c r="J327" s="12" t="str">
        <f>IF(OR(TED[[#This Row],[SITUACAO]]=1,TED[[#This Row],[SITUACAO]]=9,TED[[#This Row],[SITUACAO]]=18),"ATIVO","AFASTADO")</f>
        <v>ATIVO</v>
      </c>
      <c r="K327" s="12">
        <v>1</v>
      </c>
    </row>
    <row r="328" spans="1:11" x14ac:dyDescent="0.25">
      <c r="A328" s="10">
        <v>16410</v>
      </c>
      <c r="B328" s="9" t="s">
        <v>144</v>
      </c>
      <c r="C328" s="12" t="str">
        <f>IFERROR(VLOOKUP(TED[[#This Row],[CENTRO]],'CENTRO DE CUSTO'!B:E,4,FALSE)," ")</f>
        <v>DÉBORA GOBETTI</v>
      </c>
      <c r="D328" s="12">
        <v>87</v>
      </c>
      <c r="E328" s="16">
        <v>87041</v>
      </c>
      <c r="F328" s="10" t="s">
        <v>140</v>
      </c>
      <c r="G328" s="10">
        <v>220</v>
      </c>
      <c r="H328" s="11">
        <v>44349</v>
      </c>
      <c r="I328" s="10" t="s">
        <v>1</v>
      </c>
      <c r="J328" s="12" t="str">
        <f>IF(OR(TED[[#This Row],[SITUACAO]]=1,TED[[#This Row],[SITUACAO]]=9,TED[[#This Row],[SITUACAO]]=18),"ATIVO","AFASTADO")</f>
        <v>ATIVO</v>
      </c>
      <c r="K328" s="12">
        <v>1</v>
      </c>
    </row>
    <row r="329" spans="1:11" x14ac:dyDescent="0.25">
      <c r="A329" s="10">
        <v>43287</v>
      </c>
      <c r="B329" s="9" t="s">
        <v>2041</v>
      </c>
      <c r="C329" s="12" t="str">
        <f>IFERROR(VLOOKUP(TED[[#This Row],[CENTRO]],'CENTRO DE CUSTO'!B:E,4,FALSE)," ")</f>
        <v>VANDERSON</v>
      </c>
      <c r="D329" s="12">
        <v>87</v>
      </c>
      <c r="E329" s="16">
        <v>87090</v>
      </c>
      <c r="F329" s="10" t="s">
        <v>395</v>
      </c>
      <c r="G329" s="10">
        <v>150</v>
      </c>
      <c r="H329" s="11">
        <v>46043</v>
      </c>
      <c r="I329" s="10" t="s">
        <v>1</v>
      </c>
      <c r="J329" s="12" t="str">
        <f>IF(OR(TED[[#This Row],[SITUACAO]]=1,TED[[#This Row],[SITUACAO]]=9,TED[[#This Row],[SITUACAO]]=18),"ATIVO","AFASTADO")</f>
        <v>ATIVO</v>
      </c>
      <c r="K329" s="12">
        <v>1</v>
      </c>
    </row>
    <row r="330" spans="1:11" x14ac:dyDescent="0.25">
      <c r="A330" s="10">
        <v>10227</v>
      </c>
      <c r="B330" s="9" t="s">
        <v>571</v>
      </c>
      <c r="C330" s="12" t="str">
        <f>IFERROR(VLOOKUP(TED[[#This Row],[CENTRO]],'CENTRO DE CUSTO'!B:E,4,FALSE)," ")</f>
        <v>CARLOS FABRI</v>
      </c>
      <c r="D330" s="12">
        <v>87</v>
      </c>
      <c r="E330" s="16">
        <v>87124</v>
      </c>
      <c r="F330" s="10" t="s">
        <v>572</v>
      </c>
      <c r="G330" s="10">
        <v>220</v>
      </c>
      <c r="H330" s="11">
        <v>43137</v>
      </c>
      <c r="I330" s="10" t="s">
        <v>1</v>
      </c>
      <c r="J330" s="12" t="str">
        <f>IF(OR(TED[[#This Row],[SITUACAO]]=1,TED[[#This Row],[SITUACAO]]=9,TED[[#This Row],[SITUACAO]]=18),"ATIVO","AFASTADO")</f>
        <v>ATIVO</v>
      </c>
      <c r="K330" s="12">
        <v>1</v>
      </c>
    </row>
    <row r="331" spans="1:11" x14ac:dyDescent="0.25">
      <c r="A331" s="10">
        <v>5498</v>
      </c>
      <c r="B331" s="9" t="s">
        <v>427</v>
      </c>
      <c r="C331" s="12" t="str">
        <f>IFERROR(VLOOKUP(TED[[#This Row],[CENTRO]],'CENTRO DE CUSTO'!B:E,4,FALSE)," ")</f>
        <v>CARLOS FABRI</v>
      </c>
      <c r="D331" s="12">
        <v>87</v>
      </c>
      <c r="E331" s="16">
        <v>87096</v>
      </c>
      <c r="F331" s="10" t="s">
        <v>426</v>
      </c>
      <c r="G331" s="10">
        <v>220</v>
      </c>
      <c r="H331" s="11">
        <v>42156</v>
      </c>
      <c r="I331" s="10" t="s">
        <v>1</v>
      </c>
      <c r="J331" s="12" t="str">
        <f>IF(OR(TED[[#This Row],[SITUACAO]]=1,TED[[#This Row],[SITUACAO]]=9,TED[[#This Row],[SITUACAO]]=18),"ATIVO","AFASTADO")</f>
        <v>ATIVO</v>
      </c>
      <c r="K331" s="12">
        <v>1</v>
      </c>
    </row>
    <row r="332" spans="1:11" x14ac:dyDescent="0.25">
      <c r="A332" s="10">
        <v>27653</v>
      </c>
      <c r="B332" s="9" t="s">
        <v>281</v>
      </c>
      <c r="C332" s="12" t="str">
        <f>IFERROR(VLOOKUP(TED[[#This Row],[CENTRO]],'CENTRO DE CUSTO'!B:E,4,FALSE)," ")</f>
        <v>DÉBORA GOBETTI</v>
      </c>
      <c r="D332" s="12">
        <v>87</v>
      </c>
      <c r="E332" s="16">
        <v>87105</v>
      </c>
      <c r="F332" s="10" t="s">
        <v>473</v>
      </c>
      <c r="G332" s="10">
        <v>220</v>
      </c>
      <c r="H332" s="11">
        <v>45099</v>
      </c>
      <c r="I332" s="10" t="s">
        <v>21</v>
      </c>
      <c r="J332" s="12" t="str">
        <f>IF(OR(TED[[#This Row],[SITUACAO]]=1,TED[[#This Row],[SITUACAO]]=9,TED[[#This Row],[SITUACAO]]=18),"ATIVO","AFASTADO")</f>
        <v>ATIVO</v>
      </c>
      <c r="K332" s="12">
        <v>1</v>
      </c>
    </row>
    <row r="333" spans="1:11" x14ac:dyDescent="0.25">
      <c r="A333" s="10">
        <v>45100</v>
      </c>
      <c r="B333" s="9" t="s">
        <v>2168</v>
      </c>
      <c r="C333" s="12" t="str">
        <f>IFERROR(VLOOKUP(TED[[#This Row],[CENTRO]],'CENTRO DE CUSTO'!B:E,4,FALSE)," ")</f>
        <v>DÉBORA GOBETTI</v>
      </c>
      <c r="D333" s="12">
        <v>87</v>
      </c>
      <c r="E333" s="16">
        <v>87071</v>
      </c>
      <c r="F333" s="10" t="s">
        <v>299</v>
      </c>
      <c r="G333" s="10">
        <v>220</v>
      </c>
      <c r="H333" s="11">
        <v>46127</v>
      </c>
      <c r="I333" s="10" t="s">
        <v>21</v>
      </c>
      <c r="J333" s="12" t="str">
        <f>IF(OR(TED[[#This Row],[SITUACAO]]=1,TED[[#This Row],[SITUACAO]]=9,TED[[#This Row],[SITUACAO]]=18),"ATIVO","AFASTADO")</f>
        <v>ATIVO</v>
      </c>
      <c r="K333" s="12">
        <v>1</v>
      </c>
    </row>
    <row r="334" spans="1:11" x14ac:dyDescent="0.25">
      <c r="A334" s="10">
        <v>27825</v>
      </c>
      <c r="B334" s="9" t="s">
        <v>113</v>
      </c>
      <c r="C334" s="12" t="str">
        <f>IFERROR(VLOOKUP(TED[[#This Row],[CENTRO]],'CENTRO DE CUSTO'!B:E,4,FALSE)," ")</f>
        <v>S/ SUPERVISOR</v>
      </c>
      <c r="D334" s="12">
        <v>87</v>
      </c>
      <c r="E334" s="16">
        <v>87036</v>
      </c>
      <c r="F334" s="10" t="s">
        <v>112</v>
      </c>
      <c r="G334" s="10">
        <v>220</v>
      </c>
      <c r="H334" s="11">
        <v>45124</v>
      </c>
      <c r="I334" s="10" t="s">
        <v>21</v>
      </c>
      <c r="J334" s="12" t="str">
        <f>IF(OR(TED[[#This Row],[SITUACAO]]=1,TED[[#This Row],[SITUACAO]]=9,TED[[#This Row],[SITUACAO]]=18),"ATIVO","AFASTADO")</f>
        <v>ATIVO</v>
      </c>
      <c r="K334" s="12">
        <v>1</v>
      </c>
    </row>
    <row r="335" spans="1:11" x14ac:dyDescent="0.25">
      <c r="A335" s="10">
        <v>32706</v>
      </c>
      <c r="B335" s="9" t="s">
        <v>56</v>
      </c>
      <c r="C335" s="12" t="str">
        <f>IFERROR(VLOOKUP(TED[[#This Row],[CENTRO]],'CENTRO DE CUSTO'!B:E,4,FALSE)," ")</f>
        <v>JOÃO CLEMENTONI</v>
      </c>
      <c r="D335" s="12">
        <v>87</v>
      </c>
      <c r="E335" s="16">
        <v>87021</v>
      </c>
      <c r="F335" s="10" t="s">
        <v>55</v>
      </c>
      <c r="G335" s="10">
        <v>220</v>
      </c>
      <c r="H335" s="11">
        <v>45440</v>
      </c>
      <c r="I335" s="10" t="s">
        <v>21</v>
      </c>
      <c r="J335" s="12" t="str">
        <f>IF(OR(TED[[#This Row],[SITUACAO]]=1,TED[[#This Row],[SITUACAO]]=9,TED[[#This Row],[SITUACAO]]=18),"ATIVO","AFASTADO")</f>
        <v>ATIVO</v>
      </c>
      <c r="K335" s="12">
        <v>1</v>
      </c>
    </row>
    <row r="336" spans="1:11" x14ac:dyDescent="0.25">
      <c r="A336" s="10">
        <v>33985</v>
      </c>
      <c r="B336" s="9" t="s">
        <v>598</v>
      </c>
      <c r="C336" s="12" t="str">
        <f>IFERROR(VLOOKUP(TED[[#This Row],[CENTRO]],'CENTRO DE CUSTO'!B:E,4,FALSE)," ")</f>
        <v>CARLOS FABRI</v>
      </c>
      <c r="D336" s="12">
        <v>87</v>
      </c>
      <c r="E336" s="16">
        <v>87015</v>
      </c>
      <c r="F336" s="10" t="s">
        <v>32</v>
      </c>
      <c r="G336" s="10">
        <v>220</v>
      </c>
      <c r="H336" s="11">
        <v>45559</v>
      </c>
      <c r="I336" s="10" t="s">
        <v>1</v>
      </c>
      <c r="J336" s="12" t="str">
        <f>IF(OR(TED[[#This Row],[SITUACAO]]=1,TED[[#This Row],[SITUACAO]]=9,TED[[#This Row],[SITUACAO]]=18),"ATIVO","AFASTADO")</f>
        <v>ATIVO</v>
      </c>
      <c r="K336" s="12">
        <v>1</v>
      </c>
    </row>
    <row r="337" spans="1:11" x14ac:dyDescent="0.25">
      <c r="A337" s="10">
        <v>29725</v>
      </c>
      <c r="B337" s="9" t="s">
        <v>195</v>
      </c>
      <c r="C337" s="12" t="str">
        <f>IFERROR(VLOOKUP(TED[[#This Row],[CENTRO]],'CENTRO DE CUSTO'!B:E,4,FALSE)," ")</f>
        <v>VANDERSON</v>
      </c>
      <c r="D337" s="12">
        <v>87</v>
      </c>
      <c r="E337" s="16">
        <v>87050</v>
      </c>
      <c r="F337" s="10" t="s">
        <v>194</v>
      </c>
      <c r="G337" s="10">
        <v>220</v>
      </c>
      <c r="H337" s="11">
        <v>45303</v>
      </c>
      <c r="I337" s="10" t="s">
        <v>21</v>
      </c>
      <c r="J337" s="12" t="str">
        <f>IF(OR(TED[[#This Row],[SITUACAO]]=1,TED[[#This Row],[SITUACAO]]=9,TED[[#This Row],[SITUACAO]]=18),"ATIVO","AFASTADO")</f>
        <v>ATIVO</v>
      </c>
      <c r="K337" s="12">
        <v>1</v>
      </c>
    </row>
    <row r="338" spans="1:11" x14ac:dyDescent="0.25">
      <c r="A338" s="10">
        <v>43230</v>
      </c>
      <c r="B338" s="9" t="s">
        <v>2042</v>
      </c>
      <c r="C338" s="12" t="str">
        <f>IFERROR(VLOOKUP(TED[[#This Row],[CENTRO]],'CENTRO DE CUSTO'!B:E,4,FALSE)," ")</f>
        <v>VANDERSON</v>
      </c>
      <c r="D338" s="12">
        <v>87</v>
      </c>
      <c r="E338" s="16">
        <v>87091</v>
      </c>
      <c r="F338" s="10" t="s">
        <v>399</v>
      </c>
      <c r="G338" s="10">
        <v>220</v>
      </c>
      <c r="H338" s="11">
        <v>46043</v>
      </c>
      <c r="I338" s="10" t="s">
        <v>21</v>
      </c>
      <c r="J338" s="12" t="str">
        <f>IF(OR(TED[[#This Row],[SITUACAO]]=1,TED[[#This Row],[SITUACAO]]=9,TED[[#This Row],[SITUACAO]]=18),"ATIVO","AFASTADO")</f>
        <v>ATIVO</v>
      </c>
      <c r="K338" s="12">
        <v>1</v>
      </c>
    </row>
    <row r="339" spans="1:11" x14ac:dyDescent="0.25">
      <c r="A339" s="10">
        <v>38878</v>
      </c>
      <c r="B339" s="9" t="s">
        <v>539</v>
      </c>
      <c r="C339" s="12" t="str">
        <f>IFERROR(VLOOKUP(TED[[#This Row],[CENTRO]],'CENTRO DE CUSTO'!B:E,4,FALSE)," ")</f>
        <v>VANDERSON</v>
      </c>
      <c r="D339" s="12">
        <v>87</v>
      </c>
      <c r="E339" s="16">
        <v>87117</v>
      </c>
      <c r="F339" s="10" t="s">
        <v>540</v>
      </c>
      <c r="G339" s="10">
        <v>220</v>
      </c>
      <c r="H339" s="11">
        <v>45800</v>
      </c>
      <c r="I339" s="10" t="s">
        <v>1</v>
      </c>
      <c r="J339" s="12" t="str">
        <f>IF(OR(TED[[#This Row],[SITUACAO]]=1,TED[[#This Row],[SITUACAO]]=9,TED[[#This Row],[SITUACAO]]=18),"ATIVO","AFASTADO")</f>
        <v>ATIVO</v>
      </c>
      <c r="K339" s="12">
        <v>1</v>
      </c>
    </row>
    <row r="340" spans="1:11" x14ac:dyDescent="0.25">
      <c r="A340" s="10">
        <v>43281</v>
      </c>
      <c r="B340" s="9" t="s">
        <v>2032</v>
      </c>
      <c r="C340" s="12" t="str">
        <f>IFERROR(VLOOKUP(TED[[#This Row],[CENTRO]],'CENTRO DE CUSTO'!B:E,4,FALSE)," ")</f>
        <v>S/ SUPERVISOR</v>
      </c>
      <c r="D340" s="12">
        <v>87</v>
      </c>
      <c r="E340" s="16">
        <v>87039</v>
      </c>
      <c r="F340" s="10" t="s">
        <v>131</v>
      </c>
      <c r="G340" s="10">
        <v>220</v>
      </c>
      <c r="H340" s="11">
        <v>46043</v>
      </c>
      <c r="I340" s="10" t="s">
        <v>21</v>
      </c>
      <c r="J340" s="12" t="str">
        <f>IF(OR(TED[[#This Row],[SITUACAO]]=1,TED[[#This Row],[SITUACAO]]=9,TED[[#This Row],[SITUACAO]]=18),"ATIVO","AFASTADO")</f>
        <v>ATIVO</v>
      </c>
      <c r="K340" s="12">
        <v>1</v>
      </c>
    </row>
    <row r="341" spans="1:11" x14ac:dyDescent="0.25">
      <c r="A341" s="10">
        <v>5394</v>
      </c>
      <c r="B341" s="9" t="s">
        <v>232</v>
      </c>
      <c r="C341" s="12" t="str">
        <f>IFERROR(VLOOKUP(TED[[#This Row],[CENTRO]],'CENTRO DE CUSTO'!B:E,4,FALSE)," ")</f>
        <v>S/ SUPERVISOR</v>
      </c>
      <c r="D341" s="12">
        <v>87</v>
      </c>
      <c r="E341" s="16">
        <v>87058</v>
      </c>
      <c r="F341" s="10" t="s">
        <v>231</v>
      </c>
      <c r="G341" s="10">
        <v>220</v>
      </c>
      <c r="H341" s="11">
        <v>42156</v>
      </c>
      <c r="I341" s="10" t="s">
        <v>21</v>
      </c>
      <c r="J341" s="12" t="str">
        <f>IF(OR(TED[[#This Row],[SITUACAO]]=1,TED[[#This Row],[SITUACAO]]=9,TED[[#This Row],[SITUACAO]]=18),"ATIVO","AFASTADO")</f>
        <v>ATIVO</v>
      </c>
      <c r="K341" s="12">
        <v>1</v>
      </c>
    </row>
    <row r="342" spans="1:11" x14ac:dyDescent="0.25">
      <c r="A342" s="10">
        <v>5392</v>
      </c>
      <c r="B342" s="9" t="s">
        <v>233</v>
      </c>
      <c r="C342" s="12" t="str">
        <f>IFERROR(VLOOKUP(TED[[#This Row],[CENTRO]],'CENTRO DE CUSTO'!B:E,4,FALSE)," ")</f>
        <v>S/ SUPERVISOR</v>
      </c>
      <c r="D342" s="12">
        <v>87</v>
      </c>
      <c r="E342" s="16">
        <v>87058</v>
      </c>
      <c r="F342" s="10" t="s">
        <v>231</v>
      </c>
      <c r="G342" s="10">
        <v>220</v>
      </c>
      <c r="H342" s="11">
        <v>42156</v>
      </c>
      <c r="I342" s="10" t="s">
        <v>1</v>
      </c>
      <c r="J342" s="12" t="str">
        <f>IF(OR(TED[[#This Row],[SITUACAO]]=1,TED[[#This Row],[SITUACAO]]=9,TED[[#This Row],[SITUACAO]]=18),"ATIVO","AFASTADO")</f>
        <v>ATIVO</v>
      </c>
      <c r="K342" s="12">
        <v>1</v>
      </c>
    </row>
    <row r="343" spans="1:11" x14ac:dyDescent="0.25">
      <c r="A343" s="10">
        <v>44294</v>
      </c>
      <c r="B343" s="9" t="s">
        <v>2106</v>
      </c>
      <c r="C343" s="12" t="str">
        <f>IFERROR(VLOOKUP(TED[[#This Row],[CENTRO]],'CENTRO DE CUSTO'!B:E,4,FALSE)," ")</f>
        <v>JOÃO CLEMENTONI</v>
      </c>
      <c r="D343" s="12">
        <v>87</v>
      </c>
      <c r="E343" s="16">
        <v>87108</v>
      </c>
      <c r="F343" s="10" t="s">
        <v>491</v>
      </c>
      <c r="G343" s="10">
        <v>220</v>
      </c>
      <c r="H343" s="11">
        <v>46083</v>
      </c>
      <c r="I343" s="10" t="s">
        <v>1</v>
      </c>
      <c r="J343" s="12" t="str">
        <f>IF(OR(TED[[#This Row],[SITUACAO]]=1,TED[[#This Row],[SITUACAO]]=9,TED[[#This Row],[SITUACAO]]=18),"ATIVO","AFASTADO")</f>
        <v>ATIVO</v>
      </c>
      <c r="K343" s="12">
        <v>1</v>
      </c>
    </row>
    <row r="344" spans="1:11" x14ac:dyDescent="0.25">
      <c r="A344" s="10">
        <v>9316</v>
      </c>
      <c r="B344" s="9" t="s">
        <v>127</v>
      </c>
      <c r="C344" s="12" t="str">
        <f>IFERROR(VLOOKUP(TED[[#This Row],[CENTRO]],'CENTRO DE CUSTO'!B:E,4,FALSE)," ")</f>
        <v>DÉBORA GOBETTI</v>
      </c>
      <c r="D344" s="12">
        <v>87</v>
      </c>
      <c r="E344" s="16">
        <v>87038</v>
      </c>
      <c r="F344" s="10" t="s">
        <v>128</v>
      </c>
      <c r="G344" s="10">
        <v>220</v>
      </c>
      <c r="H344" s="11">
        <v>42908</v>
      </c>
      <c r="I344" s="10" t="s">
        <v>1</v>
      </c>
      <c r="J344" s="12" t="str">
        <f>IF(OR(TED[[#This Row],[SITUACAO]]=1,TED[[#This Row],[SITUACAO]]=9,TED[[#This Row],[SITUACAO]]=18),"ATIVO","AFASTADO")</f>
        <v>ATIVO</v>
      </c>
      <c r="K344" s="12">
        <v>1</v>
      </c>
    </row>
    <row r="345" spans="1:11" x14ac:dyDescent="0.25">
      <c r="A345" s="10">
        <v>5399</v>
      </c>
      <c r="B345" s="9" t="s">
        <v>478</v>
      </c>
      <c r="C345" s="12" t="str">
        <f>IFERROR(VLOOKUP(TED[[#This Row],[CENTRO]],'CENTRO DE CUSTO'!B:E,4,FALSE)," ")</f>
        <v>DÉBORA GOBETTI</v>
      </c>
      <c r="D345" s="12">
        <v>87</v>
      </c>
      <c r="E345" s="16">
        <v>87106</v>
      </c>
      <c r="F345" s="10" t="s">
        <v>477</v>
      </c>
      <c r="G345" s="10">
        <v>220</v>
      </c>
      <c r="H345" s="11">
        <v>42156</v>
      </c>
      <c r="I345" s="10" t="s">
        <v>21</v>
      </c>
      <c r="J345" s="12" t="str">
        <f>IF(OR(TED[[#This Row],[SITUACAO]]=1,TED[[#This Row],[SITUACAO]]=9,TED[[#This Row],[SITUACAO]]=18),"ATIVO","AFASTADO")</f>
        <v>ATIVO</v>
      </c>
      <c r="K345" s="12">
        <v>1</v>
      </c>
    </row>
    <row r="346" spans="1:11" x14ac:dyDescent="0.25">
      <c r="A346" s="10">
        <v>9378</v>
      </c>
      <c r="B346" s="9" t="s">
        <v>186</v>
      </c>
      <c r="C346" s="12" t="str">
        <f>IFERROR(VLOOKUP(TED[[#This Row],[CENTRO]],'CENTRO DE CUSTO'!B:E,4,FALSE)," ")</f>
        <v>VANDERSON</v>
      </c>
      <c r="D346" s="12">
        <v>87</v>
      </c>
      <c r="E346" s="16">
        <v>87048</v>
      </c>
      <c r="F346" s="10" t="s">
        <v>184</v>
      </c>
      <c r="G346" s="10">
        <v>220</v>
      </c>
      <c r="H346" s="11">
        <v>42921</v>
      </c>
      <c r="I346" s="10" t="s">
        <v>1</v>
      </c>
      <c r="J346" s="12" t="str">
        <f>IF(OR(TED[[#This Row],[SITUACAO]]=1,TED[[#This Row],[SITUACAO]]=9,TED[[#This Row],[SITUACAO]]=18),"ATIVO","AFASTADO")</f>
        <v>ATIVO</v>
      </c>
      <c r="K346" s="12">
        <v>1</v>
      </c>
    </row>
    <row r="347" spans="1:11" x14ac:dyDescent="0.25">
      <c r="A347" s="10">
        <v>35258</v>
      </c>
      <c r="B347" s="9" t="s">
        <v>46</v>
      </c>
      <c r="C347" s="12" t="str">
        <f>IFERROR(VLOOKUP(TED[[#This Row],[CENTRO]],'CENTRO DE CUSTO'!B:E,4,FALSE)," ")</f>
        <v>DÉBORA GOBETTI</v>
      </c>
      <c r="D347" s="12">
        <v>87</v>
      </c>
      <c r="E347" s="16">
        <v>87019</v>
      </c>
      <c r="F347" s="10" t="s">
        <v>47</v>
      </c>
      <c r="G347" s="10">
        <v>220</v>
      </c>
      <c r="H347" s="11">
        <v>45684</v>
      </c>
      <c r="I347" s="10" t="s">
        <v>21</v>
      </c>
      <c r="J347" s="12" t="str">
        <f>IF(OR(TED[[#This Row],[SITUACAO]]=1,TED[[#This Row],[SITUACAO]]=9,TED[[#This Row],[SITUACAO]]=18),"ATIVO","AFASTADO")</f>
        <v>ATIVO</v>
      </c>
      <c r="K347" s="12">
        <v>1</v>
      </c>
    </row>
    <row r="348" spans="1:11" x14ac:dyDescent="0.25">
      <c r="A348" s="10">
        <v>5576</v>
      </c>
      <c r="B348" s="9" t="s">
        <v>182</v>
      </c>
      <c r="C348" s="12" t="str">
        <f>IFERROR(VLOOKUP(TED[[#This Row],[CENTRO]],'CENTRO DE CUSTO'!B:E,4,FALSE)," ")</f>
        <v>JOÃO CLEMENTONI</v>
      </c>
      <c r="D348" s="12">
        <v>87</v>
      </c>
      <c r="E348" s="16">
        <v>87047</v>
      </c>
      <c r="F348" s="10" t="s">
        <v>181</v>
      </c>
      <c r="G348" s="10">
        <v>220</v>
      </c>
      <c r="H348" s="11">
        <v>42156</v>
      </c>
      <c r="I348" s="10" t="s">
        <v>1</v>
      </c>
      <c r="J348" s="12" t="str">
        <f>IF(OR(TED[[#This Row],[SITUACAO]]=1,TED[[#This Row],[SITUACAO]]=9,TED[[#This Row],[SITUACAO]]=18),"ATIVO","AFASTADO")</f>
        <v>ATIVO</v>
      </c>
      <c r="K348" s="12">
        <v>1</v>
      </c>
    </row>
    <row r="349" spans="1:11" x14ac:dyDescent="0.25">
      <c r="A349" s="10">
        <v>20134</v>
      </c>
      <c r="B349" s="9" t="s">
        <v>203</v>
      </c>
      <c r="C349" s="12" t="str">
        <f>IFERROR(VLOOKUP(TED[[#This Row],[CENTRO]],'CENTRO DE CUSTO'!B:E,4,FALSE)," ")</f>
        <v>VANDERSON</v>
      </c>
      <c r="D349" s="12">
        <v>87</v>
      </c>
      <c r="E349" s="16">
        <v>87052</v>
      </c>
      <c r="F349" s="10" t="s">
        <v>204</v>
      </c>
      <c r="G349" s="10">
        <v>220</v>
      </c>
      <c r="H349" s="11">
        <v>44586</v>
      </c>
      <c r="I349" s="10" t="s">
        <v>1</v>
      </c>
      <c r="J349" s="12" t="str">
        <f>IF(OR(TED[[#This Row],[SITUACAO]]=1,TED[[#This Row],[SITUACAO]]=9,TED[[#This Row],[SITUACAO]]=18),"ATIVO","AFASTADO")</f>
        <v>ATIVO</v>
      </c>
      <c r="K349" s="12">
        <v>1</v>
      </c>
    </row>
    <row r="350" spans="1:11" x14ac:dyDescent="0.25">
      <c r="A350" s="10">
        <v>20274</v>
      </c>
      <c r="B350" s="9" t="s">
        <v>511</v>
      </c>
      <c r="C350" s="12" t="str">
        <f>IFERROR(VLOOKUP(TED[[#This Row],[CENTRO]],'CENTRO DE CUSTO'!B:E,4,FALSE)," ")</f>
        <v>S/ SUPERVISOR</v>
      </c>
      <c r="D350" s="12">
        <v>87</v>
      </c>
      <c r="E350" s="16">
        <v>87111</v>
      </c>
      <c r="F350" s="10" t="s">
        <v>506</v>
      </c>
      <c r="G350" s="10">
        <v>220</v>
      </c>
      <c r="H350" s="11">
        <v>44602</v>
      </c>
      <c r="I350" s="10" t="s">
        <v>21</v>
      </c>
      <c r="J350" s="12" t="str">
        <f>IF(OR(TED[[#This Row],[SITUACAO]]=1,TED[[#This Row],[SITUACAO]]=9,TED[[#This Row],[SITUACAO]]=18),"ATIVO","AFASTADO")</f>
        <v>ATIVO</v>
      </c>
      <c r="K350" s="12">
        <v>1</v>
      </c>
    </row>
    <row r="351" spans="1:11" x14ac:dyDescent="0.25">
      <c r="A351" s="10">
        <v>15189</v>
      </c>
      <c r="B351" s="9" t="s">
        <v>243</v>
      </c>
      <c r="C351" s="12" t="str">
        <f>IFERROR(VLOOKUP(TED[[#This Row],[CENTRO]],'CENTRO DE CUSTO'!B:E,4,FALSE)," ")</f>
        <v>CARLOS FABRI</v>
      </c>
      <c r="D351" s="12">
        <v>87</v>
      </c>
      <c r="E351" s="16">
        <v>87060</v>
      </c>
      <c r="F351" s="10" t="s">
        <v>240</v>
      </c>
      <c r="G351" s="10">
        <v>150</v>
      </c>
      <c r="H351" s="11">
        <v>44237</v>
      </c>
      <c r="I351" s="10" t="s">
        <v>1</v>
      </c>
      <c r="J351" s="12" t="str">
        <f>IF(OR(TED[[#This Row],[SITUACAO]]=1,TED[[#This Row],[SITUACAO]]=9,TED[[#This Row],[SITUACAO]]=18),"ATIVO","AFASTADO")</f>
        <v>ATIVO</v>
      </c>
      <c r="K351" s="12">
        <v>1</v>
      </c>
    </row>
    <row r="352" spans="1:11" x14ac:dyDescent="0.25">
      <c r="A352" s="10">
        <v>37263</v>
      </c>
      <c r="B352" s="9" t="s">
        <v>490</v>
      </c>
      <c r="C352" s="12" t="str">
        <f>IFERROR(VLOOKUP(TED[[#This Row],[CENTRO]],'CENTRO DE CUSTO'!B:E,4,FALSE)," ")</f>
        <v>JOÃO CLEMENTONI</v>
      </c>
      <c r="D352" s="12">
        <v>87</v>
      </c>
      <c r="E352" s="16">
        <v>87108</v>
      </c>
      <c r="F352" s="10" t="s">
        <v>491</v>
      </c>
      <c r="G352" s="10">
        <v>220</v>
      </c>
      <c r="H352" s="11">
        <v>45713</v>
      </c>
      <c r="I352" s="10" t="s">
        <v>21</v>
      </c>
      <c r="J352" s="12" t="str">
        <f>IF(OR(TED[[#This Row],[SITUACAO]]=1,TED[[#This Row],[SITUACAO]]=9,TED[[#This Row],[SITUACAO]]=18),"ATIVO","AFASTADO")</f>
        <v>ATIVO</v>
      </c>
      <c r="K352" s="12">
        <v>1</v>
      </c>
    </row>
    <row r="353" spans="1:11" x14ac:dyDescent="0.25">
      <c r="A353" s="10">
        <v>41844</v>
      </c>
      <c r="B353" s="9" t="s">
        <v>624</v>
      </c>
      <c r="C353" s="12" t="str">
        <f>IFERROR(VLOOKUP(TED[[#This Row],[CENTRO]],'CENTRO DE CUSTO'!B:E,4,FALSE)," ")</f>
        <v>PAULO TORRES</v>
      </c>
      <c r="D353" s="12">
        <v>87</v>
      </c>
      <c r="E353" s="16">
        <v>87481</v>
      </c>
      <c r="F353" s="10" t="s">
        <v>613</v>
      </c>
      <c r="G353" s="10">
        <v>220</v>
      </c>
      <c r="H353" s="11">
        <v>45957</v>
      </c>
      <c r="I353" s="10" t="s">
        <v>604</v>
      </c>
      <c r="J353" s="12" t="str">
        <f>IF(OR(TED[[#This Row],[SITUACAO]]=1,TED[[#This Row],[SITUACAO]]=9,TED[[#This Row],[SITUACAO]]=18),"ATIVO","AFASTADO")</f>
        <v>ATIVO</v>
      </c>
      <c r="K353" s="12">
        <v>1</v>
      </c>
    </row>
    <row r="354" spans="1:11" x14ac:dyDescent="0.25">
      <c r="A354" s="10">
        <v>13572</v>
      </c>
      <c r="B354" s="9" t="s">
        <v>16</v>
      </c>
      <c r="C354" s="12" t="str">
        <f>IFERROR(VLOOKUP(TED[[#This Row],[CENTRO]],'CENTRO DE CUSTO'!B:E,4,FALSE)," ")</f>
        <v>S/ SUPERVISOR</v>
      </c>
      <c r="D354" s="12">
        <v>87</v>
      </c>
      <c r="E354" s="16">
        <v>87009</v>
      </c>
      <c r="F354" s="10" t="s">
        <v>14</v>
      </c>
      <c r="G354" s="10">
        <v>220</v>
      </c>
      <c r="H354" s="11">
        <v>43747</v>
      </c>
      <c r="I354" s="10" t="s">
        <v>1</v>
      </c>
      <c r="J354" s="12" t="str">
        <f>IF(OR(TED[[#This Row],[SITUACAO]]=1,TED[[#This Row],[SITUACAO]]=9,TED[[#This Row],[SITUACAO]]=18),"ATIVO","AFASTADO")</f>
        <v>AFASTADO</v>
      </c>
      <c r="K354" s="12">
        <v>6</v>
      </c>
    </row>
    <row r="355" spans="1:11" x14ac:dyDescent="0.25">
      <c r="A355" s="10">
        <v>5472</v>
      </c>
      <c r="B355" s="9" t="s">
        <v>532</v>
      </c>
      <c r="C355" s="12" t="str">
        <f>IFERROR(VLOOKUP(TED[[#This Row],[CENTRO]],'CENTRO DE CUSTO'!B:E,4,FALSE)," ")</f>
        <v>S/ SUPERVISOR</v>
      </c>
      <c r="D355" s="12">
        <v>87</v>
      </c>
      <c r="E355" s="16">
        <v>87115</v>
      </c>
      <c r="F355" s="10" t="s">
        <v>528</v>
      </c>
      <c r="G355" s="10">
        <v>220</v>
      </c>
      <c r="H355" s="11">
        <v>42156</v>
      </c>
      <c r="I355" s="10" t="s">
        <v>1</v>
      </c>
      <c r="J355" s="12" t="str">
        <f>IF(OR(TED[[#This Row],[SITUACAO]]=1,TED[[#This Row],[SITUACAO]]=9,TED[[#This Row],[SITUACAO]]=18),"ATIVO","AFASTADO")</f>
        <v>ATIVO</v>
      </c>
      <c r="K355" s="12">
        <v>1</v>
      </c>
    </row>
    <row r="356" spans="1:11" x14ac:dyDescent="0.25">
      <c r="A356" s="10">
        <v>47182</v>
      </c>
      <c r="B356" s="9" t="s">
        <v>2326</v>
      </c>
      <c r="C356" s="12" t="str">
        <f>IFERROR(VLOOKUP(TED[[#This Row],[CENTRO]],'CENTRO DE CUSTO'!B:E,4,FALSE)," ")</f>
        <v>DÉBORA GOBETTI</v>
      </c>
      <c r="D356" s="12">
        <v>87</v>
      </c>
      <c r="E356" s="16">
        <v>87105</v>
      </c>
      <c r="F356" s="10" t="s">
        <v>473</v>
      </c>
      <c r="G356" s="10">
        <v>220</v>
      </c>
      <c r="H356" s="11">
        <v>46204</v>
      </c>
      <c r="I356" s="10" t="s">
        <v>21</v>
      </c>
      <c r="J356" s="12" t="str">
        <f>IF(OR(TED[[#This Row],[SITUACAO]]=1,TED[[#This Row],[SITUACAO]]=9,TED[[#This Row],[SITUACAO]]=18),"ATIVO","AFASTADO")</f>
        <v>ATIVO</v>
      </c>
      <c r="K356" s="12">
        <v>1</v>
      </c>
    </row>
    <row r="357" spans="1:11" x14ac:dyDescent="0.25">
      <c r="A357" s="10">
        <v>5462</v>
      </c>
      <c r="B357" s="9" t="s">
        <v>297</v>
      </c>
      <c r="C357" s="12" t="str">
        <f>IFERROR(VLOOKUP(TED[[#This Row],[CENTRO]],'CENTRO DE CUSTO'!B:E,4,FALSE)," ")</f>
        <v>VANDERSON</v>
      </c>
      <c r="D357" s="12">
        <v>87</v>
      </c>
      <c r="E357" s="16">
        <v>87070</v>
      </c>
      <c r="F357" s="10" t="s">
        <v>296</v>
      </c>
      <c r="G357" s="10">
        <v>220</v>
      </c>
      <c r="H357" s="11">
        <v>42156</v>
      </c>
      <c r="I357" s="10" t="s">
        <v>1</v>
      </c>
      <c r="J357" s="12" t="str">
        <f>IF(OR(TED[[#This Row],[SITUACAO]]=1,TED[[#This Row],[SITUACAO]]=9,TED[[#This Row],[SITUACAO]]=18),"ATIVO","AFASTADO")</f>
        <v>ATIVO</v>
      </c>
      <c r="K357" s="12">
        <v>1</v>
      </c>
    </row>
    <row r="358" spans="1:11" x14ac:dyDescent="0.25">
      <c r="A358" s="10">
        <v>20102</v>
      </c>
      <c r="B358" s="9" t="s">
        <v>116</v>
      </c>
      <c r="C358" s="12" t="str">
        <f>IFERROR(VLOOKUP(TED[[#This Row],[CENTRO]],'CENTRO DE CUSTO'!B:E,4,FALSE)," ")</f>
        <v>S/ SUPERVISOR</v>
      </c>
      <c r="D358" s="12">
        <v>87</v>
      </c>
      <c r="E358" s="16">
        <v>87036</v>
      </c>
      <c r="F358" s="10" t="s">
        <v>112</v>
      </c>
      <c r="G358" s="10">
        <v>220</v>
      </c>
      <c r="H358" s="11">
        <v>44586</v>
      </c>
      <c r="I358" s="10" t="s">
        <v>21</v>
      </c>
      <c r="J358" s="12" t="str">
        <f>IF(OR(TED[[#This Row],[SITUACAO]]=1,TED[[#This Row],[SITUACAO]]=9,TED[[#This Row],[SITUACAO]]=18),"ATIVO","AFASTADO")</f>
        <v>ATIVO</v>
      </c>
      <c r="K358" s="12">
        <v>1</v>
      </c>
    </row>
    <row r="359" spans="1:11" x14ac:dyDescent="0.25">
      <c r="A359" s="10">
        <v>5407</v>
      </c>
      <c r="B359" s="9" t="s">
        <v>177</v>
      </c>
      <c r="C359" s="12" t="str">
        <f>IFERROR(VLOOKUP(TED[[#This Row],[CENTRO]],'CENTRO DE CUSTO'!B:E,4,FALSE)," ")</f>
        <v>DÉBORA GOBETTI</v>
      </c>
      <c r="D359" s="12">
        <v>87</v>
      </c>
      <c r="E359" s="16">
        <v>87046</v>
      </c>
      <c r="F359" s="10" t="s">
        <v>170</v>
      </c>
      <c r="G359" s="10">
        <v>220</v>
      </c>
      <c r="H359" s="11">
        <v>42156</v>
      </c>
      <c r="I359" s="10" t="s">
        <v>21</v>
      </c>
      <c r="J359" s="12" t="str">
        <f>IF(OR(TED[[#This Row],[SITUACAO]]=1,TED[[#This Row],[SITUACAO]]=9,TED[[#This Row],[SITUACAO]]=18),"ATIVO","AFASTADO")</f>
        <v>ATIVO</v>
      </c>
      <c r="K359" s="12">
        <v>1</v>
      </c>
    </row>
    <row r="360" spans="1:11" x14ac:dyDescent="0.25">
      <c r="A360" s="10">
        <v>5414</v>
      </c>
      <c r="B360" s="9" t="s">
        <v>78</v>
      </c>
      <c r="C360" s="12" t="str">
        <f>IFERROR(VLOOKUP(TED[[#This Row],[CENTRO]],'CENTRO DE CUSTO'!B:E,4,FALSE)," ")</f>
        <v>DÉBORA GOBETTI</v>
      </c>
      <c r="D360" s="12">
        <v>87</v>
      </c>
      <c r="E360" s="16">
        <v>87026</v>
      </c>
      <c r="F360" s="10" t="s">
        <v>76</v>
      </c>
      <c r="G360" s="10">
        <v>220</v>
      </c>
      <c r="H360" s="11">
        <v>42156</v>
      </c>
      <c r="I360" s="10" t="s">
        <v>1</v>
      </c>
      <c r="J360" s="12" t="str">
        <f>IF(OR(TED[[#This Row],[SITUACAO]]=1,TED[[#This Row],[SITUACAO]]=9,TED[[#This Row],[SITUACAO]]=18),"ATIVO","AFASTADO")</f>
        <v>ATIVO</v>
      </c>
      <c r="K360" s="12">
        <v>1</v>
      </c>
    </row>
    <row r="361" spans="1:11" x14ac:dyDescent="0.25">
      <c r="A361" s="10">
        <v>6418</v>
      </c>
      <c r="B361" s="9" t="s">
        <v>63</v>
      </c>
      <c r="C361" s="12" t="str">
        <f>IFERROR(VLOOKUP(TED[[#This Row],[CENTRO]],'CENTRO DE CUSTO'!B:E,4,FALSE)," ")</f>
        <v>CARLOS FABRI</v>
      </c>
      <c r="D361" s="12">
        <v>87</v>
      </c>
      <c r="E361" s="16">
        <v>87022</v>
      </c>
      <c r="F361" s="10" t="s">
        <v>59</v>
      </c>
      <c r="G361" s="10">
        <v>220</v>
      </c>
      <c r="H361" s="11">
        <v>42352</v>
      </c>
      <c r="I361" s="10" t="s">
        <v>21</v>
      </c>
      <c r="J361" s="12" t="str">
        <f>IF(OR(TED[[#This Row],[SITUACAO]]=1,TED[[#This Row],[SITUACAO]]=9,TED[[#This Row],[SITUACAO]]=18),"ATIVO","AFASTADO")</f>
        <v>ATIVO</v>
      </c>
      <c r="K361" s="12">
        <v>1</v>
      </c>
    </row>
    <row r="362" spans="1:11" x14ac:dyDescent="0.25">
      <c r="A362" s="10">
        <v>33760</v>
      </c>
      <c r="B362" s="9" t="s">
        <v>348</v>
      </c>
      <c r="C362" s="12" t="str">
        <f>IFERROR(VLOOKUP(TED[[#This Row],[CENTRO]],'CENTRO DE CUSTO'!B:E,4,FALSE)," ")</f>
        <v>JOÃO CLEMENTONI</v>
      </c>
      <c r="D362" s="12">
        <v>87</v>
      </c>
      <c r="E362" s="16">
        <v>87080</v>
      </c>
      <c r="F362" s="10" t="s">
        <v>347</v>
      </c>
      <c r="G362" s="10">
        <v>220</v>
      </c>
      <c r="H362" s="11">
        <v>45541</v>
      </c>
      <c r="I362" s="10" t="s">
        <v>21</v>
      </c>
      <c r="J362" s="12" t="str">
        <f>IF(OR(TED[[#This Row],[SITUACAO]]=1,TED[[#This Row],[SITUACAO]]=9,TED[[#This Row],[SITUACAO]]=18),"ATIVO","AFASTADO")</f>
        <v>ATIVO</v>
      </c>
      <c r="K362" s="12">
        <v>1</v>
      </c>
    </row>
    <row r="363" spans="1:11" x14ac:dyDescent="0.25">
      <c r="A363" s="10">
        <v>6334</v>
      </c>
      <c r="B363" s="9" t="s">
        <v>617</v>
      </c>
      <c r="C363" s="12" t="str">
        <f>IFERROR(VLOOKUP(TED[[#This Row],[CENTRO]],'CENTRO DE CUSTO'!B:E,4,FALSE)," ")</f>
        <v>PAULO TORRES</v>
      </c>
      <c r="D363" s="12">
        <v>87</v>
      </c>
      <c r="E363" s="16">
        <v>87481</v>
      </c>
      <c r="F363" s="10" t="s">
        <v>613</v>
      </c>
      <c r="G363" s="10">
        <v>220</v>
      </c>
      <c r="H363" s="11">
        <v>42314</v>
      </c>
      <c r="I363" s="10" t="s">
        <v>604</v>
      </c>
      <c r="J363" s="12" t="str">
        <f>IF(OR(TED[[#This Row],[SITUACAO]]=1,TED[[#This Row],[SITUACAO]]=9,TED[[#This Row],[SITUACAO]]=18),"ATIVO","AFASTADO")</f>
        <v>ATIVO</v>
      </c>
      <c r="K363" s="12">
        <v>1</v>
      </c>
    </row>
    <row r="364" spans="1:11" x14ac:dyDescent="0.25">
      <c r="A364" s="10">
        <v>7516</v>
      </c>
      <c r="B364" s="9" t="s">
        <v>223</v>
      </c>
      <c r="C364" s="12" t="str">
        <f>IFERROR(VLOOKUP(TED[[#This Row],[CENTRO]],'CENTRO DE CUSTO'!B:E,4,FALSE)," ")</f>
        <v>DÉBORA GOBETTI</v>
      </c>
      <c r="D364" s="12">
        <v>87</v>
      </c>
      <c r="E364" s="16">
        <v>87057</v>
      </c>
      <c r="F364" s="10" t="s">
        <v>224</v>
      </c>
      <c r="G364" s="10">
        <v>220</v>
      </c>
      <c r="H364" s="11">
        <v>42494</v>
      </c>
      <c r="I364" s="10" t="s">
        <v>1</v>
      </c>
      <c r="J364" s="12" t="str">
        <f>IF(OR(TED[[#This Row],[SITUACAO]]=1,TED[[#This Row],[SITUACAO]]=9,TED[[#This Row],[SITUACAO]]=18),"ATIVO","AFASTADO")</f>
        <v>ATIVO</v>
      </c>
      <c r="K364" s="12">
        <v>1</v>
      </c>
    </row>
    <row r="365" spans="1:11" x14ac:dyDescent="0.25">
      <c r="A365" s="10">
        <v>27148</v>
      </c>
      <c r="B365" s="9" t="s">
        <v>91</v>
      </c>
      <c r="C365" s="12" t="str">
        <f>IFERROR(VLOOKUP(TED[[#This Row],[CENTRO]],'CENTRO DE CUSTO'!B:E,4,FALSE)," ")</f>
        <v>S/ SUPERVISOR</v>
      </c>
      <c r="D365" s="12">
        <v>87</v>
      </c>
      <c r="E365" s="16">
        <v>87030</v>
      </c>
      <c r="F365" s="10" t="s">
        <v>88</v>
      </c>
      <c r="G365" s="10">
        <v>220</v>
      </c>
      <c r="H365" s="11">
        <v>45068</v>
      </c>
      <c r="I365" s="10" t="s">
        <v>1</v>
      </c>
      <c r="J365" s="12" t="str">
        <f>IF(OR(TED[[#This Row],[SITUACAO]]=1,TED[[#This Row],[SITUACAO]]=9,TED[[#This Row],[SITUACAO]]=18),"ATIVO","AFASTADO")</f>
        <v>ATIVO</v>
      </c>
      <c r="K365" s="12">
        <v>1</v>
      </c>
    </row>
    <row r="366" spans="1:11" x14ac:dyDescent="0.25">
      <c r="A366" s="10">
        <v>9106</v>
      </c>
      <c r="B366" s="9" t="s">
        <v>167</v>
      </c>
      <c r="C366" s="12" t="str">
        <f>IFERROR(VLOOKUP(TED[[#This Row],[CENTRO]],'CENTRO DE CUSTO'!B:E,4,FALSE)," ")</f>
        <v>VANDERSON</v>
      </c>
      <c r="D366" s="12">
        <v>87</v>
      </c>
      <c r="E366" s="16">
        <v>87033</v>
      </c>
      <c r="F366" s="10" t="s">
        <v>103</v>
      </c>
      <c r="G366" s="10">
        <v>220</v>
      </c>
      <c r="H366" s="11">
        <v>42828</v>
      </c>
      <c r="I366" s="10" t="s">
        <v>1</v>
      </c>
      <c r="J366" s="12" t="str">
        <f>IF(OR(TED[[#This Row],[SITUACAO]]=1,TED[[#This Row],[SITUACAO]]=9,TED[[#This Row],[SITUACAO]]=18),"ATIVO","AFASTADO")</f>
        <v>ATIVO</v>
      </c>
      <c r="K366" s="12">
        <v>1</v>
      </c>
    </row>
    <row r="367" spans="1:11" x14ac:dyDescent="0.25">
      <c r="A367" s="10">
        <v>5456</v>
      </c>
      <c r="B367" s="9" t="s">
        <v>292</v>
      </c>
      <c r="C367" s="12" t="str">
        <f>IFERROR(VLOOKUP(TED[[#This Row],[CENTRO]],'CENTRO DE CUSTO'!B:E,4,FALSE)," ")</f>
        <v>CARLOS FABRI</v>
      </c>
      <c r="D367" s="12">
        <v>87</v>
      </c>
      <c r="E367" s="16">
        <v>87069</v>
      </c>
      <c r="F367" s="10" t="s">
        <v>293</v>
      </c>
      <c r="G367" s="10">
        <v>220</v>
      </c>
      <c r="H367" s="11">
        <v>42156</v>
      </c>
      <c r="I367" s="10" t="s">
        <v>1</v>
      </c>
      <c r="J367" s="12" t="str">
        <f>IF(OR(TED[[#This Row],[SITUACAO]]=1,TED[[#This Row],[SITUACAO]]=9,TED[[#This Row],[SITUACAO]]=18),"ATIVO","AFASTADO")</f>
        <v>ATIVO</v>
      </c>
      <c r="K367" s="12">
        <v>1</v>
      </c>
    </row>
    <row r="368" spans="1:11" x14ac:dyDescent="0.25">
      <c r="A368" s="10">
        <v>5537</v>
      </c>
      <c r="B368" s="9" t="s">
        <v>180</v>
      </c>
      <c r="C368" s="12" t="str">
        <f>IFERROR(VLOOKUP(TED[[#This Row],[CENTRO]],'CENTRO DE CUSTO'!B:E,4,FALSE)," ")</f>
        <v>JOÃO CLEMENTONI</v>
      </c>
      <c r="D368" s="12">
        <v>87</v>
      </c>
      <c r="E368" s="16">
        <v>87047</v>
      </c>
      <c r="F368" s="10" t="s">
        <v>181</v>
      </c>
      <c r="G368" s="10">
        <v>220</v>
      </c>
      <c r="H368" s="11">
        <v>42156</v>
      </c>
      <c r="I368" s="10" t="s">
        <v>1</v>
      </c>
      <c r="J368" s="12" t="str">
        <f>IF(OR(TED[[#This Row],[SITUACAO]]=1,TED[[#This Row],[SITUACAO]]=9,TED[[#This Row],[SITUACAO]]=18),"ATIVO","AFASTADO")</f>
        <v>ATIVO</v>
      </c>
      <c r="K368" s="12">
        <v>1</v>
      </c>
    </row>
    <row r="369" spans="1:11" x14ac:dyDescent="0.25">
      <c r="A369" s="10">
        <v>16409</v>
      </c>
      <c r="B369" s="9" t="s">
        <v>542</v>
      </c>
      <c r="C369" s="12" t="str">
        <f>IFERROR(VLOOKUP(TED[[#This Row],[CENTRO]],'CENTRO DE CUSTO'!B:E,4,FALSE)," ")</f>
        <v>VANDERSON</v>
      </c>
      <c r="D369" s="12">
        <v>87</v>
      </c>
      <c r="E369" s="16">
        <v>87117</v>
      </c>
      <c r="F369" s="10" t="s">
        <v>540</v>
      </c>
      <c r="G369" s="10">
        <v>220</v>
      </c>
      <c r="H369" s="11">
        <v>44349</v>
      </c>
      <c r="I369" s="10" t="s">
        <v>1</v>
      </c>
      <c r="J369" s="12" t="str">
        <f>IF(OR(TED[[#This Row],[SITUACAO]]=1,TED[[#This Row],[SITUACAO]]=9,TED[[#This Row],[SITUACAO]]=18),"ATIVO","AFASTADO")</f>
        <v>ATIVO</v>
      </c>
      <c r="K369" s="12">
        <v>1</v>
      </c>
    </row>
    <row r="370" spans="1:11" x14ac:dyDescent="0.25">
      <c r="A370" s="10">
        <v>2088</v>
      </c>
      <c r="B370" s="9" t="s">
        <v>60</v>
      </c>
      <c r="C370" s="12" t="str">
        <f>IFERROR(VLOOKUP(TED[[#This Row],[CENTRO]],'CENTRO DE CUSTO'!B:E,4,FALSE)," ")</f>
        <v>CARLOS FABRI</v>
      </c>
      <c r="D370" s="12">
        <v>87</v>
      </c>
      <c r="E370" s="16">
        <v>87022</v>
      </c>
      <c r="F370" s="10" t="s">
        <v>59</v>
      </c>
      <c r="G370" s="10">
        <v>220</v>
      </c>
      <c r="H370" s="11">
        <v>41341</v>
      </c>
      <c r="I370" s="10" t="s">
        <v>1</v>
      </c>
      <c r="J370" s="12" t="str">
        <f>IF(OR(TED[[#This Row],[SITUACAO]]=1,TED[[#This Row],[SITUACAO]]=9,TED[[#This Row],[SITUACAO]]=18),"ATIVO","AFASTADO")</f>
        <v>ATIVO</v>
      </c>
      <c r="K370" s="12">
        <v>1</v>
      </c>
    </row>
    <row r="371" spans="1:11" x14ac:dyDescent="0.25">
      <c r="A371" s="10">
        <v>494</v>
      </c>
      <c r="B371" s="9" t="s">
        <v>606</v>
      </c>
      <c r="C371" s="12" t="str">
        <f>IFERROR(VLOOKUP(TED[[#This Row],[CENTRO]],'CENTRO DE CUSTO'!B:E,4,FALSE)," ")</f>
        <v>PAULO TORRES</v>
      </c>
      <c r="D371" s="12">
        <v>87</v>
      </c>
      <c r="E371" s="16">
        <v>87200</v>
      </c>
      <c r="F371" s="10" t="s">
        <v>599</v>
      </c>
      <c r="G371" s="10">
        <v>220</v>
      </c>
      <c r="H371" s="11">
        <v>40476</v>
      </c>
      <c r="I371" s="10" t="s">
        <v>1</v>
      </c>
      <c r="J371" s="12" t="str">
        <f>IF(OR(TED[[#This Row],[SITUACAO]]=1,TED[[#This Row],[SITUACAO]]=9,TED[[#This Row],[SITUACAO]]=18),"ATIVO","AFASTADO")</f>
        <v>ATIVO</v>
      </c>
      <c r="K371" s="12">
        <v>1</v>
      </c>
    </row>
    <row r="372" spans="1:11" x14ac:dyDescent="0.25">
      <c r="A372" s="10">
        <v>44529</v>
      </c>
      <c r="B372" s="9" t="s">
        <v>2127</v>
      </c>
      <c r="C372" s="12" t="str">
        <f>IFERROR(VLOOKUP(TED[[#This Row],[CENTRO]],'CENTRO DE CUSTO'!B:E,4,FALSE)," ")</f>
        <v>CARLOS FABRI</v>
      </c>
      <c r="D372" s="12">
        <v>87</v>
      </c>
      <c r="E372" s="16">
        <v>87076</v>
      </c>
      <c r="F372" s="10" t="s">
        <v>324</v>
      </c>
      <c r="G372" s="10">
        <v>220</v>
      </c>
      <c r="H372" s="11">
        <v>46094</v>
      </c>
      <c r="I372" s="10" t="s">
        <v>1</v>
      </c>
      <c r="J372" s="12" t="str">
        <f>IF(OR(TED[[#This Row],[SITUACAO]]=1,TED[[#This Row],[SITUACAO]]=9,TED[[#This Row],[SITUACAO]]=18),"ATIVO","AFASTADO")</f>
        <v>ATIVO</v>
      </c>
      <c r="K372" s="12">
        <v>1</v>
      </c>
    </row>
    <row r="373" spans="1:11" x14ac:dyDescent="0.25">
      <c r="A373" s="10">
        <v>711</v>
      </c>
      <c r="B373" s="9" t="s">
        <v>596</v>
      </c>
      <c r="C373" s="12" t="str">
        <f>IFERROR(VLOOKUP(TED[[#This Row],[CENTRO]],'CENTRO DE CUSTO'!B:E,4,FALSE)," ")</f>
        <v>JOÃO CLEMENTONI</v>
      </c>
      <c r="D373" s="12">
        <v>87</v>
      </c>
      <c r="E373" s="16">
        <v>87131</v>
      </c>
      <c r="F373" s="10" t="s">
        <v>592</v>
      </c>
      <c r="G373" s="10">
        <v>220</v>
      </c>
      <c r="H373" s="11">
        <v>40547</v>
      </c>
      <c r="I373" s="10" t="s">
        <v>21</v>
      </c>
      <c r="J373" s="12" t="str">
        <f>IF(OR(TED[[#This Row],[SITUACAO]]=1,TED[[#This Row],[SITUACAO]]=9,TED[[#This Row],[SITUACAO]]=18),"ATIVO","AFASTADO")</f>
        <v>ATIVO</v>
      </c>
      <c r="K373" s="12">
        <v>1</v>
      </c>
    </row>
    <row r="374" spans="1:11" x14ac:dyDescent="0.25">
      <c r="A374" s="10">
        <v>12636</v>
      </c>
      <c r="B374" s="9" t="s">
        <v>928</v>
      </c>
      <c r="C374" s="12" t="str">
        <f>IFERROR(VLOOKUP(TED[[#This Row],[CENTRO]],'CENTRO DE CUSTO'!B:E,4,FALSE)," ")</f>
        <v>VANDERSON</v>
      </c>
      <c r="D374" s="12">
        <v>87</v>
      </c>
      <c r="E374" s="16">
        <v>87113</v>
      </c>
      <c r="F374" s="10" t="s">
        <v>519</v>
      </c>
      <c r="G374" s="10">
        <v>220</v>
      </c>
      <c r="H374" s="11">
        <v>43584</v>
      </c>
      <c r="I374" s="10" t="s">
        <v>21</v>
      </c>
      <c r="J374" s="12" t="str">
        <f>IF(OR(TED[[#This Row],[SITUACAO]]=1,TED[[#This Row],[SITUACAO]]=9,TED[[#This Row],[SITUACAO]]=18),"ATIVO","AFASTADO")</f>
        <v>ATIVO</v>
      </c>
      <c r="K374" s="12">
        <v>18</v>
      </c>
    </row>
    <row r="375" spans="1:11" x14ac:dyDescent="0.25">
      <c r="A375" s="10">
        <v>9478</v>
      </c>
      <c r="B375" s="9" t="s">
        <v>471</v>
      </c>
      <c r="C375" s="12" t="str">
        <f>IFERROR(VLOOKUP(TED[[#This Row],[CENTRO]],'CENTRO DE CUSTO'!B:E,4,FALSE)," ")</f>
        <v>S/ SUPERVISOR</v>
      </c>
      <c r="D375" s="12">
        <v>87</v>
      </c>
      <c r="E375" s="16">
        <v>87104</v>
      </c>
      <c r="F375" s="10" t="s">
        <v>467</v>
      </c>
      <c r="G375" s="10">
        <v>220</v>
      </c>
      <c r="H375" s="11">
        <v>42941</v>
      </c>
      <c r="I375" s="10" t="s">
        <v>1</v>
      </c>
      <c r="J375" s="12" t="str">
        <f>IF(OR(TED[[#This Row],[SITUACAO]]=1,TED[[#This Row],[SITUACAO]]=9,TED[[#This Row],[SITUACAO]]=18),"ATIVO","AFASTADO")</f>
        <v>ATIVO</v>
      </c>
      <c r="K375" s="12">
        <v>1</v>
      </c>
    </row>
    <row r="376" spans="1:11" x14ac:dyDescent="0.25">
      <c r="A376" s="10">
        <v>9671</v>
      </c>
      <c r="B376" s="9" t="s">
        <v>513</v>
      </c>
      <c r="C376" s="12" t="str">
        <f>IFERROR(VLOOKUP(TED[[#This Row],[CENTRO]],'CENTRO DE CUSTO'!B:E,4,FALSE)," ")</f>
        <v>CARLOS FABRI</v>
      </c>
      <c r="D376" s="12">
        <v>87</v>
      </c>
      <c r="E376" s="16">
        <v>87112</v>
      </c>
      <c r="F376" s="10" t="s">
        <v>514</v>
      </c>
      <c r="G376" s="10">
        <v>220</v>
      </c>
      <c r="H376" s="11">
        <v>43012</v>
      </c>
      <c r="I376" s="10" t="s">
        <v>21</v>
      </c>
      <c r="J376" s="12" t="str">
        <f>IF(OR(TED[[#This Row],[SITUACAO]]=1,TED[[#This Row],[SITUACAO]]=9,TED[[#This Row],[SITUACAO]]=18),"ATIVO","AFASTADO")</f>
        <v>ATIVO</v>
      </c>
      <c r="K376" s="12">
        <v>1</v>
      </c>
    </row>
    <row r="377" spans="1:11" x14ac:dyDescent="0.25">
      <c r="A377" s="10">
        <v>5996</v>
      </c>
      <c r="B377" s="9" t="s">
        <v>622</v>
      </c>
      <c r="C377" s="12" t="str">
        <f>IFERROR(VLOOKUP(TED[[#This Row],[CENTRO]],'CENTRO DE CUSTO'!B:E,4,FALSE)," ")</f>
        <v>PAULO TORRES</v>
      </c>
      <c r="D377" s="12">
        <v>87</v>
      </c>
      <c r="E377" s="16">
        <v>87481</v>
      </c>
      <c r="F377" s="10" t="s">
        <v>613</v>
      </c>
      <c r="G377" s="10">
        <v>220</v>
      </c>
      <c r="H377" s="11">
        <v>42217</v>
      </c>
      <c r="I377" s="10" t="s">
        <v>612</v>
      </c>
      <c r="J377" s="12" t="str">
        <f>IF(OR(TED[[#This Row],[SITUACAO]]=1,TED[[#This Row],[SITUACAO]]=9,TED[[#This Row],[SITUACAO]]=18),"ATIVO","AFASTADO")</f>
        <v>ATIVO</v>
      </c>
      <c r="K377" s="12">
        <v>1</v>
      </c>
    </row>
    <row r="378" spans="1:11" x14ac:dyDescent="0.25">
      <c r="A378" s="10">
        <v>556</v>
      </c>
      <c r="B378" s="9" t="s">
        <v>428</v>
      </c>
      <c r="C378" s="12" t="str">
        <f>IFERROR(VLOOKUP(TED[[#This Row],[CENTRO]],'CENTRO DE CUSTO'!B:E,4,FALSE)," ")</f>
        <v>CARLOS FABRI</v>
      </c>
      <c r="D378" s="12">
        <v>87</v>
      </c>
      <c r="E378" s="16">
        <v>87096</v>
      </c>
      <c r="F378" s="10" t="s">
        <v>426</v>
      </c>
      <c r="G378" s="10">
        <v>220</v>
      </c>
      <c r="H378" s="11">
        <v>40476</v>
      </c>
      <c r="I378" s="10" t="s">
        <v>1</v>
      </c>
      <c r="J378" s="12" t="str">
        <f>IF(OR(TED[[#This Row],[SITUACAO]]=1,TED[[#This Row],[SITUACAO]]=9,TED[[#This Row],[SITUACAO]]=18),"ATIVO","AFASTADO")</f>
        <v>ATIVO</v>
      </c>
      <c r="K378" s="12">
        <v>1</v>
      </c>
    </row>
    <row r="379" spans="1:11" x14ac:dyDescent="0.25">
      <c r="A379" s="10">
        <v>5225</v>
      </c>
      <c r="B379" s="9" t="s">
        <v>289</v>
      </c>
      <c r="C379" s="12" t="str">
        <f>IFERROR(VLOOKUP(TED[[#This Row],[CENTRO]],'CENTRO DE CUSTO'!B:E,4,FALSE)," ")</f>
        <v>CARLOS FABRI</v>
      </c>
      <c r="D379" s="12">
        <v>87</v>
      </c>
      <c r="E379" s="16">
        <v>87068</v>
      </c>
      <c r="F379" s="10" t="s">
        <v>288</v>
      </c>
      <c r="G379" s="10">
        <v>220</v>
      </c>
      <c r="H379" s="11">
        <v>42156</v>
      </c>
      <c r="I379" s="10" t="s">
        <v>1</v>
      </c>
      <c r="J379" s="12" t="str">
        <f>IF(OR(TED[[#This Row],[SITUACAO]]=1,TED[[#This Row],[SITUACAO]]=9,TED[[#This Row],[SITUACAO]]=18),"ATIVO","AFASTADO")</f>
        <v>ATIVO</v>
      </c>
      <c r="K379" s="12">
        <v>1</v>
      </c>
    </row>
    <row r="380" spans="1:11" x14ac:dyDescent="0.25">
      <c r="A380" s="10">
        <v>5436</v>
      </c>
      <c r="B380" s="9" t="s">
        <v>584</v>
      </c>
      <c r="C380" s="12" t="str">
        <f>IFERROR(VLOOKUP(TED[[#This Row],[CENTRO]],'CENTRO DE CUSTO'!B:E,4,FALSE)," ")</f>
        <v>S/ SUPERVISOR</v>
      </c>
      <c r="D380" s="12">
        <v>87</v>
      </c>
      <c r="E380" s="16">
        <v>87129</v>
      </c>
      <c r="F380" s="10" t="s">
        <v>582</v>
      </c>
      <c r="G380" s="10">
        <v>220</v>
      </c>
      <c r="H380" s="11">
        <v>42156</v>
      </c>
      <c r="I380" s="10" t="s">
        <v>1</v>
      </c>
      <c r="J380" s="12" t="str">
        <f>IF(OR(TED[[#This Row],[SITUACAO]]=1,TED[[#This Row],[SITUACAO]]=9,TED[[#This Row],[SITUACAO]]=18),"ATIVO","AFASTADO")</f>
        <v>ATIVO</v>
      </c>
      <c r="K380" s="12">
        <v>1</v>
      </c>
    </row>
    <row r="381" spans="1:11" x14ac:dyDescent="0.25">
      <c r="A381" s="10">
        <v>5263</v>
      </c>
      <c r="B381" s="9" t="s">
        <v>561</v>
      </c>
      <c r="C381" s="12" t="str">
        <f>IFERROR(VLOOKUP(TED[[#This Row],[CENTRO]],'CENTRO DE CUSTO'!B:E,4,FALSE)," ")</f>
        <v>CARLOS FABRI</v>
      </c>
      <c r="D381" s="12">
        <v>87</v>
      </c>
      <c r="E381" s="16">
        <v>87122</v>
      </c>
      <c r="F381" s="10" t="s">
        <v>560</v>
      </c>
      <c r="G381" s="10">
        <v>220</v>
      </c>
      <c r="H381" s="11">
        <v>42156</v>
      </c>
      <c r="I381" s="10" t="s">
        <v>1</v>
      </c>
      <c r="J381" s="12" t="str">
        <f>IF(OR(TED[[#This Row],[SITUACAO]]=1,TED[[#This Row],[SITUACAO]]=9,TED[[#This Row],[SITUACAO]]=18),"ATIVO","AFASTADO")</f>
        <v>ATIVO</v>
      </c>
      <c r="K381" s="12">
        <v>1</v>
      </c>
    </row>
    <row r="382" spans="1:11" x14ac:dyDescent="0.25">
      <c r="A382" s="10">
        <v>6245</v>
      </c>
      <c r="B382" s="9" t="s">
        <v>146</v>
      </c>
      <c r="C382" s="12" t="str">
        <f>IFERROR(VLOOKUP(TED[[#This Row],[CENTRO]],'CENTRO DE CUSTO'!B:E,4,FALSE)," ")</f>
        <v>DÉBORA GOBETTI</v>
      </c>
      <c r="D382" s="12">
        <v>87</v>
      </c>
      <c r="E382" s="16">
        <v>87041</v>
      </c>
      <c r="F382" s="10" t="s">
        <v>140</v>
      </c>
      <c r="G382" s="10">
        <v>220</v>
      </c>
      <c r="H382" s="11">
        <v>42303</v>
      </c>
      <c r="I382" s="10" t="s">
        <v>1</v>
      </c>
      <c r="J382" s="12" t="str">
        <f>IF(OR(TED[[#This Row],[SITUACAO]]=1,TED[[#This Row],[SITUACAO]]=9,TED[[#This Row],[SITUACAO]]=18),"ATIVO","AFASTADO")</f>
        <v>AFASTADO</v>
      </c>
      <c r="K382" s="12">
        <v>6</v>
      </c>
    </row>
    <row r="383" spans="1:11" x14ac:dyDescent="0.25">
      <c r="A383" s="10">
        <v>12384</v>
      </c>
      <c r="B383" s="9" t="s">
        <v>586</v>
      </c>
      <c r="C383" s="12" t="str">
        <f>IFERROR(VLOOKUP(TED[[#This Row],[CENTRO]],'CENTRO DE CUSTO'!B:E,4,FALSE)," ")</f>
        <v>S/ SUPERVISOR</v>
      </c>
      <c r="D383" s="12">
        <v>87</v>
      </c>
      <c r="E383" s="16">
        <v>87129</v>
      </c>
      <c r="F383" s="10" t="s">
        <v>582</v>
      </c>
      <c r="G383" s="10">
        <v>220</v>
      </c>
      <c r="H383" s="11">
        <v>43550</v>
      </c>
      <c r="I383" s="10" t="s">
        <v>1</v>
      </c>
      <c r="J383" s="12" t="str">
        <f>IF(OR(TED[[#This Row],[SITUACAO]]=1,TED[[#This Row],[SITUACAO]]=9,TED[[#This Row],[SITUACAO]]=18),"ATIVO","AFASTADO")</f>
        <v>ATIVO</v>
      </c>
      <c r="K383" s="12">
        <v>1</v>
      </c>
    </row>
    <row r="384" spans="1:11" x14ac:dyDescent="0.25">
      <c r="A384" s="10">
        <v>5308</v>
      </c>
      <c r="B384" s="9" t="s">
        <v>357</v>
      </c>
      <c r="C384" s="12" t="str">
        <f>IFERROR(VLOOKUP(TED[[#This Row],[CENTRO]],'CENTRO DE CUSTO'!B:E,4,FALSE)," ")</f>
        <v>DÉBORA GOBETTI</v>
      </c>
      <c r="D384" s="12">
        <v>87</v>
      </c>
      <c r="E384" s="16">
        <v>87081</v>
      </c>
      <c r="F384" s="10" t="s">
        <v>353</v>
      </c>
      <c r="G384" s="10">
        <v>220</v>
      </c>
      <c r="H384" s="11">
        <v>42156</v>
      </c>
      <c r="I384" s="10" t="s">
        <v>1</v>
      </c>
      <c r="J384" s="12" t="str">
        <f>IF(OR(TED[[#This Row],[SITUACAO]]=1,TED[[#This Row],[SITUACAO]]=9,TED[[#This Row],[SITUACAO]]=18),"ATIVO","AFASTADO")</f>
        <v>ATIVO</v>
      </c>
      <c r="K384" s="12">
        <v>1</v>
      </c>
    </row>
    <row r="385" spans="1:11" x14ac:dyDescent="0.25">
      <c r="A385" s="10">
        <v>5395</v>
      </c>
      <c r="B385" s="9" t="s">
        <v>493</v>
      </c>
      <c r="C385" s="12" t="str">
        <f>IFERROR(VLOOKUP(TED[[#This Row],[CENTRO]],'CENTRO DE CUSTO'!B:E,4,FALSE)," ")</f>
        <v>JOÃO CLEMENTONI</v>
      </c>
      <c r="D385" s="12">
        <v>87</v>
      </c>
      <c r="E385" s="16">
        <v>87108</v>
      </c>
      <c r="F385" s="10" t="s">
        <v>491</v>
      </c>
      <c r="G385" s="10">
        <v>220</v>
      </c>
      <c r="H385" s="11">
        <v>42156</v>
      </c>
      <c r="I385" s="10" t="s">
        <v>1</v>
      </c>
      <c r="J385" s="12" t="str">
        <f>IF(OR(TED[[#This Row],[SITUACAO]]=1,TED[[#This Row],[SITUACAO]]=9,TED[[#This Row],[SITUACAO]]=18),"ATIVO","AFASTADO")</f>
        <v>ATIVO</v>
      </c>
      <c r="K385" s="12">
        <v>1</v>
      </c>
    </row>
    <row r="386" spans="1:11" x14ac:dyDescent="0.25">
      <c r="A386" s="10">
        <v>5470</v>
      </c>
      <c r="B386" s="9" t="s">
        <v>294</v>
      </c>
      <c r="C386" s="12" t="str">
        <f>IFERROR(VLOOKUP(TED[[#This Row],[CENTRO]],'CENTRO DE CUSTO'!B:E,4,FALSE)," ")</f>
        <v>CARLOS FABRI</v>
      </c>
      <c r="D386" s="12">
        <v>87</v>
      </c>
      <c r="E386" s="16">
        <v>87069</v>
      </c>
      <c r="F386" s="10" t="s">
        <v>293</v>
      </c>
      <c r="G386" s="10">
        <v>220</v>
      </c>
      <c r="H386" s="11">
        <v>42156</v>
      </c>
      <c r="I386" s="10" t="s">
        <v>1</v>
      </c>
      <c r="J386" s="12" t="str">
        <f>IF(OR(TED[[#This Row],[SITUACAO]]=1,TED[[#This Row],[SITUACAO]]=9,TED[[#This Row],[SITUACAO]]=18),"ATIVO","AFASTADO")</f>
        <v>ATIVO</v>
      </c>
      <c r="K386" s="12">
        <v>1</v>
      </c>
    </row>
    <row r="387" spans="1:11" x14ac:dyDescent="0.25">
      <c r="A387" s="10">
        <v>16611</v>
      </c>
      <c r="B387" s="9" t="s">
        <v>397</v>
      </c>
      <c r="C387" s="12" t="str">
        <f>IFERROR(VLOOKUP(TED[[#This Row],[CENTRO]],'CENTRO DE CUSTO'!B:E,4,FALSE)," ")</f>
        <v>VANDERSON</v>
      </c>
      <c r="D387" s="12">
        <v>87</v>
      </c>
      <c r="E387" s="16">
        <v>87090</v>
      </c>
      <c r="F387" s="10" t="s">
        <v>395</v>
      </c>
      <c r="G387" s="10">
        <v>150</v>
      </c>
      <c r="H387" s="11">
        <v>44362</v>
      </c>
      <c r="I387" s="10" t="s">
        <v>1</v>
      </c>
      <c r="J387" s="12" t="str">
        <f>IF(OR(TED[[#This Row],[SITUACAO]]=1,TED[[#This Row],[SITUACAO]]=9,TED[[#This Row],[SITUACAO]]=18),"ATIVO","AFASTADO")</f>
        <v>ATIVO</v>
      </c>
      <c r="K387" s="12">
        <v>1</v>
      </c>
    </row>
    <row r="388" spans="1:11" x14ac:dyDescent="0.25">
      <c r="A388" s="10">
        <v>11202</v>
      </c>
      <c r="B388" s="9" t="s">
        <v>310</v>
      </c>
      <c r="C388" s="12" t="str">
        <f>IFERROR(VLOOKUP(TED[[#This Row],[CENTRO]],'CENTRO DE CUSTO'!B:E,4,FALSE)," ")</f>
        <v>JOÃO CLEMENTONI</v>
      </c>
      <c r="D388" s="12">
        <v>87</v>
      </c>
      <c r="E388" s="16">
        <v>87073</v>
      </c>
      <c r="F388" s="10" t="s">
        <v>309</v>
      </c>
      <c r="G388" s="10">
        <v>220</v>
      </c>
      <c r="H388" s="11">
        <v>43370</v>
      </c>
      <c r="I388" s="10" t="s">
        <v>1</v>
      </c>
      <c r="J388" s="12" t="str">
        <f>IF(OR(TED[[#This Row],[SITUACAO]]=1,TED[[#This Row],[SITUACAO]]=9,TED[[#This Row],[SITUACAO]]=18),"ATIVO","AFASTADO")</f>
        <v>ATIVO</v>
      </c>
      <c r="K388" s="12">
        <v>1</v>
      </c>
    </row>
    <row r="389" spans="1:11" x14ac:dyDescent="0.25">
      <c r="A389" s="10">
        <v>5291</v>
      </c>
      <c r="B389" s="9" t="s">
        <v>366</v>
      </c>
      <c r="C389" s="12" t="str">
        <f>IFERROR(VLOOKUP(TED[[#This Row],[CENTRO]],'CENTRO DE CUSTO'!B:E,4,FALSE)," ")</f>
        <v>VANDERSON</v>
      </c>
      <c r="D389" s="12">
        <v>87</v>
      </c>
      <c r="E389" s="16">
        <v>87084</v>
      </c>
      <c r="F389" s="10" t="s">
        <v>367</v>
      </c>
      <c r="G389" s="10">
        <v>220</v>
      </c>
      <c r="H389" s="11">
        <v>42156</v>
      </c>
      <c r="I389" s="10" t="s">
        <v>1</v>
      </c>
      <c r="J389" s="12" t="str">
        <f>IF(OR(TED[[#This Row],[SITUACAO]]=1,TED[[#This Row],[SITUACAO]]=9,TED[[#This Row],[SITUACAO]]=18),"ATIVO","AFASTADO")</f>
        <v>ATIVO</v>
      </c>
      <c r="K389" s="12">
        <v>1</v>
      </c>
    </row>
    <row r="390" spans="1:11" x14ac:dyDescent="0.25">
      <c r="A390" s="10">
        <v>5602</v>
      </c>
      <c r="B390" s="9" t="s">
        <v>365</v>
      </c>
      <c r="C390" s="12" t="str">
        <f>IFERROR(VLOOKUP(TED[[#This Row],[CENTRO]],'CENTRO DE CUSTO'!B:E,4,FALSE)," ")</f>
        <v>VANDERSON</v>
      </c>
      <c r="D390" s="12">
        <v>87</v>
      </c>
      <c r="E390" s="16">
        <v>87083</v>
      </c>
      <c r="F390" s="10" t="s">
        <v>364</v>
      </c>
      <c r="G390" s="10">
        <v>220</v>
      </c>
      <c r="H390" s="11">
        <v>42156</v>
      </c>
      <c r="I390" s="10" t="s">
        <v>1</v>
      </c>
      <c r="J390" s="12" t="str">
        <f>IF(OR(TED[[#This Row],[SITUACAO]]=1,TED[[#This Row],[SITUACAO]]=9,TED[[#This Row],[SITUACAO]]=18),"ATIVO","AFASTADO")</f>
        <v>ATIVO</v>
      </c>
      <c r="K390" s="12">
        <v>1</v>
      </c>
    </row>
    <row r="391" spans="1:11" x14ac:dyDescent="0.25">
      <c r="A391" s="10">
        <v>44965</v>
      </c>
      <c r="B391" s="9" t="s">
        <v>2170</v>
      </c>
      <c r="C391" s="12" t="str">
        <f>IFERROR(VLOOKUP(TED[[#This Row],[CENTRO]],'CENTRO DE CUSTO'!B:E,4,FALSE)," ")</f>
        <v>S/ SUPERVISOR</v>
      </c>
      <c r="D391" s="12">
        <v>87</v>
      </c>
      <c r="E391" s="16">
        <v>87094</v>
      </c>
      <c r="F391" s="10" t="s">
        <v>417</v>
      </c>
      <c r="G391" s="10">
        <v>220</v>
      </c>
      <c r="H391" s="11">
        <v>46118</v>
      </c>
      <c r="I391" s="10" t="s">
        <v>21</v>
      </c>
      <c r="J391" s="12" t="str">
        <f>IF(OR(TED[[#This Row],[SITUACAO]]=1,TED[[#This Row],[SITUACAO]]=9,TED[[#This Row],[SITUACAO]]=18),"ATIVO","AFASTADO")</f>
        <v>ATIVO</v>
      </c>
      <c r="K391" s="12">
        <v>1</v>
      </c>
    </row>
    <row r="392" spans="1:11" x14ac:dyDescent="0.25">
      <c r="A392" s="10">
        <v>44362</v>
      </c>
      <c r="B392" s="9" t="s">
        <v>2115</v>
      </c>
      <c r="C392" s="12" t="str">
        <f>IFERROR(VLOOKUP(TED[[#This Row],[CENTRO]],'CENTRO DE CUSTO'!B:E,4,FALSE)," ")</f>
        <v>VANDERSON</v>
      </c>
      <c r="D392" s="12">
        <v>87</v>
      </c>
      <c r="E392" s="16">
        <v>87070</v>
      </c>
      <c r="F392" s="10" t="s">
        <v>296</v>
      </c>
      <c r="G392" s="10">
        <v>220</v>
      </c>
      <c r="H392" s="11">
        <v>46104</v>
      </c>
      <c r="I392" s="10" t="s">
        <v>1</v>
      </c>
      <c r="J392" s="12" t="str">
        <f>IF(OR(TED[[#This Row],[SITUACAO]]=1,TED[[#This Row],[SITUACAO]]=9,TED[[#This Row],[SITUACAO]]=18),"ATIVO","AFASTADO")</f>
        <v>ATIVO</v>
      </c>
      <c r="K392" s="12">
        <v>1</v>
      </c>
    </row>
    <row r="393" spans="1:11" x14ac:dyDescent="0.25">
      <c r="A393" s="10">
        <v>5404</v>
      </c>
      <c r="B393" s="9" t="s">
        <v>165</v>
      </c>
      <c r="C393" s="12" t="str">
        <f>IFERROR(VLOOKUP(TED[[#This Row],[CENTRO]],'CENTRO DE CUSTO'!B:E,4,FALSE)," ")</f>
        <v>S/ SUPERVISOR</v>
      </c>
      <c r="D393" s="12">
        <v>87</v>
      </c>
      <c r="E393" s="16">
        <v>87045</v>
      </c>
      <c r="F393" s="10" t="s">
        <v>166</v>
      </c>
      <c r="G393" s="10">
        <v>220</v>
      </c>
      <c r="H393" s="11">
        <v>42156</v>
      </c>
      <c r="I393" s="10" t="s">
        <v>1</v>
      </c>
      <c r="J393" s="12" t="str">
        <f>IF(OR(TED[[#This Row],[SITUACAO]]=1,TED[[#This Row],[SITUACAO]]=9,TED[[#This Row],[SITUACAO]]=18),"ATIVO","AFASTADO")</f>
        <v>ATIVO</v>
      </c>
      <c r="K393" s="12">
        <v>1</v>
      </c>
    </row>
    <row r="394" spans="1:11" x14ac:dyDescent="0.25">
      <c r="A394" s="10">
        <v>25051</v>
      </c>
      <c r="B394" s="9" t="s">
        <v>543</v>
      </c>
      <c r="C394" s="12" t="str">
        <f>IFERROR(VLOOKUP(TED[[#This Row],[CENTRO]],'CENTRO DE CUSTO'!B:E,4,FALSE)," ")</f>
        <v>S/ SUPERVISOR</v>
      </c>
      <c r="D394" s="12">
        <v>87</v>
      </c>
      <c r="E394" s="16">
        <v>87118</v>
      </c>
      <c r="F394" s="10" t="s">
        <v>544</v>
      </c>
      <c r="G394" s="10">
        <v>220</v>
      </c>
      <c r="H394" s="11">
        <v>44958</v>
      </c>
      <c r="I394" s="10" t="s">
        <v>21</v>
      </c>
      <c r="J394" s="12" t="str">
        <f>IF(OR(TED[[#This Row],[SITUACAO]]=1,TED[[#This Row],[SITUACAO]]=9,TED[[#This Row],[SITUACAO]]=18),"ATIVO","AFASTADO")</f>
        <v>AFASTADO</v>
      </c>
      <c r="K394" s="12">
        <v>6</v>
      </c>
    </row>
    <row r="395" spans="1:11" x14ac:dyDescent="0.25">
      <c r="A395" s="10">
        <v>37958</v>
      </c>
      <c r="B395" s="9" t="s">
        <v>41</v>
      </c>
      <c r="C395" s="12" t="str">
        <f>IFERROR(VLOOKUP(TED[[#This Row],[CENTRO]],'CENTRO DE CUSTO'!B:E,4,FALSE)," ")</f>
        <v>VANDERSON</v>
      </c>
      <c r="D395" s="12">
        <v>87</v>
      </c>
      <c r="E395" s="16">
        <v>87018</v>
      </c>
      <c r="F395" s="10" t="s">
        <v>42</v>
      </c>
      <c r="G395" s="10">
        <v>220</v>
      </c>
      <c r="H395" s="11">
        <v>45744</v>
      </c>
      <c r="I395" s="10" t="s">
        <v>21</v>
      </c>
      <c r="J395" s="12" t="str">
        <f>IF(OR(TED[[#This Row],[SITUACAO]]=1,TED[[#This Row],[SITUACAO]]=9,TED[[#This Row],[SITUACAO]]=18),"ATIVO","AFASTADO")</f>
        <v>ATIVO</v>
      </c>
      <c r="K395" s="12">
        <v>1</v>
      </c>
    </row>
    <row r="396" spans="1:11" x14ac:dyDescent="0.25">
      <c r="A396" s="10">
        <v>38872</v>
      </c>
      <c r="B396" s="9" t="s">
        <v>92</v>
      </c>
      <c r="C396" s="12" t="str">
        <f>IFERROR(VLOOKUP(TED[[#This Row],[CENTRO]],'CENTRO DE CUSTO'!B:E,4,FALSE)," ")</f>
        <v>S/ SUPERVISOR</v>
      </c>
      <c r="D396" s="12">
        <v>87</v>
      </c>
      <c r="E396" s="16">
        <v>87030</v>
      </c>
      <c r="F396" s="10" t="s">
        <v>88</v>
      </c>
      <c r="G396" s="10">
        <v>220</v>
      </c>
      <c r="H396" s="11">
        <v>45800</v>
      </c>
      <c r="I396" s="10" t="s">
        <v>21</v>
      </c>
      <c r="J396" s="12" t="str">
        <f>IF(OR(TED[[#This Row],[SITUACAO]]=1,TED[[#This Row],[SITUACAO]]=9,TED[[#This Row],[SITUACAO]]=18),"ATIVO","AFASTADO")</f>
        <v>ATIVO</v>
      </c>
      <c r="K396" s="12">
        <v>1</v>
      </c>
    </row>
    <row r="397" spans="1:11" x14ac:dyDescent="0.25">
      <c r="A397" s="10">
        <v>5356</v>
      </c>
      <c r="B397" s="9" t="s">
        <v>164</v>
      </c>
      <c r="C397" s="12" t="str">
        <f>IFERROR(VLOOKUP(TED[[#This Row],[CENTRO]],'CENTRO DE CUSTO'!B:E,4,FALSE)," ")</f>
        <v>CARLOS FABRI</v>
      </c>
      <c r="D397" s="12">
        <v>87</v>
      </c>
      <c r="E397" s="16">
        <v>87044</v>
      </c>
      <c r="F397" s="10" t="s">
        <v>161</v>
      </c>
      <c r="G397" s="10">
        <v>220</v>
      </c>
      <c r="H397" s="11">
        <v>42156</v>
      </c>
      <c r="I397" s="10" t="s">
        <v>1</v>
      </c>
      <c r="J397" s="12" t="str">
        <f>IF(OR(TED[[#This Row],[SITUACAO]]=1,TED[[#This Row],[SITUACAO]]=9,TED[[#This Row],[SITUACAO]]=18),"ATIVO","AFASTADO")</f>
        <v>ATIVO</v>
      </c>
      <c r="K397" s="12">
        <v>1</v>
      </c>
    </row>
    <row r="398" spans="1:11" x14ac:dyDescent="0.25">
      <c r="A398" s="10">
        <v>39120</v>
      </c>
      <c r="B398" s="9" t="s">
        <v>169</v>
      </c>
      <c r="C398" s="12" t="str">
        <f>IFERROR(VLOOKUP(TED[[#This Row],[CENTRO]],'CENTRO DE CUSTO'!B:E,4,FALSE)," ")</f>
        <v>DÉBORA GOBETTI</v>
      </c>
      <c r="D398" s="12">
        <v>87</v>
      </c>
      <c r="E398" s="16">
        <v>87046</v>
      </c>
      <c r="F398" s="10" t="s">
        <v>170</v>
      </c>
      <c r="G398" s="10">
        <v>150</v>
      </c>
      <c r="H398" s="11">
        <v>45824</v>
      </c>
      <c r="I398" s="10" t="s">
        <v>1</v>
      </c>
      <c r="J398" s="12" t="str">
        <f>IF(OR(TED[[#This Row],[SITUACAO]]=1,TED[[#This Row],[SITUACAO]]=9,TED[[#This Row],[SITUACAO]]=18),"ATIVO","AFASTADO")</f>
        <v>ATIVO</v>
      </c>
      <c r="K398" s="12">
        <v>1</v>
      </c>
    </row>
    <row r="399" spans="1:11" x14ac:dyDescent="0.25">
      <c r="A399" s="10">
        <v>12906</v>
      </c>
      <c r="B399" s="9" t="s">
        <v>517</v>
      </c>
      <c r="C399" s="12" t="str">
        <f>IFERROR(VLOOKUP(TED[[#This Row],[CENTRO]],'CENTRO DE CUSTO'!B:E,4,FALSE)," ")</f>
        <v>CARLOS FABRI</v>
      </c>
      <c r="D399" s="12">
        <v>87</v>
      </c>
      <c r="E399" s="16">
        <v>87112</v>
      </c>
      <c r="F399" s="10" t="s">
        <v>514</v>
      </c>
      <c r="G399" s="10">
        <v>220</v>
      </c>
      <c r="H399" s="11">
        <v>43627</v>
      </c>
      <c r="I399" s="10" t="s">
        <v>1</v>
      </c>
      <c r="J399" s="12" t="str">
        <f>IF(OR(TED[[#This Row],[SITUACAO]]=1,TED[[#This Row],[SITUACAO]]=9,TED[[#This Row],[SITUACAO]]=18),"ATIVO","AFASTADO")</f>
        <v>ATIVO</v>
      </c>
      <c r="K399" s="12">
        <v>1</v>
      </c>
    </row>
    <row r="400" spans="1:11" x14ac:dyDescent="0.25">
      <c r="A400" s="10">
        <v>10409</v>
      </c>
      <c r="B400" s="9" t="s">
        <v>58</v>
      </c>
      <c r="C400" s="12" t="str">
        <f>IFERROR(VLOOKUP(TED[[#This Row],[CENTRO]],'CENTRO DE CUSTO'!B:E,4,FALSE)," ")</f>
        <v>CARLOS FABRI</v>
      </c>
      <c r="D400" s="12">
        <v>87</v>
      </c>
      <c r="E400" s="16">
        <v>87022</v>
      </c>
      <c r="F400" s="10" t="s">
        <v>59</v>
      </c>
      <c r="G400" s="10">
        <v>220</v>
      </c>
      <c r="H400" s="11">
        <v>43192</v>
      </c>
      <c r="I400" s="10" t="s">
        <v>21</v>
      </c>
      <c r="J400" s="12" t="str">
        <f>IF(OR(TED[[#This Row],[SITUACAO]]=1,TED[[#This Row],[SITUACAO]]=9,TED[[#This Row],[SITUACAO]]=18),"ATIVO","AFASTADO")</f>
        <v>ATIVO</v>
      </c>
      <c r="K400" s="12">
        <v>1</v>
      </c>
    </row>
    <row r="401" spans="1:11" x14ac:dyDescent="0.25">
      <c r="A401" s="10">
        <v>16951</v>
      </c>
      <c r="B401" s="9" t="s">
        <v>388</v>
      </c>
      <c r="C401" s="12" t="str">
        <f>IFERROR(VLOOKUP(TED[[#This Row],[CENTRO]],'CENTRO DE CUSTO'!B:E,4,FALSE)," ")</f>
        <v>S/ SUPERVISOR</v>
      </c>
      <c r="D401" s="12">
        <v>87</v>
      </c>
      <c r="E401" s="16">
        <v>87088</v>
      </c>
      <c r="F401" s="10" t="s">
        <v>384</v>
      </c>
      <c r="G401" s="10">
        <v>150</v>
      </c>
      <c r="H401" s="11">
        <v>44371</v>
      </c>
      <c r="I401" s="10" t="s">
        <v>1</v>
      </c>
      <c r="J401" s="12" t="str">
        <f>IF(OR(TED[[#This Row],[SITUACAO]]=1,TED[[#This Row],[SITUACAO]]=9,TED[[#This Row],[SITUACAO]]=18),"ATIVO","AFASTADO")</f>
        <v>ATIVO</v>
      </c>
      <c r="K401" s="12">
        <v>1</v>
      </c>
    </row>
    <row r="402" spans="1:11" x14ac:dyDescent="0.25">
      <c r="A402" s="10">
        <v>5211</v>
      </c>
      <c r="B402" s="9" t="s">
        <v>211</v>
      </c>
      <c r="C402" s="12" t="str">
        <f>IFERROR(VLOOKUP(TED[[#This Row],[CENTRO]],'CENTRO DE CUSTO'!B:E,4,FALSE)," ")</f>
        <v>DÉBORA GOBETTI</v>
      </c>
      <c r="D402" s="12">
        <v>87</v>
      </c>
      <c r="E402" s="16">
        <v>87054</v>
      </c>
      <c r="F402" s="10" t="s">
        <v>209</v>
      </c>
      <c r="G402" s="10">
        <v>220</v>
      </c>
      <c r="H402" s="11">
        <v>42156</v>
      </c>
      <c r="I402" s="10" t="s">
        <v>1</v>
      </c>
      <c r="J402" s="12" t="str">
        <f>IF(OR(TED[[#This Row],[SITUACAO]]=1,TED[[#This Row],[SITUACAO]]=9,TED[[#This Row],[SITUACAO]]=18),"ATIVO","AFASTADO")</f>
        <v>AFASTADO</v>
      </c>
      <c r="K402" s="12">
        <v>12</v>
      </c>
    </row>
    <row r="403" spans="1:11" x14ac:dyDescent="0.25">
      <c r="A403" s="10">
        <v>5227</v>
      </c>
      <c r="B403" s="9" t="s">
        <v>28</v>
      </c>
      <c r="C403" s="12" t="str">
        <f>IFERROR(VLOOKUP(TED[[#This Row],[CENTRO]],'CENTRO DE CUSTO'!B:E,4,FALSE)," ")</f>
        <v>JOÃO CLEMENTONI</v>
      </c>
      <c r="D403" s="12">
        <v>87</v>
      </c>
      <c r="E403" s="16">
        <v>87014</v>
      </c>
      <c r="F403" s="10" t="s">
        <v>29</v>
      </c>
      <c r="G403" s="10">
        <v>220</v>
      </c>
      <c r="H403" s="11">
        <v>42156</v>
      </c>
      <c r="I403" s="10" t="s">
        <v>1</v>
      </c>
      <c r="J403" s="12" t="str">
        <f>IF(OR(TED[[#This Row],[SITUACAO]]=1,TED[[#This Row],[SITUACAO]]=9,TED[[#This Row],[SITUACAO]]=18),"ATIVO","AFASTADO")</f>
        <v>ATIVO</v>
      </c>
      <c r="K403" s="12">
        <v>1</v>
      </c>
    </row>
    <row r="404" spans="1:11" x14ac:dyDescent="0.25">
      <c r="A404" s="10">
        <v>5544</v>
      </c>
      <c r="B404" s="9" t="s">
        <v>431</v>
      </c>
      <c r="C404" s="12" t="str">
        <f>IFERROR(VLOOKUP(TED[[#This Row],[CENTRO]],'CENTRO DE CUSTO'!B:E,4,FALSE)," ")</f>
        <v>JOÃO CLEMENTONI</v>
      </c>
      <c r="D404" s="12">
        <v>87</v>
      </c>
      <c r="E404" s="16">
        <v>87097</v>
      </c>
      <c r="F404" s="10" t="s">
        <v>430</v>
      </c>
      <c r="G404" s="10">
        <v>220</v>
      </c>
      <c r="H404" s="11">
        <v>42156</v>
      </c>
      <c r="I404" s="10" t="s">
        <v>1</v>
      </c>
      <c r="J404" s="12" t="str">
        <f>IF(OR(TED[[#This Row],[SITUACAO]]=1,TED[[#This Row],[SITUACAO]]=9,TED[[#This Row],[SITUACAO]]=18),"ATIVO","AFASTADO")</f>
        <v>ATIVO</v>
      </c>
      <c r="K404" s="12">
        <v>1</v>
      </c>
    </row>
    <row r="405" spans="1:11" x14ac:dyDescent="0.25">
      <c r="A405" s="10">
        <v>5536</v>
      </c>
      <c r="B405" s="9" t="s">
        <v>114</v>
      </c>
      <c r="C405" s="12" t="str">
        <f>IFERROR(VLOOKUP(TED[[#This Row],[CENTRO]],'CENTRO DE CUSTO'!B:E,4,FALSE)," ")</f>
        <v>JOÃO CLEMENTONI</v>
      </c>
      <c r="D405" s="12">
        <v>87</v>
      </c>
      <c r="E405" s="16">
        <v>87131</v>
      </c>
      <c r="F405" s="10" t="s">
        <v>592</v>
      </c>
      <c r="G405" s="10">
        <v>220</v>
      </c>
      <c r="H405" s="11">
        <v>42156</v>
      </c>
      <c r="I405" s="10" t="s">
        <v>1</v>
      </c>
      <c r="J405" s="12" t="str">
        <f>IF(OR(TED[[#This Row],[SITUACAO]]=1,TED[[#This Row],[SITUACAO]]=9,TED[[#This Row],[SITUACAO]]=18),"ATIVO","AFASTADO")</f>
        <v>ATIVO</v>
      </c>
      <c r="K405" s="12">
        <v>1</v>
      </c>
    </row>
    <row r="406" spans="1:11" x14ac:dyDescent="0.25">
      <c r="A406" s="10">
        <v>16616</v>
      </c>
      <c r="B406" s="9" t="s">
        <v>312</v>
      </c>
      <c r="C406" s="12" t="str">
        <f>IFERROR(VLOOKUP(TED[[#This Row],[CENTRO]],'CENTRO DE CUSTO'!B:E,4,FALSE)," ")</f>
        <v>JOÃO CLEMENTONI</v>
      </c>
      <c r="D406" s="12">
        <v>87</v>
      </c>
      <c r="E406" s="16">
        <v>87073</v>
      </c>
      <c r="F406" s="10" t="s">
        <v>309</v>
      </c>
      <c r="G406" s="10">
        <v>220</v>
      </c>
      <c r="H406" s="11">
        <v>44362</v>
      </c>
      <c r="I406" s="10" t="s">
        <v>21</v>
      </c>
      <c r="J406" s="12" t="str">
        <f>IF(OR(TED[[#This Row],[SITUACAO]]=1,TED[[#This Row],[SITUACAO]]=9,TED[[#This Row],[SITUACAO]]=18),"ATIVO","AFASTADO")</f>
        <v>ATIVO</v>
      </c>
      <c r="K406" s="12">
        <v>1</v>
      </c>
    </row>
    <row r="407" spans="1:11" x14ac:dyDescent="0.25">
      <c r="A407" s="10">
        <v>5787</v>
      </c>
      <c r="B407" s="9" t="s">
        <v>244</v>
      </c>
      <c r="C407" s="12" t="str">
        <f>IFERROR(VLOOKUP(TED[[#This Row],[CENTRO]],'CENTRO DE CUSTO'!B:E,4,FALSE)," ")</f>
        <v>CARLOS FABRI</v>
      </c>
      <c r="D407" s="12">
        <v>87</v>
      </c>
      <c r="E407" s="16">
        <v>87060</v>
      </c>
      <c r="F407" s="10" t="s">
        <v>240</v>
      </c>
      <c r="G407" s="10">
        <v>220</v>
      </c>
      <c r="H407" s="11">
        <v>42177</v>
      </c>
      <c r="I407" s="10" t="s">
        <v>21</v>
      </c>
      <c r="J407" s="12" t="str">
        <f>IF(OR(TED[[#This Row],[SITUACAO]]=1,TED[[#This Row],[SITUACAO]]=9,TED[[#This Row],[SITUACAO]]=18),"ATIVO","AFASTADO")</f>
        <v>ATIVO</v>
      </c>
      <c r="K407" s="12">
        <v>1</v>
      </c>
    </row>
    <row r="408" spans="1:11" x14ac:dyDescent="0.25">
      <c r="A408" s="10">
        <v>3485</v>
      </c>
      <c r="B408" s="9" t="s">
        <v>241</v>
      </c>
      <c r="C408" s="12" t="str">
        <f>IFERROR(VLOOKUP(TED[[#This Row],[CENTRO]],'CENTRO DE CUSTO'!B:E,4,FALSE)," ")</f>
        <v>CARLOS FABRI</v>
      </c>
      <c r="D408" s="12">
        <v>87</v>
      </c>
      <c r="E408" s="16">
        <v>87060</v>
      </c>
      <c r="F408" s="10" t="s">
        <v>240</v>
      </c>
      <c r="G408" s="10">
        <v>220</v>
      </c>
      <c r="H408" s="11">
        <v>41694</v>
      </c>
      <c r="I408" s="10" t="s">
        <v>21</v>
      </c>
      <c r="J408" s="12" t="str">
        <f>IF(OR(TED[[#This Row],[SITUACAO]]=1,TED[[#This Row],[SITUACAO]]=9,TED[[#This Row],[SITUACAO]]=18),"ATIVO","AFASTADO")</f>
        <v>AFASTADO</v>
      </c>
      <c r="K408" s="12">
        <v>12</v>
      </c>
    </row>
    <row r="409" spans="1:11" x14ac:dyDescent="0.25">
      <c r="A409" s="10">
        <v>22040</v>
      </c>
      <c r="B409" s="9" t="s">
        <v>525</v>
      </c>
      <c r="C409" s="12" t="str">
        <f>IFERROR(VLOOKUP(TED[[#This Row],[CENTRO]],'CENTRO DE CUSTO'!B:E,4,FALSE)," ")</f>
        <v>VANDERSON</v>
      </c>
      <c r="D409" s="12">
        <v>87</v>
      </c>
      <c r="E409" s="16">
        <v>87114</v>
      </c>
      <c r="F409" s="10" t="s">
        <v>524</v>
      </c>
      <c r="G409" s="10">
        <v>150</v>
      </c>
      <c r="H409" s="11">
        <v>44693</v>
      </c>
      <c r="I409" s="10" t="s">
        <v>1</v>
      </c>
      <c r="J409" s="12" t="str">
        <f>IF(OR(TED[[#This Row],[SITUACAO]]=1,TED[[#This Row],[SITUACAO]]=9,TED[[#This Row],[SITUACAO]]=18),"ATIVO","AFASTADO")</f>
        <v>ATIVO</v>
      </c>
      <c r="K409" s="12">
        <v>1</v>
      </c>
    </row>
    <row r="410" spans="1:11" x14ac:dyDescent="0.25">
      <c r="A410" s="10">
        <v>9099</v>
      </c>
      <c r="B410" s="9" t="s">
        <v>398</v>
      </c>
      <c r="C410" s="12" t="str">
        <f>IFERROR(VLOOKUP(TED[[#This Row],[CENTRO]],'CENTRO DE CUSTO'!B:E,4,FALSE)," ")</f>
        <v>VANDERSON</v>
      </c>
      <c r="D410" s="12">
        <v>87</v>
      </c>
      <c r="E410" s="16">
        <v>87091</v>
      </c>
      <c r="F410" s="10" t="s">
        <v>399</v>
      </c>
      <c r="G410" s="10">
        <v>220</v>
      </c>
      <c r="H410" s="11">
        <v>42866</v>
      </c>
      <c r="I410" s="10" t="s">
        <v>1</v>
      </c>
      <c r="J410" s="12" t="str">
        <f>IF(OR(TED[[#This Row],[SITUACAO]]=1,TED[[#This Row],[SITUACAO]]=9,TED[[#This Row],[SITUACAO]]=18),"ATIVO","AFASTADO")</f>
        <v>ATIVO</v>
      </c>
      <c r="K410" s="12">
        <v>1</v>
      </c>
    </row>
    <row r="411" spans="1:11" x14ac:dyDescent="0.25">
      <c r="A411" s="10">
        <v>518</v>
      </c>
      <c r="B411" s="9" t="s">
        <v>618</v>
      </c>
      <c r="C411" s="12" t="str">
        <f>IFERROR(VLOOKUP(TED[[#This Row],[CENTRO]],'CENTRO DE CUSTO'!B:E,4,FALSE)," ")</f>
        <v>PAULO TORRES</v>
      </c>
      <c r="D411" s="12">
        <v>87</v>
      </c>
      <c r="E411" s="16">
        <v>87481</v>
      </c>
      <c r="F411" s="10" t="s">
        <v>613</v>
      </c>
      <c r="G411" s="10">
        <v>220</v>
      </c>
      <c r="H411" s="11">
        <v>40476</v>
      </c>
      <c r="I411" s="10" t="s">
        <v>604</v>
      </c>
      <c r="J411" s="12" t="str">
        <f>IF(OR(TED[[#This Row],[SITUACAO]]=1,TED[[#This Row],[SITUACAO]]=9,TED[[#This Row],[SITUACAO]]=18),"ATIVO","AFASTADO")</f>
        <v>ATIVO</v>
      </c>
      <c r="K411" s="12">
        <v>1</v>
      </c>
    </row>
    <row r="412" spans="1:11" x14ac:dyDescent="0.25">
      <c r="A412" s="10">
        <v>5630</v>
      </c>
      <c r="B412" s="9" t="s">
        <v>338</v>
      </c>
      <c r="C412" s="12" t="str">
        <f>IFERROR(VLOOKUP(TED[[#This Row],[CENTRO]],'CENTRO DE CUSTO'!B:E,4,FALSE)," ")</f>
        <v>DÉBORA GOBETTI</v>
      </c>
      <c r="D412" s="12">
        <v>87</v>
      </c>
      <c r="E412" s="16">
        <v>87078</v>
      </c>
      <c r="F412" s="10" t="s">
        <v>337</v>
      </c>
      <c r="G412" s="10">
        <v>220</v>
      </c>
      <c r="H412" s="11">
        <v>42156</v>
      </c>
      <c r="I412" s="10" t="s">
        <v>1</v>
      </c>
      <c r="J412" s="12" t="str">
        <f>IF(OR(TED[[#This Row],[SITUACAO]]=1,TED[[#This Row],[SITUACAO]]=9,TED[[#This Row],[SITUACAO]]=18),"ATIVO","AFASTADO")</f>
        <v>ATIVO</v>
      </c>
      <c r="K412" s="12">
        <v>1</v>
      </c>
    </row>
    <row r="413" spans="1:11" x14ac:dyDescent="0.25">
      <c r="A413" s="10">
        <v>5236</v>
      </c>
      <c r="B413" s="9" t="s">
        <v>328</v>
      </c>
      <c r="C413" s="12" t="str">
        <f>IFERROR(VLOOKUP(TED[[#This Row],[CENTRO]],'CENTRO DE CUSTO'!B:E,4,FALSE)," ")</f>
        <v>CARLOS FABRI</v>
      </c>
      <c r="D413" s="12">
        <v>87</v>
      </c>
      <c r="E413" s="16">
        <v>87076</v>
      </c>
      <c r="F413" s="10" t="s">
        <v>324</v>
      </c>
      <c r="G413" s="10">
        <v>220</v>
      </c>
      <c r="H413" s="11">
        <v>42156</v>
      </c>
      <c r="I413" s="10" t="s">
        <v>21</v>
      </c>
      <c r="J413" s="12" t="str">
        <f>IF(OR(TED[[#This Row],[SITUACAO]]=1,TED[[#This Row],[SITUACAO]]=9,TED[[#This Row],[SITUACAO]]=18),"ATIVO","AFASTADO")</f>
        <v>ATIVO</v>
      </c>
      <c r="K413" s="12">
        <v>1</v>
      </c>
    </row>
    <row r="414" spans="1:11" x14ac:dyDescent="0.25">
      <c r="A414" s="10">
        <v>2159</v>
      </c>
      <c r="B414" s="9" t="s">
        <v>102</v>
      </c>
      <c r="C414" s="12" t="str">
        <f>IFERROR(VLOOKUP(TED[[#This Row],[CENTRO]],'CENTRO DE CUSTO'!B:E,4,FALSE)," ")</f>
        <v>VANDERSON</v>
      </c>
      <c r="D414" s="12">
        <v>87</v>
      </c>
      <c r="E414" s="16">
        <v>87033</v>
      </c>
      <c r="F414" s="10" t="s">
        <v>103</v>
      </c>
      <c r="G414" s="10">
        <v>220</v>
      </c>
      <c r="H414" s="11">
        <v>41369</v>
      </c>
      <c r="I414" s="10" t="s">
        <v>1</v>
      </c>
      <c r="J414" s="12" t="str">
        <f>IF(OR(TED[[#This Row],[SITUACAO]]=1,TED[[#This Row],[SITUACAO]]=9,TED[[#This Row],[SITUACAO]]=18),"ATIVO","AFASTADO")</f>
        <v>ATIVO</v>
      </c>
      <c r="K414" s="12">
        <v>1</v>
      </c>
    </row>
    <row r="415" spans="1:11" x14ac:dyDescent="0.25">
      <c r="A415" s="10">
        <v>601</v>
      </c>
      <c r="B415" s="9" t="s">
        <v>465</v>
      </c>
      <c r="C415" s="12" t="str">
        <f>IFERROR(VLOOKUP(TED[[#This Row],[CENTRO]],'CENTRO DE CUSTO'!B:E,4,FALSE)," ")</f>
        <v>S/ SUPERVISOR</v>
      </c>
      <c r="D415" s="12">
        <v>87</v>
      </c>
      <c r="E415" s="16">
        <v>87103</v>
      </c>
      <c r="F415" s="10" t="s">
        <v>459</v>
      </c>
      <c r="G415" s="10">
        <v>220</v>
      </c>
      <c r="H415" s="11">
        <v>40476</v>
      </c>
      <c r="I415" s="10" t="s">
        <v>21</v>
      </c>
      <c r="J415" s="12" t="str">
        <f>IF(OR(TED[[#This Row],[SITUACAO]]=1,TED[[#This Row],[SITUACAO]]=9,TED[[#This Row],[SITUACAO]]=18),"ATIVO","AFASTADO")</f>
        <v>AFASTADO</v>
      </c>
      <c r="K415" s="12">
        <v>6</v>
      </c>
    </row>
    <row r="416" spans="1:11" x14ac:dyDescent="0.25">
      <c r="A416" s="10">
        <v>1051</v>
      </c>
      <c r="B416" s="9" t="s">
        <v>356</v>
      </c>
      <c r="C416" s="12" t="str">
        <f>IFERROR(VLOOKUP(TED[[#This Row],[CENTRO]],'CENTRO DE CUSTO'!B:E,4,FALSE)," ")</f>
        <v>DÉBORA GOBETTI</v>
      </c>
      <c r="D416" s="12">
        <v>87</v>
      </c>
      <c r="E416" s="16">
        <v>87081</v>
      </c>
      <c r="F416" s="10" t="s">
        <v>353</v>
      </c>
      <c r="G416" s="10">
        <v>220</v>
      </c>
      <c r="H416" s="11">
        <v>40850</v>
      </c>
      <c r="I416" s="10" t="s">
        <v>21</v>
      </c>
      <c r="J416" s="12" t="str">
        <f>IF(OR(TED[[#This Row],[SITUACAO]]=1,TED[[#This Row],[SITUACAO]]=9,TED[[#This Row],[SITUACAO]]=18),"ATIVO","AFASTADO")</f>
        <v>ATIVO</v>
      </c>
      <c r="K416" s="12">
        <v>1</v>
      </c>
    </row>
    <row r="417" spans="1:11" x14ac:dyDescent="0.25">
      <c r="A417" s="10">
        <v>5449</v>
      </c>
      <c r="B417" s="9" t="s">
        <v>587</v>
      </c>
      <c r="C417" s="12" t="str">
        <f>IFERROR(VLOOKUP(TED[[#This Row],[CENTRO]],'CENTRO DE CUSTO'!B:E,4,FALSE)," ")</f>
        <v>S/ SUPERVISOR</v>
      </c>
      <c r="D417" s="12">
        <v>87</v>
      </c>
      <c r="E417" s="16">
        <v>87129</v>
      </c>
      <c r="F417" s="10" t="s">
        <v>582</v>
      </c>
      <c r="G417" s="10">
        <v>220</v>
      </c>
      <c r="H417" s="11">
        <v>42156</v>
      </c>
      <c r="I417" s="10" t="s">
        <v>21</v>
      </c>
      <c r="J417" s="12" t="str">
        <f>IF(OR(TED[[#This Row],[SITUACAO]]=1,TED[[#This Row],[SITUACAO]]=9,TED[[#This Row],[SITUACAO]]=18),"ATIVO","AFASTADO")</f>
        <v>ATIVO</v>
      </c>
      <c r="K417" s="12">
        <v>1</v>
      </c>
    </row>
    <row r="418" spans="1:11" x14ac:dyDescent="0.25">
      <c r="A418" s="10">
        <v>5447</v>
      </c>
      <c r="B418" s="9" t="s">
        <v>512</v>
      </c>
      <c r="C418" s="12" t="str">
        <f>IFERROR(VLOOKUP(TED[[#This Row],[CENTRO]],'CENTRO DE CUSTO'!B:E,4,FALSE)," ")</f>
        <v>S/ SUPERVISOR</v>
      </c>
      <c r="D418" s="12">
        <v>87</v>
      </c>
      <c r="E418" s="16">
        <v>87111</v>
      </c>
      <c r="F418" s="10" t="s">
        <v>506</v>
      </c>
      <c r="G418" s="10">
        <v>220</v>
      </c>
      <c r="H418" s="11">
        <v>42156</v>
      </c>
      <c r="I418" s="10" t="s">
        <v>1</v>
      </c>
      <c r="J418" s="12" t="str">
        <f>IF(OR(TED[[#This Row],[SITUACAO]]=1,TED[[#This Row],[SITUACAO]]=9,TED[[#This Row],[SITUACAO]]=18),"ATIVO","AFASTADO")</f>
        <v>ATIVO</v>
      </c>
      <c r="K418" s="12">
        <v>1</v>
      </c>
    </row>
    <row r="419" spans="1:11" x14ac:dyDescent="0.25">
      <c r="A419" s="10">
        <v>9751</v>
      </c>
      <c r="B419" s="9" t="s">
        <v>372</v>
      </c>
      <c r="C419" s="12" t="str">
        <f>IFERROR(VLOOKUP(TED[[#This Row],[CENTRO]],'CENTRO DE CUSTO'!B:E,4,FALSE)," ")</f>
        <v>JOÃO CLEMENTONI</v>
      </c>
      <c r="D419" s="12">
        <v>87</v>
      </c>
      <c r="E419" s="16">
        <v>87085</v>
      </c>
      <c r="F419" s="10" t="s">
        <v>370</v>
      </c>
      <c r="G419" s="10">
        <v>220</v>
      </c>
      <c r="H419" s="11">
        <v>43040</v>
      </c>
      <c r="I419" s="10" t="s">
        <v>21</v>
      </c>
      <c r="J419" s="12" t="str">
        <f>IF(OR(TED[[#This Row],[SITUACAO]]=1,TED[[#This Row],[SITUACAO]]=9,TED[[#This Row],[SITUACAO]]=18),"ATIVO","AFASTADO")</f>
        <v>AFASTADO</v>
      </c>
      <c r="K419" s="12">
        <v>6</v>
      </c>
    </row>
    <row r="420" spans="1:11" x14ac:dyDescent="0.25">
      <c r="A420" s="10">
        <v>39543</v>
      </c>
      <c r="B420" s="9" t="s">
        <v>591</v>
      </c>
      <c r="C420" s="12" t="str">
        <f>IFERROR(VLOOKUP(TED[[#This Row],[CENTRO]],'CENTRO DE CUSTO'!B:E,4,FALSE)," ")</f>
        <v>DÉBORA GOBETTI</v>
      </c>
      <c r="D420" s="12">
        <v>87</v>
      </c>
      <c r="E420" s="16">
        <v>87130</v>
      </c>
      <c r="F420" s="10" t="s">
        <v>589</v>
      </c>
      <c r="G420" s="10">
        <v>220</v>
      </c>
      <c r="H420" s="11">
        <v>45852</v>
      </c>
      <c r="I420" s="10" t="s">
        <v>21</v>
      </c>
      <c r="J420" s="12" t="str">
        <f>IF(OR(TED[[#This Row],[SITUACAO]]=1,TED[[#This Row],[SITUACAO]]=9,TED[[#This Row],[SITUACAO]]=18),"ATIVO","AFASTADO")</f>
        <v>ATIVO</v>
      </c>
      <c r="K420" s="12">
        <v>1</v>
      </c>
    </row>
    <row r="421" spans="1:11" x14ac:dyDescent="0.25">
      <c r="A421" s="10">
        <v>5224</v>
      </c>
      <c r="B421" s="9" t="s">
        <v>220</v>
      </c>
      <c r="C421" s="12" t="str">
        <f>IFERROR(VLOOKUP(TED[[#This Row],[CENTRO]],'CENTRO DE CUSTO'!B:E,4,FALSE)," ")</f>
        <v>CARLOS FABRI</v>
      </c>
      <c r="D421" s="12">
        <v>87</v>
      </c>
      <c r="E421" s="16">
        <v>87056</v>
      </c>
      <c r="F421" s="10" t="s">
        <v>218</v>
      </c>
      <c r="G421" s="10">
        <v>220</v>
      </c>
      <c r="H421" s="11">
        <v>42156</v>
      </c>
      <c r="I421" s="10" t="s">
        <v>21</v>
      </c>
      <c r="J421" s="12" t="str">
        <f>IF(OR(TED[[#This Row],[SITUACAO]]=1,TED[[#This Row],[SITUACAO]]=9,TED[[#This Row],[SITUACAO]]=18),"ATIVO","AFASTADO")</f>
        <v>ATIVO</v>
      </c>
      <c r="K421" s="12">
        <v>1</v>
      </c>
    </row>
    <row r="422" spans="1:11" x14ac:dyDescent="0.25">
      <c r="A422" s="10">
        <v>5458</v>
      </c>
      <c r="B422" s="9" t="s">
        <v>321</v>
      </c>
      <c r="C422" s="12" t="str">
        <f>IFERROR(VLOOKUP(TED[[#This Row],[CENTRO]],'CENTRO DE CUSTO'!B:E,4,FALSE)," ")</f>
        <v>VANDERSON</v>
      </c>
      <c r="D422" s="12">
        <v>87</v>
      </c>
      <c r="E422" s="16">
        <v>87075</v>
      </c>
      <c r="F422" s="10" t="s">
        <v>319</v>
      </c>
      <c r="G422" s="10">
        <v>220</v>
      </c>
      <c r="H422" s="11">
        <v>42156</v>
      </c>
      <c r="I422" s="10" t="s">
        <v>1</v>
      </c>
      <c r="J422" s="12" t="str">
        <f>IF(OR(TED[[#This Row],[SITUACAO]]=1,TED[[#This Row],[SITUACAO]]=9,TED[[#This Row],[SITUACAO]]=18),"ATIVO","AFASTADO")</f>
        <v>ATIVO</v>
      </c>
      <c r="K422" s="12">
        <v>1</v>
      </c>
    </row>
    <row r="423" spans="1:11" x14ac:dyDescent="0.25">
      <c r="A423" s="10">
        <v>5257</v>
      </c>
      <c r="B423" s="9" t="s">
        <v>156</v>
      </c>
      <c r="C423" s="12" t="str">
        <f>IFERROR(VLOOKUP(TED[[#This Row],[CENTRO]],'CENTRO DE CUSTO'!B:E,4,FALSE)," ")</f>
        <v>S/ SUPERVISOR</v>
      </c>
      <c r="D423" s="12">
        <v>87</v>
      </c>
      <c r="E423" s="16">
        <v>87043</v>
      </c>
      <c r="F423" s="10" t="s">
        <v>154</v>
      </c>
      <c r="G423" s="10">
        <v>220</v>
      </c>
      <c r="H423" s="11">
        <v>42156</v>
      </c>
      <c r="I423" s="10" t="s">
        <v>1</v>
      </c>
      <c r="J423" s="12" t="str">
        <f>IF(OR(TED[[#This Row],[SITUACAO]]=1,TED[[#This Row],[SITUACAO]]=9,TED[[#This Row],[SITUACAO]]=18),"ATIVO","AFASTADO")</f>
        <v>AFASTADO</v>
      </c>
      <c r="K423" s="12">
        <v>6</v>
      </c>
    </row>
    <row r="424" spans="1:11" x14ac:dyDescent="0.25">
      <c r="A424" s="10">
        <v>8958</v>
      </c>
      <c r="B424" s="9" t="s">
        <v>472</v>
      </c>
      <c r="C424" s="12" t="str">
        <f>IFERROR(VLOOKUP(TED[[#This Row],[CENTRO]],'CENTRO DE CUSTO'!B:E,4,FALSE)," ")</f>
        <v>DÉBORA GOBETTI</v>
      </c>
      <c r="D424" s="12">
        <v>87</v>
      </c>
      <c r="E424" s="16">
        <v>87105</v>
      </c>
      <c r="F424" s="10" t="s">
        <v>473</v>
      </c>
      <c r="G424" s="10">
        <v>220</v>
      </c>
      <c r="H424" s="11">
        <v>42779</v>
      </c>
      <c r="I424" s="10" t="s">
        <v>1</v>
      </c>
      <c r="J424" s="12" t="str">
        <f>IF(OR(TED[[#This Row],[SITUACAO]]=1,TED[[#This Row],[SITUACAO]]=9,TED[[#This Row],[SITUACAO]]=18),"ATIVO","AFASTADO")</f>
        <v>ATIVO</v>
      </c>
      <c r="K424" s="12">
        <v>1</v>
      </c>
    </row>
    <row r="425" spans="1:11" x14ac:dyDescent="0.25">
      <c r="A425" s="10">
        <v>11209</v>
      </c>
      <c r="B425" s="9" t="s">
        <v>134</v>
      </c>
      <c r="C425" s="12" t="str">
        <f>IFERROR(VLOOKUP(TED[[#This Row],[CENTRO]],'CENTRO DE CUSTO'!B:E,4,FALSE)," ")</f>
        <v>PAULO TORRES</v>
      </c>
      <c r="D425" s="12">
        <v>87</v>
      </c>
      <c r="E425" s="16">
        <v>87200</v>
      </c>
      <c r="F425" s="10" t="s">
        <v>599</v>
      </c>
      <c r="G425" s="10">
        <v>220</v>
      </c>
      <c r="H425" s="11">
        <v>43375</v>
      </c>
      <c r="I425" s="10" t="s">
        <v>21</v>
      </c>
      <c r="J425" s="12" t="str">
        <f>IF(OR(TED[[#This Row],[SITUACAO]]=1,TED[[#This Row],[SITUACAO]]=9,TED[[#This Row],[SITUACAO]]=18),"ATIVO","AFASTADO")</f>
        <v>ATIVO</v>
      </c>
      <c r="K425" s="12">
        <v>1</v>
      </c>
    </row>
    <row r="426" spans="1:11" x14ac:dyDescent="0.25">
      <c r="A426" s="10">
        <v>28024</v>
      </c>
      <c r="B426" s="9" t="s">
        <v>101</v>
      </c>
      <c r="C426" s="12" t="str">
        <f>IFERROR(VLOOKUP(TED[[#This Row],[CENTRO]],'CENTRO DE CUSTO'!B:E,4,FALSE)," ")</f>
        <v>DÉBORA GOBETTI</v>
      </c>
      <c r="D426" s="12">
        <v>87</v>
      </c>
      <c r="E426" s="16">
        <v>87032</v>
      </c>
      <c r="F426" s="10" t="s">
        <v>98</v>
      </c>
      <c r="G426" s="10">
        <v>220</v>
      </c>
      <c r="H426" s="11">
        <v>45139</v>
      </c>
      <c r="I426" s="10" t="s">
        <v>21</v>
      </c>
      <c r="J426" s="12" t="str">
        <f>IF(OR(TED[[#This Row],[SITUACAO]]=1,TED[[#This Row],[SITUACAO]]=9,TED[[#This Row],[SITUACAO]]=18),"ATIVO","AFASTADO")</f>
        <v>ATIVO</v>
      </c>
      <c r="K426" s="12">
        <v>1</v>
      </c>
    </row>
    <row r="427" spans="1:11" x14ac:dyDescent="0.25">
      <c r="A427" s="10">
        <v>5248</v>
      </c>
      <c r="B427" s="9" t="s">
        <v>163</v>
      </c>
      <c r="C427" s="12" t="str">
        <f>IFERROR(VLOOKUP(TED[[#This Row],[CENTRO]],'CENTRO DE CUSTO'!B:E,4,FALSE)," ")</f>
        <v>CARLOS FABRI</v>
      </c>
      <c r="D427" s="12">
        <v>87</v>
      </c>
      <c r="E427" s="16">
        <v>87044</v>
      </c>
      <c r="F427" s="10" t="s">
        <v>161</v>
      </c>
      <c r="G427" s="10">
        <v>220</v>
      </c>
      <c r="H427" s="11">
        <v>42156</v>
      </c>
      <c r="I427" s="10" t="s">
        <v>1</v>
      </c>
      <c r="J427" s="12" t="str">
        <f>IF(OR(TED[[#This Row],[SITUACAO]]=1,TED[[#This Row],[SITUACAO]]=9,TED[[#This Row],[SITUACAO]]=18),"ATIVO","AFASTADO")</f>
        <v>ATIVO</v>
      </c>
      <c r="K427" s="12">
        <v>1</v>
      </c>
    </row>
    <row r="428" spans="1:11" x14ac:dyDescent="0.25">
      <c r="A428" s="10">
        <v>16458</v>
      </c>
      <c r="B428" s="9" t="s">
        <v>585</v>
      </c>
      <c r="C428" s="12" t="str">
        <f>IFERROR(VLOOKUP(TED[[#This Row],[CENTRO]],'CENTRO DE CUSTO'!B:E,4,FALSE)," ")</f>
        <v>S/ SUPERVISOR</v>
      </c>
      <c r="D428" s="12">
        <v>87</v>
      </c>
      <c r="E428" s="16">
        <v>87129</v>
      </c>
      <c r="F428" s="10" t="s">
        <v>582</v>
      </c>
      <c r="G428" s="10">
        <v>150</v>
      </c>
      <c r="H428" s="11">
        <v>44355</v>
      </c>
      <c r="I428" s="10" t="s">
        <v>1</v>
      </c>
      <c r="J428" s="12" t="str">
        <f>IF(OR(TED[[#This Row],[SITUACAO]]=1,TED[[#This Row],[SITUACAO]]=9,TED[[#This Row],[SITUACAO]]=18),"ATIVO","AFASTADO")</f>
        <v>ATIVO</v>
      </c>
      <c r="K428" s="12">
        <v>1</v>
      </c>
    </row>
    <row r="429" spans="1:11" x14ac:dyDescent="0.25">
      <c r="A429" s="10">
        <v>10528</v>
      </c>
      <c r="B429" s="9" t="s">
        <v>250</v>
      </c>
      <c r="C429" s="12" t="str">
        <f>IFERROR(VLOOKUP(TED[[#This Row],[CENTRO]],'CENTRO DE CUSTO'!B:E,4,FALSE)," ")</f>
        <v>VANDERSON</v>
      </c>
      <c r="D429" s="12">
        <v>87</v>
      </c>
      <c r="E429" s="16">
        <v>87061</v>
      </c>
      <c r="F429" s="10" t="s">
        <v>247</v>
      </c>
      <c r="G429" s="10">
        <v>220</v>
      </c>
      <c r="H429" s="11">
        <v>43228</v>
      </c>
      <c r="I429" s="10" t="s">
        <v>1</v>
      </c>
      <c r="J429" s="12" t="str">
        <f>IF(OR(TED[[#This Row],[SITUACAO]]=1,TED[[#This Row],[SITUACAO]]=9,TED[[#This Row],[SITUACAO]]=18),"ATIVO","AFASTADO")</f>
        <v>ATIVO</v>
      </c>
      <c r="K429" s="12">
        <v>1</v>
      </c>
    </row>
    <row r="430" spans="1:11" x14ac:dyDescent="0.25">
      <c r="A430" s="10">
        <v>4286</v>
      </c>
      <c r="B430" s="9" t="s">
        <v>620</v>
      </c>
      <c r="C430" s="12" t="str">
        <f>IFERROR(VLOOKUP(TED[[#This Row],[CENTRO]],'CENTRO DE CUSTO'!B:E,4,FALSE)," ")</f>
        <v>PAULO TORRES</v>
      </c>
      <c r="D430" s="12">
        <v>87</v>
      </c>
      <c r="E430" s="16">
        <v>87481</v>
      </c>
      <c r="F430" s="10" t="s">
        <v>613</v>
      </c>
      <c r="G430" s="10">
        <v>220</v>
      </c>
      <c r="H430" s="11">
        <v>41871</v>
      </c>
      <c r="I430" s="10" t="s">
        <v>604</v>
      </c>
      <c r="J430" s="12" t="str">
        <f>IF(OR(TED[[#This Row],[SITUACAO]]=1,TED[[#This Row],[SITUACAO]]=9,TED[[#This Row],[SITUACAO]]=18),"ATIVO","AFASTADO")</f>
        <v>ATIVO</v>
      </c>
      <c r="K430" s="12">
        <v>1</v>
      </c>
    </row>
    <row r="431" spans="1:11" x14ac:dyDescent="0.25">
      <c r="A431" s="10">
        <v>31567</v>
      </c>
      <c r="B431" s="9" t="s">
        <v>179</v>
      </c>
      <c r="C431" s="12" t="str">
        <f>IFERROR(VLOOKUP(TED[[#This Row],[CENTRO]],'CENTRO DE CUSTO'!B:E,4,FALSE)," ")</f>
        <v>DÉBORA GOBETTI</v>
      </c>
      <c r="D431" s="12">
        <v>87</v>
      </c>
      <c r="E431" s="16">
        <v>87046</v>
      </c>
      <c r="F431" s="10" t="s">
        <v>170</v>
      </c>
      <c r="G431" s="10">
        <v>150</v>
      </c>
      <c r="H431" s="11">
        <v>45362</v>
      </c>
      <c r="I431" s="10" t="s">
        <v>1</v>
      </c>
      <c r="J431" s="12" t="str">
        <f>IF(OR(TED[[#This Row],[SITUACAO]]=1,TED[[#This Row],[SITUACAO]]=9,TED[[#This Row],[SITUACAO]]=18),"ATIVO","AFASTADO")</f>
        <v>AFASTADO</v>
      </c>
      <c r="K431" s="12">
        <v>12</v>
      </c>
    </row>
    <row r="432" spans="1:11" x14ac:dyDescent="0.25">
      <c r="A432" s="10">
        <v>5570</v>
      </c>
      <c r="B432" s="9" t="s">
        <v>404</v>
      </c>
      <c r="C432" s="12" t="str">
        <f>IFERROR(VLOOKUP(TED[[#This Row],[CENTRO]],'CENTRO DE CUSTO'!B:E,4,FALSE)," ")</f>
        <v>S/ SUPERVISOR</v>
      </c>
      <c r="D432" s="12">
        <v>87</v>
      </c>
      <c r="E432" s="16">
        <v>87092</v>
      </c>
      <c r="F432" s="10" t="s">
        <v>405</v>
      </c>
      <c r="G432" s="10">
        <v>220</v>
      </c>
      <c r="H432" s="11">
        <v>42156</v>
      </c>
      <c r="I432" s="10" t="s">
        <v>1</v>
      </c>
      <c r="J432" s="12" t="str">
        <f>IF(OR(TED[[#This Row],[SITUACAO]]=1,TED[[#This Row],[SITUACAO]]=9,TED[[#This Row],[SITUACAO]]=18),"ATIVO","AFASTADO")</f>
        <v>ATIVO</v>
      </c>
      <c r="K432" s="12">
        <v>1</v>
      </c>
    </row>
    <row r="433" spans="1:11" x14ac:dyDescent="0.25">
      <c r="A433" s="10">
        <v>29825</v>
      </c>
      <c r="B433" s="9" t="s">
        <v>279</v>
      </c>
      <c r="C433" s="12" t="str">
        <f>IFERROR(VLOOKUP(TED[[#This Row],[CENTRO]],'CENTRO DE CUSTO'!B:E,4,FALSE)," ")</f>
        <v>DÉBORA GOBETTI</v>
      </c>
      <c r="D433" s="12">
        <v>87</v>
      </c>
      <c r="E433" s="16">
        <v>87067</v>
      </c>
      <c r="F433" s="10" t="s">
        <v>278</v>
      </c>
      <c r="G433" s="10">
        <v>220</v>
      </c>
      <c r="H433" s="11">
        <v>45313</v>
      </c>
      <c r="I433" s="10" t="s">
        <v>21</v>
      </c>
      <c r="J433" s="12" t="str">
        <f>IF(OR(TED[[#This Row],[SITUACAO]]=1,TED[[#This Row],[SITUACAO]]=9,TED[[#This Row],[SITUACAO]]=18),"ATIVO","AFASTADO")</f>
        <v>ATIVO</v>
      </c>
      <c r="K433" s="12">
        <v>1</v>
      </c>
    </row>
    <row r="434" spans="1:11" x14ac:dyDescent="0.25">
      <c r="A434" s="10">
        <v>5507</v>
      </c>
      <c r="B434" s="9" t="s">
        <v>368</v>
      </c>
      <c r="C434" s="12" t="str">
        <f>IFERROR(VLOOKUP(TED[[#This Row],[CENTRO]],'CENTRO DE CUSTO'!B:E,4,FALSE)," ")</f>
        <v>VANDERSON</v>
      </c>
      <c r="D434" s="12">
        <v>87</v>
      </c>
      <c r="E434" s="16">
        <v>87084</v>
      </c>
      <c r="F434" s="10" t="s">
        <v>367</v>
      </c>
      <c r="G434" s="10">
        <v>220</v>
      </c>
      <c r="H434" s="11">
        <v>42156</v>
      </c>
      <c r="I434" s="10" t="s">
        <v>1</v>
      </c>
      <c r="J434" s="12" t="str">
        <f>IF(OR(TED[[#This Row],[SITUACAO]]=1,TED[[#This Row],[SITUACAO]]=9,TED[[#This Row],[SITUACAO]]=18),"ATIVO","AFASTADO")</f>
        <v>ATIVO</v>
      </c>
      <c r="K434" s="12">
        <v>1</v>
      </c>
    </row>
    <row r="435" spans="1:11" x14ac:dyDescent="0.25">
      <c r="A435" s="10">
        <v>10350</v>
      </c>
      <c r="B435" s="9" t="s">
        <v>600</v>
      </c>
      <c r="C435" s="12" t="str">
        <f>IFERROR(VLOOKUP(TED[[#This Row],[CENTRO]],'CENTRO DE CUSTO'!B:E,4,FALSE)," ")</f>
        <v>PAULO TORRES</v>
      </c>
      <c r="D435" s="12">
        <v>87</v>
      </c>
      <c r="E435" s="16">
        <v>87200</v>
      </c>
      <c r="F435" s="10" t="s">
        <v>599</v>
      </c>
      <c r="G435" s="10">
        <v>220</v>
      </c>
      <c r="H435" s="11">
        <v>43160</v>
      </c>
      <c r="I435" s="10" t="s">
        <v>1</v>
      </c>
      <c r="J435" s="12" t="str">
        <f>IF(OR(TED[[#This Row],[SITUACAO]]=1,TED[[#This Row],[SITUACAO]]=9,TED[[#This Row],[SITUACAO]]=18),"ATIVO","AFASTADO")</f>
        <v>AFASTADO</v>
      </c>
      <c r="K435" s="12">
        <v>6</v>
      </c>
    </row>
    <row r="436" spans="1:11" x14ac:dyDescent="0.25">
      <c r="A436" s="10">
        <v>26122</v>
      </c>
      <c r="B436" s="9" t="s">
        <v>481</v>
      </c>
      <c r="C436" s="12" t="str">
        <f>IFERROR(VLOOKUP(TED[[#This Row],[CENTRO]],'CENTRO DE CUSTO'!B:E,4,FALSE)," ")</f>
        <v>DÉBORA GOBETTI</v>
      </c>
      <c r="D436" s="12">
        <v>87</v>
      </c>
      <c r="E436" s="16">
        <v>87106</v>
      </c>
      <c r="F436" s="10" t="s">
        <v>477</v>
      </c>
      <c r="G436" s="10">
        <v>220</v>
      </c>
      <c r="H436" s="11">
        <v>45019</v>
      </c>
      <c r="I436" s="10" t="s">
        <v>1</v>
      </c>
      <c r="J436" s="12" t="str">
        <f>IF(OR(TED[[#This Row],[SITUACAO]]=1,TED[[#This Row],[SITUACAO]]=9,TED[[#This Row],[SITUACAO]]=18),"ATIVO","AFASTADO")</f>
        <v>ATIVO</v>
      </c>
      <c r="K436" s="12">
        <v>1</v>
      </c>
    </row>
    <row r="437" spans="1:11" x14ac:dyDescent="0.25">
      <c r="A437" s="10">
        <v>16495</v>
      </c>
      <c r="B437" s="9" t="s">
        <v>531</v>
      </c>
      <c r="C437" s="12" t="str">
        <f>IFERROR(VLOOKUP(TED[[#This Row],[CENTRO]],'CENTRO DE CUSTO'!B:E,4,FALSE)," ")</f>
        <v>S/ SUPERVISOR</v>
      </c>
      <c r="D437" s="12">
        <v>87</v>
      </c>
      <c r="E437" s="16">
        <v>87115</v>
      </c>
      <c r="F437" s="10" t="s">
        <v>528</v>
      </c>
      <c r="G437" s="10">
        <v>150</v>
      </c>
      <c r="H437" s="11">
        <v>44361</v>
      </c>
      <c r="I437" s="10" t="s">
        <v>1</v>
      </c>
      <c r="J437" s="12" t="str">
        <f>IF(OR(TED[[#This Row],[SITUACAO]]=1,TED[[#This Row],[SITUACAO]]=9,TED[[#This Row],[SITUACAO]]=18),"ATIVO","AFASTADO")</f>
        <v>ATIVO</v>
      </c>
      <c r="K437" s="12">
        <v>1</v>
      </c>
    </row>
    <row r="438" spans="1:11" x14ac:dyDescent="0.25">
      <c r="A438" s="10">
        <v>5365</v>
      </c>
      <c r="B438" s="9" t="s">
        <v>487</v>
      </c>
      <c r="C438" s="12" t="str">
        <f>IFERROR(VLOOKUP(TED[[#This Row],[CENTRO]],'CENTRO DE CUSTO'!B:E,4,FALSE)," ")</f>
        <v>DÉBORA GOBETTI</v>
      </c>
      <c r="D438" s="12">
        <v>87</v>
      </c>
      <c r="E438" s="16">
        <v>87107</v>
      </c>
      <c r="F438" s="10" t="s">
        <v>484</v>
      </c>
      <c r="G438" s="10">
        <v>220</v>
      </c>
      <c r="H438" s="11">
        <v>42156</v>
      </c>
      <c r="I438" s="10" t="s">
        <v>21</v>
      </c>
      <c r="J438" s="12" t="str">
        <f>IF(OR(TED[[#This Row],[SITUACAO]]=1,TED[[#This Row],[SITUACAO]]=9,TED[[#This Row],[SITUACAO]]=18),"ATIVO","AFASTADO")</f>
        <v>ATIVO</v>
      </c>
      <c r="K438" s="12">
        <v>1</v>
      </c>
    </row>
    <row r="439" spans="1:11" x14ac:dyDescent="0.25">
      <c r="A439" s="10">
        <v>5426</v>
      </c>
      <c r="B439" s="9" t="s">
        <v>373</v>
      </c>
      <c r="C439" s="12" t="str">
        <f>IFERROR(VLOOKUP(TED[[#This Row],[CENTRO]],'CENTRO DE CUSTO'!B:E,4,FALSE)," ")</f>
        <v>JOÃO CLEMENTONI</v>
      </c>
      <c r="D439" s="12">
        <v>87</v>
      </c>
      <c r="E439" s="16">
        <v>87085</v>
      </c>
      <c r="F439" s="10" t="s">
        <v>370</v>
      </c>
      <c r="G439" s="10">
        <v>220</v>
      </c>
      <c r="H439" s="11">
        <v>42156</v>
      </c>
      <c r="I439" s="10" t="s">
        <v>1</v>
      </c>
      <c r="J439" s="12" t="str">
        <f>IF(OR(TED[[#This Row],[SITUACAO]]=1,TED[[#This Row],[SITUACAO]]=9,TED[[#This Row],[SITUACAO]]=18),"ATIVO","AFASTADO")</f>
        <v>ATIVO</v>
      </c>
      <c r="K439" s="12">
        <v>1</v>
      </c>
    </row>
    <row r="440" spans="1:11" x14ac:dyDescent="0.25">
      <c r="A440" s="10">
        <v>5275</v>
      </c>
      <c r="B440" s="9" t="s">
        <v>447</v>
      </c>
      <c r="C440" s="12" t="str">
        <f>IFERROR(VLOOKUP(TED[[#This Row],[CENTRO]],'CENTRO DE CUSTO'!B:E,4,FALSE)," ")</f>
        <v>CARLOS FABRI</v>
      </c>
      <c r="D440" s="12">
        <v>87</v>
      </c>
      <c r="E440" s="16">
        <v>87100</v>
      </c>
      <c r="F440" s="10" t="s">
        <v>448</v>
      </c>
      <c r="G440" s="10">
        <v>220</v>
      </c>
      <c r="H440" s="11">
        <v>42156</v>
      </c>
      <c r="I440" s="10" t="s">
        <v>1</v>
      </c>
      <c r="J440" s="12" t="str">
        <f>IF(OR(TED[[#This Row],[SITUACAO]]=1,TED[[#This Row],[SITUACAO]]=9,TED[[#This Row],[SITUACAO]]=18),"ATIVO","AFASTADO")</f>
        <v>ATIVO</v>
      </c>
      <c r="K440" s="12">
        <v>1</v>
      </c>
    </row>
    <row r="441" spans="1:11" x14ac:dyDescent="0.25">
      <c r="A441" s="10">
        <v>5439</v>
      </c>
      <c r="B441" s="9" t="s">
        <v>369</v>
      </c>
      <c r="C441" s="12" t="str">
        <f>IFERROR(VLOOKUP(TED[[#This Row],[CENTRO]],'CENTRO DE CUSTO'!B:E,4,FALSE)," ")</f>
        <v>JOÃO CLEMENTONI</v>
      </c>
      <c r="D441" s="12">
        <v>87</v>
      </c>
      <c r="E441" s="16">
        <v>87085</v>
      </c>
      <c r="F441" s="10" t="s">
        <v>370</v>
      </c>
      <c r="G441" s="10">
        <v>220</v>
      </c>
      <c r="H441" s="11">
        <v>42156</v>
      </c>
      <c r="I441" s="10" t="s">
        <v>1</v>
      </c>
      <c r="J441" s="12" t="str">
        <f>IF(OR(TED[[#This Row],[SITUACAO]]=1,TED[[#This Row],[SITUACAO]]=9,TED[[#This Row],[SITUACAO]]=18),"ATIVO","AFASTADO")</f>
        <v>ATIVO</v>
      </c>
      <c r="K441" s="12">
        <v>1</v>
      </c>
    </row>
    <row r="442" spans="1:11" x14ac:dyDescent="0.25">
      <c r="A442" s="10">
        <v>6709</v>
      </c>
      <c r="B442" s="9" t="s">
        <v>77</v>
      </c>
      <c r="C442" s="12" t="str">
        <f>IFERROR(VLOOKUP(TED[[#This Row],[CENTRO]],'CENTRO DE CUSTO'!B:E,4,FALSE)," ")</f>
        <v>DÉBORA GOBETTI</v>
      </c>
      <c r="D442" s="12">
        <v>87</v>
      </c>
      <c r="E442" s="16">
        <v>87026</v>
      </c>
      <c r="F442" s="10" t="s">
        <v>76</v>
      </c>
      <c r="G442" s="10">
        <v>220</v>
      </c>
      <c r="H442" s="11">
        <v>42339</v>
      </c>
      <c r="I442" s="10" t="s">
        <v>21</v>
      </c>
      <c r="J442" s="12" t="str">
        <f>IF(OR(TED[[#This Row],[SITUACAO]]=1,TED[[#This Row],[SITUACAO]]=9,TED[[#This Row],[SITUACAO]]=18),"ATIVO","AFASTADO")</f>
        <v>ATIVO</v>
      </c>
      <c r="K442" s="12">
        <v>1</v>
      </c>
    </row>
    <row r="443" spans="1:11" x14ac:dyDescent="0.25">
      <c r="A443" s="10">
        <v>8699</v>
      </c>
      <c r="B443" s="9" t="s">
        <v>11</v>
      </c>
      <c r="C443" s="12" t="str">
        <f>IFERROR(VLOOKUP(TED[[#This Row],[CENTRO]],'CENTRO DE CUSTO'!B:E,4,FALSE)," ")</f>
        <v>S/ SUPERVISOR</v>
      </c>
      <c r="D443" s="12">
        <v>87</v>
      </c>
      <c r="E443" s="16">
        <v>87007</v>
      </c>
      <c r="F443" s="10" t="s">
        <v>12</v>
      </c>
      <c r="G443" s="10">
        <v>220</v>
      </c>
      <c r="H443" s="11">
        <v>42761</v>
      </c>
      <c r="I443" s="10" t="s">
        <v>1</v>
      </c>
      <c r="J443" s="12" t="str">
        <f>IF(OR(TED[[#This Row],[SITUACAO]]=1,TED[[#This Row],[SITUACAO]]=9,TED[[#This Row],[SITUACAO]]=18),"ATIVO","AFASTADO")</f>
        <v>ATIVO</v>
      </c>
      <c r="K443" s="12">
        <v>1</v>
      </c>
    </row>
    <row r="444" spans="1:11" x14ac:dyDescent="0.25">
      <c r="A444" s="10">
        <v>12230</v>
      </c>
      <c r="B444" s="9" t="s">
        <v>327</v>
      </c>
      <c r="C444" s="12" t="str">
        <f>IFERROR(VLOOKUP(TED[[#This Row],[CENTRO]],'CENTRO DE CUSTO'!B:E,4,FALSE)," ")</f>
        <v>CARLOS FABRI</v>
      </c>
      <c r="D444" s="12">
        <v>87</v>
      </c>
      <c r="E444" s="16">
        <v>87076</v>
      </c>
      <c r="F444" s="10" t="s">
        <v>324</v>
      </c>
      <c r="G444" s="10">
        <v>220</v>
      </c>
      <c r="H444" s="11">
        <v>43502</v>
      </c>
      <c r="I444" s="10" t="s">
        <v>1</v>
      </c>
      <c r="J444" s="12" t="str">
        <f>IF(OR(TED[[#This Row],[SITUACAO]]=1,TED[[#This Row],[SITUACAO]]=9,TED[[#This Row],[SITUACAO]]=18),"ATIVO","AFASTADO")</f>
        <v>ATIVO</v>
      </c>
      <c r="K444" s="12">
        <v>1</v>
      </c>
    </row>
    <row r="445" spans="1:11" x14ac:dyDescent="0.25">
      <c r="A445" s="10">
        <v>5349</v>
      </c>
      <c r="B445" s="9" t="s">
        <v>436</v>
      </c>
      <c r="C445" s="12" t="str">
        <f>IFERROR(VLOOKUP(TED[[#This Row],[CENTRO]],'CENTRO DE CUSTO'!B:E,4,FALSE)," ")</f>
        <v>CARLOS FABRI</v>
      </c>
      <c r="D445" s="12">
        <v>87</v>
      </c>
      <c r="E445" s="16">
        <v>87098</v>
      </c>
      <c r="F445" s="10" t="s">
        <v>435</v>
      </c>
      <c r="G445" s="10">
        <v>220</v>
      </c>
      <c r="H445" s="11">
        <v>42156</v>
      </c>
      <c r="I445" s="10" t="s">
        <v>1</v>
      </c>
      <c r="J445" s="12" t="str">
        <f>IF(OR(TED[[#This Row],[SITUACAO]]=1,TED[[#This Row],[SITUACAO]]=9,TED[[#This Row],[SITUACAO]]=18),"ATIVO","AFASTADO")</f>
        <v>ATIVO</v>
      </c>
      <c r="K445" s="12">
        <v>1</v>
      </c>
    </row>
    <row r="446" spans="1:11" x14ac:dyDescent="0.25">
      <c r="A446" s="10">
        <v>5511</v>
      </c>
      <c r="B446" s="9" t="s">
        <v>355</v>
      </c>
      <c r="C446" s="12" t="str">
        <f>IFERROR(VLOOKUP(TED[[#This Row],[CENTRO]],'CENTRO DE CUSTO'!B:E,4,FALSE)," ")</f>
        <v>DÉBORA GOBETTI</v>
      </c>
      <c r="D446" s="12">
        <v>87</v>
      </c>
      <c r="E446" s="16">
        <v>87081</v>
      </c>
      <c r="F446" s="10" t="s">
        <v>353</v>
      </c>
      <c r="G446" s="10">
        <v>220</v>
      </c>
      <c r="H446" s="11">
        <v>42156</v>
      </c>
      <c r="I446" s="10" t="s">
        <v>21</v>
      </c>
      <c r="J446" s="12" t="str">
        <f>IF(OR(TED[[#This Row],[SITUACAO]]=1,TED[[#This Row],[SITUACAO]]=9,TED[[#This Row],[SITUACAO]]=18),"ATIVO","AFASTADO")</f>
        <v>ATIVO</v>
      </c>
      <c r="K446" s="12">
        <v>1</v>
      </c>
    </row>
    <row r="447" spans="1:11" x14ac:dyDescent="0.25">
      <c r="A447" s="10">
        <v>10058</v>
      </c>
      <c r="B447" s="9" t="s">
        <v>291</v>
      </c>
      <c r="C447" s="12" t="str">
        <f>IFERROR(VLOOKUP(TED[[#This Row],[CENTRO]],'CENTRO DE CUSTO'!B:E,4,FALSE)," ")</f>
        <v>CARLOS FABRI</v>
      </c>
      <c r="D447" s="12">
        <v>87</v>
      </c>
      <c r="E447" s="16">
        <v>87068</v>
      </c>
      <c r="F447" s="10" t="s">
        <v>288</v>
      </c>
      <c r="G447" s="10">
        <v>220</v>
      </c>
      <c r="H447" s="11">
        <v>43124</v>
      </c>
      <c r="I447" s="10" t="s">
        <v>1</v>
      </c>
      <c r="J447" s="12" t="str">
        <f>IF(OR(TED[[#This Row],[SITUACAO]]=1,TED[[#This Row],[SITUACAO]]=9,TED[[#This Row],[SITUACAO]]=18),"ATIVO","AFASTADO")</f>
        <v>ATIVO</v>
      </c>
      <c r="K447" s="12">
        <v>1</v>
      </c>
    </row>
    <row r="448" spans="1:11" x14ac:dyDescent="0.25">
      <c r="A448" s="10">
        <v>756</v>
      </c>
      <c r="B448" s="9" t="s">
        <v>410</v>
      </c>
      <c r="C448" s="12" t="str">
        <f>IFERROR(VLOOKUP(TED[[#This Row],[CENTRO]],'CENTRO DE CUSTO'!B:E,4,FALSE)," ")</f>
        <v>S/ SUPERVISOR</v>
      </c>
      <c r="D448" s="12">
        <v>87</v>
      </c>
      <c r="E448" s="16">
        <v>87092</v>
      </c>
      <c r="F448" s="10" t="s">
        <v>405</v>
      </c>
      <c r="G448" s="10">
        <v>220</v>
      </c>
      <c r="H448" s="11">
        <v>40595</v>
      </c>
      <c r="I448" s="10" t="s">
        <v>21</v>
      </c>
      <c r="J448" s="12" t="str">
        <f>IF(OR(TED[[#This Row],[SITUACAO]]=1,TED[[#This Row],[SITUACAO]]=9,TED[[#This Row],[SITUACAO]]=18),"ATIVO","AFASTADO")</f>
        <v>ATIVO</v>
      </c>
      <c r="K448" s="12">
        <v>1</v>
      </c>
    </row>
    <row r="449" spans="1:11" x14ac:dyDescent="0.25">
      <c r="A449" s="10">
        <v>9636</v>
      </c>
      <c r="B449" s="9" t="s">
        <v>450</v>
      </c>
      <c r="C449" s="12" t="str">
        <f>IFERROR(VLOOKUP(TED[[#This Row],[CENTRO]],'CENTRO DE CUSTO'!B:E,4,FALSE)," ")</f>
        <v>DÉBORA GOBETTI</v>
      </c>
      <c r="D449" s="12">
        <v>87</v>
      </c>
      <c r="E449" s="16">
        <v>87101</v>
      </c>
      <c r="F449" s="10" t="s">
        <v>451</v>
      </c>
      <c r="G449" s="10">
        <v>220</v>
      </c>
      <c r="H449" s="11">
        <v>42989</v>
      </c>
      <c r="I449" s="10" t="s">
        <v>21</v>
      </c>
      <c r="J449" s="12" t="str">
        <f>IF(OR(TED[[#This Row],[SITUACAO]]=1,TED[[#This Row],[SITUACAO]]=9,TED[[#This Row],[SITUACAO]]=18),"ATIVO","AFASTADO")</f>
        <v>ATIVO</v>
      </c>
      <c r="K449" s="12">
        <v>1</v>
      </c>
    </row>
    <row r="450" spans="1:11" x14ac:dyDescent="0.25">
      <c r="A450" s="10">
        <v>5336</v>
      </c>
      <c r="B450" s="9" t="s">
        <v>439</v>
      </c>
      <c r="C450" s="12" t="str">
        <f>IFERROR(VLOOKUP(TED[[#This Row],[CENTRO]],'CENTRO DE CUSTO'!B:E,4,FALSE)," ")</f>
        <v>CARLOS FABRI</v>
      </c>
      <c r="D450" s="12">
        <v>87</v>
      </c>
      <c r="E450" s="16">
        <v>87098</v>
      </c>
      <c r="F450" s="10" t="s">
        <v>435</v>
      </c>
      <c r="G450" s="10">
        <v>220</v>
      </c>
      <c r="H450" s="11">
        <v>42156</v>
      </c>
      <c r="I450" s="10" t="s">
        <v>21</v>
      </c>
      <c r="J450" s="12" t="str">
        <f>IF(OR(TED[[#This Row],[SITUACAO]]=1,TED[[#This Row],[SITUACAO]]=9,TED[[#This Row],[SITUACAO]]=18),"ATIVO","AFASTADO")</f>
        <v>AFASTADO</v>
      </c>
      <c r="K450" s="12">
        <v>6</v>
      </c>
    </row>
    <row r="451" spans="1:11" x14ac:dyDescent="0.25">
      <c r="A451" s="10">
        <v>34992</v>
      </c>
      <c r="B451" s="9" t="s">
        <v>97</v>
      </c>
      <c r="C451" s="12" t="str">
        <f>IFERROR(VLOOKUP(TED[[#This Row],[CENTRO]],'CENTRO DE CUSTO'!B:E,4,FALSE)," ")</f>
        <v>DÉBORA GOBETTI</v>
      </c>
      <c r="D451" s="12">
        <v>87</v>
      </c>
      <c r="E451" s="16">
        <v>87032</v>
      </c>
      <c r="F451" s="10" t="s">
        <v>98</v>
      </c>
      <c r="G451" s="10">
        <v>220</v>
      </c>
      <c r="H451" s="11">
        <v>45677</v>
      </c>
      <c r="I451" s="10" t="s">
        <v>21</v>
      </c>
      <c r="J451" s="12" t="str">
        <f>IF(OR(TED[[#This Row],[SITUACAO]]=1,TED[[#This Row],[SITUACAO]]=9,TED[[#This Row],[SITUACAO]]=18),"ATIVO","AFASTADO")</f>
        <v>ATIVO</v>
      </c>
      <c r="K451" s="12">
        <v>1</v>
      </c>
    </row>
    <row r="452" spans="1:11" x14ac:dyDescent="0.25">
      <c r="A452" s="10">
        <v>10523</v>
      </c>
      <c r="B452" s="9" t="s">
        <v>274</v>
      </c>
      <c r="C452" s="12" t="str">
        <f>IFERROR(VLOOKUP(TED[[#This Row],[CENTRO]],'CENTRO DE CUSTO'!B:E,4,FALSE)," ")</f>
        <v>JOÃO CLEMENTONI</v>
      </c>
      <c r="D452" s="12">
        <v>87</v>
      </c>
      <c r="E452" s="16">
        <v>87066</v>
      </c>
      <c r="F452" s="10" t="s">
        <v>272</v>
      </c>
      <c r="G452" s="10">
        <v>220</v>
      </c>
      <c r="H452" s="11">
        <v>43216</v>
      </c>
      <c r="I452" s="10" t="s">
        <v>1</v>
      </c>
      <c r="J452" s="12" t="str">
        <f>IF(OR(TED[[#This Row],[SITUACAO]]=1,TED[[#This Row],[SITUACAO]]=9,TED[[#This Row],[SITUACAO]]=18),"ATIVO","AFASTADO")</f>
        <v>AFASTADO</v>
      </c>
      <c r="K452" s="12">
        <v>6</v>
      </c>
    </row>
    <row r="453" spans="1:11" x14ac:dyDescent="0.25">
      <c r="A453" s="10">
        <v>45007</v>
      </c>
      <c r="B453" s="9" t="s">
        <v>2167</v>
      </c>
      <c r="C453" s="12" t="str">
        <f>IFERROR(VLOOKUP(TED[[#This Row],[CENTRO]],'CENTRO DE CUSTO'!B:E,4,FALSE)," ")</f>
        <v>JOÃO CLEMENTONI</v>
      </c>
      <c r="D453" s="12">
        <v>87</v>
      </c>
      <c r="E453" s="16">
        <v>87082</v>
      </c>
      <c r="F453" s="10" t="s">
        <v>359</v>
      </c>
      <c r="G453" s="10">
        <v>220</v>
      </c>
      <c r="H453" s="11">
        <v>46120</v>
      </c>
      <c r="I453" s="10" t="s">
        <v>21</v>
      </c>
      <c r="J453" s="12" t="str">
        <f>IF(OR(TED[[#This Row],[SITUACAO]]=1,TED[[#This Row],[SITUACAO]]=9,TED[[#This Row],[SITUACAO]]=18),"ATIVO","AFASTADO")</f>
        <v>ATIVO</v>
      </c>
      <c r="K453" s="12">
        <v>1</v>
      </c>
    </row>
    <row r="454" spans="1:11" x14ac:dyDescent="0.25">
      <c r="A454" s="10">
        <v>5467</v>
      </c>
      <c r="B454" s="9" t="s">
        <v>157</v>
      </c>
      <c r="C454" s="12" t="str">
        <f>IFERROR(VLOOKUP(TED[[#This Row],[CENTRO]],'CENTRO DE CUSTO'!B:E,4,FALSE)," ")</f>
        <v>S/ SUPERVISOR</v>
      </c>
      <c r="D454" s="12">
        <v>87</v>
      </c>
      <c r="E454" s="16">
        <v>87043</v>
      </c>
      <c r="F454" s="10" t="s">
        <v>154</v>
      </c>
      <c r="G454" s="10">
        <v>220</v>
      </c>
      <c r="H454" s="11">
        <v>42156</v>
      </c>
      <c r="I454" s="10" t="s">
        <v>1</v>
      </c>
      <c r="J454" s="12" t="str">
        <f>IF(OR(TED[[#This Row],[SITUACAO]]=1,TED[[#This Row],[SITUACAO]]=9,TED[[#This Row],[SITUACAO]]=18),"ATIVO","AFASTADO")</f>
        <v>ATIVO</v>
      </c>
      <c r="K454" s="12">
        <v>1</v>
      </c>
    </row>
    <row r="455" spans="1:11" x14ac:dyDescent="0.25">
      <c r="A455" s="10">
        <v>5425</v>
      </c>
      <c r="B455" s="9" t="s">
        <v>105</v>
      </c>
      <c r="C455" s="12" t="str">
        <f>IFERROR(VLOOKUP(TED[[#This Row],[CENTRO]],'CENTRO DE CUSTO'!B:E,4,FALSE)," ")</f>
        <v>JOÃO CLEMENTONI</v>
      </c>
      <c r="D455" s="12">
        <v>87</v>
      </c>
      <c r="E455" s="16">
        <v>87034</v>
      </c>
      <c r="F455" s="10" t="s">
        <v>106</v>
      </c>
      <c r="G455" s="10">
        <v>220</v>
      </c>
      <c r="H455" s="11">
        <v>42156</v>
      </c>
      <c r="I455" s="10" t="s">
        <v>1</v>
      </c>
      <c r="J455" s="12" t="str">
        <f>IF(OR(TED[[#This Row],[SITUACAO]]=1,TED[[#This Row],[SITUACAO]]=9,TED[[#This Row],[SITUACAO]]=18),"ATIVO","AFASTADO")</f>
        <v>ATIVO</v>
      </c>
      <c r="K455" s="12">
        <v>1</v>
      </c>
    </row>
    <row r="456" spans="1:11" x14ac:dyDescent="0.25">
      <c r="A456" s="10">
        <v>44818</v>
      </c>
      <c r="B456" s="9" t="s">
        <v>2165</v>
      </c>
      <c r="C456" s="12" t="str">
        <f>IFERROR(VLOOKUP(TED[[#This Row],[CENTRO]],'CENTRO DE CUSTO'!B:E,4,FALSE)," ")</f>
        <v>DÉBORA GOBETTI</v>
      </c>
      <c r="D456" s="12">
        <v>87</v>
      </c>
      <c r="E456" s="16">
        <v>87041</v>
      </c>
      <c r="F456" s="10" t="s">
        <v>140</v>
      </c>
      <c r="G456" s="10">
        <v>220</v>
      </c>
      <c r="H456" s="11">
        <v>46111</v>
      </c>
      <c r="I456" s="10" t="s">
        <v>21</v>
      </c>
      <c r="J456" s="12" t="str">
        <f>IF(OR(TED[[#This Row],[SITUACAO]]=1,TED[[#This Row],[SITUACAO]]=9,TED[[#This Row],[SITUACAO]]=18),"ATIVO","AFASTADO")</f>
        <v>ATIVO</v>
      </c>
      <c r="K456" s="12">
        <v>1</v>
      </c>
    </row>
    <row r="457" spans="1:11" x14ac:dyDescent="0.25">
      <c r="A457" s="10">
        <v>7950</v>
      </c>
      <c r="B457" s="9" t="s">
        <v>358</v>
      </c>
      <c r="C457" s="12" t="str">
        <f>IFERROR(VLOOKUP(TED[[#This Row],[CENTRO]],'CENTRO DE CUSTO'!B:E,4,FALSE)," ")</f>
        <v>JOÃO CLEMENTONI</v>
      </c>
      <c r="D457" s="12">
        <v>87</v>
      </c>
      <c r="E457" s="16">
        <v>87082</v>
      </c>
      <c r="F457" s="10" t="s">
        <v>359</v>
      </c>
      <c r="G457" s="10">
        <v>220</v>
      </c>
      <c r="H457" s="11">
        <v>42627</v>
      </c>
      <c r="I457" s="10" t="s">
        <v>21</v>
      </c>
      <c r="J457" s="12" t="str">
        <f>IF(OR(TED[[#This Row],[SITUACAO]]=1,TED[[#This Row],[SITUACAO]]=9,TED[[#This Row],[SITUACAO]]=18),"ATIVO","AFASTADO")</f>
        <v>ATIVO</v>
      </c>
      <c r="K457" s="12">
        <v>1</v>
      </c>
    </row>
    <row r="458" spans="1:11" x14ac:dyDescent="0.25">
      <c r="A458" s="10">
        <v>32723</v>
      </c>
      <c r="B458" s="9" t="s">
        <v>523</v>
      </c>
      <c r="C458" s="12" t="str">
        <f>IFERROR(VLOOKUP(TED[[#This Row],[CENTRO]],'CENTRO DE CUSTO'!B:E,4,FALSE)," ")</f>
        <v>VANDERSON</v>
      </c>
      <c r="D458" s="12">
        <v>87</v>
      </c>
      <c r="E458" s="16">
        <v>87114</v>
      </c>
      <c r="F458" s="10" t="s">
        <v>524</v>
      </c>
      <c r="G458" s="10">
        <v>220</v>
      </c>
      <c r="H458" s="11">
        <v>45441</v>
      </c>
      <c r="I458" s="10" t="s">
        <v>1</v>
      </c>
      <c r="J458" s="12" t="str">
        <f>IF(OR(TED[[#This Row],[SITUACAO]]=1,TED[[#This Row],[SITUACAO]]=9,TED[[#This Row],[SITUACAO]]=18),"ATIVO","AFASTADO")</f>
        <v>ATIVO</v>
      </c>
      <c r="K458" s="12">
        <v>1</v>
      </c>
    </row>
    <row r="459" spans="1:11" x14ac:dyDescent="0.25">
      <c r="A459" s="10">
        <v>39108</v>
      </c>
      <c r="B459" s="9" t="s">
        <v>265</v>
      </c>
      <c r="C459" s="12" t="str">
        <f>IFERROR(VLOOKUP(TED[[#This Row],[CENTRO]],'CENTRO DE CUSTO'!B:E,4,FALSE)," ")</f>
        <v>VANDERSON</v>
      </c>
      <c r="D459" s="12">
        <v>87</v>
      </c>
      <c r="E459" s="16">
        <v>87064</v>
      </c>
      <c r="F459" s="10" t="s">
        <v>263</v>
      </c>
      <c r="G459" s="10">
        <v>220</v>
      </c>
      <c r="H459" s="11">
        <v>45824</v>
      </c>
      <c r="I459" s="10" t="s">
        <v>1</v>
      </c>
      <c r="J459" s="12" t="str">
        <f>IF(OR(TED[[#This Row],[SITUACAO]]=1,TED[[#This Row],[SITUACAO]]=9,TED[[#This Row],[SITUACAO]]=18),"ATIVO","AFASTADO")</f>
        <v>ATIVO</v>
      </c>
      <c r="K459" s="12">
        <v>1</v>
      </c>
    </row>
    <row r="460" spans="1:11" x14ac:dyDescent="0.25">
      <c r="A460" s="10">
        <v>5326</v>
      </c>
      <c r="B460" s="9" t="s">
        <v>501</v>
      </c>
      <c r="C460" s="12" t="str">
        <f>IFERROR(VLOOKUP(TED[[#This Row],[CENTRO]],'CENTRO DE CUSTO'!B:E,4,FALSE)," ")</f>
        <v>DÉBORA GOBETTI</v>
      </c>
      <c r="D460" s="12">
        <v>87</v>
      </c>
      <c r="E460" s="16">
        <v>87110</v>
      </c>
      <c r="F460" s="10" t="s">
        <v>502</v>
      </c>
      <c r="G460" s="10">
        <v>220</v>
      </c>
      <c r="H460" s="11">
        <v>42156</v>
      </c>
      <c r="I460" s="10" t="s">
        <v>1</v>
      </c>
      <c r="J460" s="12" t="str">
        <f>IF(OR(TED[[#This Row],[SITUACAO]]=1,TED[[#This Row],[SITUACAO]]=9,TED[[#This Row],[SITUACAO]]=18),"ATIVO","AFASTADO")</f>
        <v>ATIVO</v>
      </c>
      <c r="K460" s="12">
        <v>1</v>
      </c>
    </row>
    <row r="461" spans="1:11" x14ac:dyDescent="0.25">
      <c r="A461" s="10">
        <v>33719</v>
      </c>
      <c r="B461" s="9" t="s">
        <v>474</v>
      </c>
      <c r="C461" s="12" t="str">
        <f>IFERROR(VLOOKUP(TED[[#This Row],[CENTRO]],'CENTRO DE CUSTO'!B:E,4,FALSE)," ")</f>
        <v>DÉBORA GOBETTI</v>
      </c>
      <c r="D461" s="12">
        <v>87</v>
      </c>
      <c r="E461" s="16">
        <v>87105</v>
      </c>
      <c r="F461" s="10" t="s">
        <v>473</v>
      </c>
      <c r="G461" s="10">
        <v>220</v>
      </c>
      <c r="H461" s="11">
        <v>45538</v>
      </c>
      <c r="I461" s="10" t="s">
        <v>21</v>
      </c>
      <c r="J461" s="12" t="str">
        <f>IF(OR(TED[[#This Row],[SITUACAO]]=1,TED[[#This Row],[SITUACAO]]=9,TED[[#This Row],[SITUACAO]]=18),"ATIVO","AFASTADO")</f>
        <v>ATIVO</v>
      </c>
      <c r="K461" s="12">
        <v>1</v>
      </c>
    </row>
    <row r="462" spans="1:11" x14ac:dyDescent="0.25">
      <c r="A462" s="10">
        <v>16389</v>
      </c>
      <c r="B462" s="9" t="s">
        <v>575</v>
      </c>
      <c r="C462" s="12" t="str">
        <f>IFERROR(VLOOKUP(TED[[#This Row],[CENTRO]],'CENTRO DE CUSTO'!B:E,4,FALSE)," ")</f>
        <v>CARLOS FABRI</v>
      </c>
      <c r="D462" s="12">
        <v>87</v>
      </c>
      <c r="E462" s="16">
        <v>87127</v>
      </c>
      <c r="F462" s="10" t="s">
        <v>576</v>
      </c>
      <c r="G462" s="10">
        <v>220</v>
      </c>
      <c r="H462" s="11">
        <v>44349</v>
      </c>
      <c r="I462" s="10" t="s">
        <v>1</v>
      </c>
      <c r="J462" s="12" t="str">
        <f>IF(OR(TED[[#This Row],[SITUACAO]]=1,TED[[#This Row],[SITUACAO]]=9,TED[[#This Row],[SITUACAO]]=18),"ATIVO","AFASTADO")</f>
        <v>ATIVO</v>
      </c>
      <c r="K462" s="12">
        <v>1</v>
      </c>
    </row>
    <row r="463" spans="1:11" x14ac:dyDescent="0.25">
      <c r="A463" s="10">
        <v>5351</v>
      </c>
      <c r="B463" s="9" t="s">
        <v>100</v>
      </c>
      <c r="C463" s="12" t="str">
        <f>IFERROR(VLOOKUP(TED[[#This Row],[CENTRO]],'CENTRO DE CUSTO'!B:E,4,FALSE)," ")</f>
        <v>DÉBORA GOBETTI</v>
      </c>
      <c r="D463" s="12">
        <v>87</v>
      </c>
      <c r="E463" s="16">
        <v>87032</v>
      </c>
      <c r="F463" s="10" t="s">
        <v>98</v>
      </c>
      <c r="G463" s="10">
        <v>220</v>
      </c>
      <c r="H463" s="11">
        <v>42156</v>
      </c>
      <c r="I463" s="10" t="s">
        <v>1</v>
      </c>
      <c r="J463" s="12" t="str">
        <f>IF(OR(TED[[#This Row],[SITUACAO]]=1,TED[[#This Row],[SITUACAO]]=9,TED[[#This Row],[SITUACAO]]=18),"ATIVO","AFASTADO")</f>
        <v>ATIVO</v>
      </c>
      <c r="K463" s="12">
        <v>1</v>
      </c>
    </row>
    <row r="464" spans="1:11" x14ac:dyDescent="0.25">
      <c r="A464" s="10">
        <v>10971</v>
      </c>
      <c r="B464" s="9" t="s">
        <v>382</v>
      </c>
      <c r="C464" s="12" t="str">
        <f>IFERROR(VLOOKUP(TED[[#This Row],[CENTRO]],'CENTRO DE CUSTO'!B:E,4,FALSE)," ")</f>
        <v>S/ SUPERVISOR</v>
      </c>
      <c r="D464" s="12">
        <v>87</v>
      </c>
      <c r="E464" s="16">
        <v>87087</v>
      </c>
      <c r="F464" s="10" t="s">
        <v>381</v>
      </c>
      <c r="G464" s="10">
        <v>220</v>
      </c>
      <c r="H464" s="11">
        <v>43297</v>
      </c>
      <c r="I464" s="10" t="s">
        <v>1</v>
      </c>
      <c r="J464" s="12" t="str">
        <f>IF(OR(TED[[#This Row],[SITUACAO]]=1,TED[[#This Row],[SITUACAO]]=9,TED[[#This Row],[SITUACAO]]=18),"ATIVO","AFASTADO")</f>
        <v>ATIVO</v>
      </c>
      <c r="K464" s="12">
        <v>1</v>
      </c>
    </row>
    <row r="465" spans="1:11" x14ac:dyDescent="0.25">
      <c r="A465" s="10">
        <v>5306</v>
      </c>
      <c r="B465" s="9" t="s">
        <v>627</v>
      </c>
      <c r="C465" s="12" t="str">
        <f>IFERROR(VLOOKUP(TED[[#This Row],[CENTRO]],'CENTRO DE CUSTO'!B:E,4,FALSE)," ")</f>
        <v>DÉBORA GOBETTI</v>
      </c>
      <c r="D465" s="12">
        <v>87</v>
      </c>
      <c r="E465" s="16">
        <v>87482</v>
      </c>
      <c r="F465" s="10" t="s">
        <v>626</v>
      </c>
      <c r="G465" s="10">
        <v>220</v>
      </c>
      <c r="H465" s="11">
        <v>42156</v>
      </c>
      <c r="I465" s="10" t="s">
        <v>21</v>
      </c>
      <c r="J465" s="12" t="str">
        <f>IF(OR(TED[[#This Row],[SITUACAO]]=1,TED[[#This Row],[SITUACAO]]=9,TED[[#This Row],[SITUACAO]]=18),"ATIVO","AFASTADO")</f>
        <v>ATIVO</v>
      </c>
      <c r="K465" s="12">
        <v>1</v>
      </c>
    </row>
    <row r="466" spans="1:11" x14ac:dyDescent="0.25">
      <c r="A466" s="10">
        <v>5599</v>
      </c>
      <c r="B466" s="9" t="s">
        <v>242</v>
      </c>
      <c r="C466" s="12" t="str">
        <f>IFERROR(VLOOKUP(TED[[#This Row],[CENTRO]],'CENTRO DE CUSTO'!B:E,4,FALSE)," ")</f>
        <v>CARLOS FABRI</v>
      </c>
      <c r="D466" s="12">
        <v>87</v>
      </c>
      <c r="E466" s="16">
        <v>87060</v>
      </c>
      <c r="F466" s="10" t="s">
        <v>240</v>
      </c>
      <c r="G466" s="10">
        <v>220</v>
      </c>
      <c r="H466" s="11">
        <v>42156</v>
      </c>
      <c r="I466" s="10" t="s">
        <v>1</v>
      </c>
      <c r="J466" s="12" t="str">
        <f>IF(OR(TED[[#This Row],[SITUACAO]]=1,TED[[#This Row],[SITUACAO]]=9,TED[[#This Row],[SITUACAO]]=18),"ATIVO","AFASTADO")</f>
        <v>ATIVO</v>
      </c>
      <c r="K466" s="12">
        <v>1</v>
      </c>
    </row>
    <row r="467" spans="1:11" x14ac:dyDescent="0.25">
      <c r="A467" s="10">
        <v>5672</v>
      </c>
      <c r="B467" s="9" t="s">
        <v>44</v>
      </c>
      <c r="C467" s="12" t="str">
        <f>IFERROR(VLOOKUP(TED[[#This Row],[CENTRO]],'CENTRO DE CUSTO'!B:E,4,FALSE)," ")</f>
        <v>VANDERSON</v>
      </c>
      <c r="D467" s="12">
        <v>87</v>
      </c>
      <c r="E467" s="16">
        <v>87018</v>
      </c>
      <c r="F467" s="10" t="s">
        <v>42</v>
      </c>
      <c r="G467" s="10">
        <v>220</v>
      </c>
      <c r="H467" s="11">
        <v>42156</v>
      </c>
      <c r="I467" s="10" t="s">
        <v>1</v>
      </c>
      <c r="J467" s="12" t="str">
        <f>IF(OR(TED[[#This Row],[SITUACAO]]=1,TED[[#This Row],[SITUACAO]]=9,TED[[#This Row],[SITUACAO]]=18),"ATIVO","AFASTADO")</f>
        <v>ATIVO</v>
      </c>
      <c r="K467" s="12">
        <v>1</v>
      </c>
    </row>
    <row r="468" spans="1:11" x14ac:dyDescent="0.25">
      <c r="A468" s="10">
        <v>43268</v>
      </c>
      <c r="B468" s="9" t="s">
        <v>2044</v>
      </c>
      <c r="C468" s="12" t="str">
        <f>IFERROR(VLOOKUP(TED[[#This Row],[CENTRO]],'CENTRO DE CUSTO'!B:E,4,FALSE)," ")</f>
        <v>DÉBORA GOBETTI</v>
      </c>
      <c r="D468" s="12">
        <v>87</v>
      </c>
      <c r="E468" s="16">
        <v>87101</v>
      </c>
      <c r="F468" s="10" t="s">
        <v>451</v>
      </c>
      <c r="G468" s="10">
        <v>220</v>
      </c>
      <c r="H468" s="11">
        <v>46043</v>
      </c>
      <c r="I468" s="10" t="s">
        <v>21</v>
      </c>
      <c r="J468" s="12" t="str">
        <f>IF(OR(TED[[#This Row],[SITUACAO]]=1,TED[[#This Row],[SITUACAO]]=9,TED[[#This Row],[SITUACAO]]=18),"ATIVO","AFASTADO")</f>
        <v>ATIVO</v>
      </c>
      <c r="K468" s="12">
        <v>1</v>
      </c>
    </row>
    <row r="469" spans="1:11" x14ac:dyDescent="0.25">
      <c r="A469" s="10">
        <v>5223</v>
      </c>
      <c r="B469" s="9" t="s">
        <v>326</v>
      </c>
      <c r="C469" s="12" t="str">
        <f>IFERROR(VLOOKUP(TED[[#This Row],[CENTRO]],'CENTRO DE CUSTO'!B:E,4,FALSE)," ")</f>
        <v>CARLOS FABRI</v>
      </c>
      <c r="D469" s="12">
        <v>87</v>
      </c>
      <c r="E469" s="16">
        <v>87076</v>
      </c>
      <c r="F469" s="10" t="s">
        <v>324</v>
      </c>
      <c r="G469" s="10">
        <v>220</v>
      </c>
      <c r="H469" s="11">
        <v>42156</v>
      </c>
      <c r="I469" s="10" t="s">
        <v>1</v>
      </c>
      <c r="J469" s="12" t="str">
        <f>IF(OR(TED[[#This Row],[SITUACAO]]=1,TED[[#This Row],[SITUACAO]]=9,TED[[#This Row],[SITUACAO]]=18),"ATIVO","AFASTADO")</f>
        <v>AFASTADO</v>
      </c>
      <c r="K469" s="12">
        <v>6</v>
      </c>
    </row>
    <row r="470" spans="1:11" x14ac:dyDescent="0.25">
      <c r="A470" s="10">
        <v>7084</v>
      </c>
      <c r="B470" s="9" t="s">
        <v>325</v>
      </c>
      <c r="C470" s="12" t="str">
        <f>IFERROR(VLOOKUP(TED[[#This Row],[CENTRO]],'CENTRO DE CUSTO'!B:E,4,FALSE)," ")</f>
        <v>CARLOS FABRI</v>
      </c>
      <c r="D470" s="12">
        <v>87</v>
      </c>
      <c r="E470" s="16">
        <v>87076</v>
      </c>
      <c r="F470" s="10" t="s">
        <v>324</v>
      </c>
      <c r="G470" s="10">
        <v>220</v>
      </c>
      <c r="H470" s="11">
        <v>42436</v>
      </c>
      <c r="I470" s="10" t="s">
        <v>21</v>
      </c>
      <c r="J470" s="12" t="str">
        <f>IF(OR(TED[[#This Row],[SITUACAO]]=1,TED[[#This Row],[SITUACAO]]=9,TED[[#This Row],[SITUACAO]]=18),"ATIVO","AFASTADO")</f>
        <v>ATIVO</v>
      </c>
      <c r="K470" s="12">
        <v>1</v>
      </c>
    </row>
    <row r="471" spans="1:11" x14ac:dyDescent="0.25">
      <c r="A471" s="10">
        <v>5471</v>
      </c>
      <c r="B471" s="9" t="s">
        <v>172</v>
      </c>
      <c r="C471" s="12" t="str">
        <f>IFERROR(VLOOKUP(TED[[#This Row],[CENTRO]],'CENTRO DE CUSTO'!B:E,4,FALSE)," ")</f>
        <v>DÉBORA GOBETTI</v>
      </c>
      <c r="D471" s="12">
        <v>87</v>
      </c>
      <c r="E471" s="16">
        <v>87046</v>
      </c>
      <c r="F471" s="10" t="s">
        <v>170</v>
      </c>
      <c r="G471" s="10">
        <v>220</v>
      </c>
      <c r="H471" s="11">
        <v>42156</v>
      </c>
      <c r="I471" s="10" t="s">
        <v>1</v>
      </c>
      <c r="J471" s="12" t="str">
        <f>IF(OR(TED[[#This Row],[SITUACAO]]=1,TED[[#This Row],[SITUACAO]]=9,TED[[#This Row],[SITUACAO]]=18),"ATIVO","AFASTADO")</f>
        <v>ATIVO</v>
      </c>
      <c r="K471" s="12">
        <v>1</v>
      </c>
    </row>
    <row r="472" spans="1:11" x14ac:dyDescent="0.25">
      <c r="A472" s="10">
        <v>25221</v>
      </c>
      <c r="B472" s="9" t="s">
        <v>566</v>
      </c>
      <c r="C472" s="12" t="str">
        <f>IFERROR(VLOOKUP(TED[[#This Row],[CENTRO]],'CENTRO DE CUSTO'!B:E,4,FALSE)," ")</f>
        <v>CARLOS FABRI</v>
      </c>
      <c r="D472" s="12">
        <v>87</v>
      </c>
      <c r="E472" s="16">
        <v>87123</v>
      </c>
      <c r="F472" s="10" t="s">
        <v>563</v>
      </c>
      <c r="G472" s="10">
        <v>220</v>
      </c>
      <c r="H472" s="11">
        <v>44964</v>
      </c>
      <c r="I472" s="10" t="s">
        <v>21</v>
      </c>
      <c r="J472" s="12" t="str">
        <f>IF(OR(TED[[#This Row],[SITUACAO]]=1,TED[[#This Row],[SITUACAO]]=9,TED[[#This Row],[SITUACAO]]=18),"ATIVO","AFASTADO")</f>
        <v>ATIVO</v>
      </c>
      <c r="K472" s="12">
        <v>1</v>
      </c>
    </row>
    <row r="473" spans="1:11" x14ac:dyDescent="0.25">
      <c r="A473" s="10">
        <v>13974</v>
      </c>
      <c r="B473" s="9" t="s">
        <v>320</v>
      </c>
      <c r="C473" s="12" t="str">
        <f>IFERROR(VLOOKUP(TED[[#This Row],[CENTRO]],'CENTRO DE CUSTO'!B:E,4,FALSE)," ")</f>
        <v>VANDERSON</v>
      </c>
      <c r="D473" s="12">
        <v>87</v>
      </c>
      <c r="E473" s="16">
        <v>87075</v>
      </c>
      <c r="F473" s="10" t="s">
        <v>319</v>
      </c>
      <c r="G473" s="10">
        <v>220</v>
      </c>
      <c r="H473" s="11">
        <v>43860</v>
      </c>
      <c r="I473" s="10" t="s">
        <v>1</v>
      </c>
      <c r="J473" s="12" t="str">
        <f>IF(OR(TED[[#This Row],[SITUACAO]]=1,TED[[#This Row],[SITUACAO]]=9,TED[[#This Row],[SITUACAO]]=18),"ATIVO","AFASTADO")</f>
        <v>ATIVO</v>
      </c>
      <c r="K473" s="12">
        <v>1</v>
      </c>
    </row>
    <row r="474" spans="1:11" x14ac:dyDescent="0.25">
      <c r="A474" s="10">
        <v>9643</v>
      </c>
      <c r="B474" s="9" t="s">
        <v>30</v>
      </c>
      <c r="C474" s="12" t="str">
        <f>IFERROR(VLOOKUP(TED[[#This Row],[CENTRO]],'CENTRO DE CUSTO'!B:E,4,FALSE)," ")</f>
        <v>JOÃO CLEMENTONI</v>
      </c>
      <c r="D474" s="12">
        <v>87</v>
      </c>
      <c r="E474" s="16">
        <v>87014</v>
      </c>
      <c r="F474" s="10" t="s">
        <v>29</v>
      </c>
      <c r="G474" s="10">
        <v>220</v>
      </c>
      <c r="H474" s="11">
        <v>42996</v>
      </c>
      <c r="I474" s="10" t="s">
        <v>1</v>
      </c>
      <c r="J474" s="12" t="str">
        <f>IF(OR(TED[[#This Row],[SITUACAO]]=1,TED[[#This Row],[SITUACAO]]=9,TED[[#This Row],[SITUACAO]]=18),"ATIVO","AFASTADO")</f>
        <v>ATIVO</v>
      </c>
      <c r="K474" s="12">
        <v>1</v>
      </c>
    </row>
    <row r="475" spans="1:11" x14ac:dyDescent="0.25">
      <c r="A475" s="10">
        <v>5615</v>
      </c>
      <c r="B475" s="9" t="s">
        <v>212</v>
      </c>
      <c r="C475" s="12" t="str">
        <f>IFERROR(VLOOKUP(TED[[#This Row],[CENTRO]],'CENTRO DE CUSTO'!B:E,4,FALSE)," ")</f>
        <v>DÉBORA GOBETTI</v>
      </c>
      <c r="D475" s="12">
        <v>87</v>
      </c>
      <c r="E475" s="16">
        <v>87055</v>
      </c>
      <c r="F475" s="10" t="s">
        <v>213</v>
      </c>
      <c r="G475" s="10">
        <v>220</v>
      </c>
      <c r="H475" s="11">
        <v>42156</v>
      </c>
      <c r="I475" s="10" t="s">
        <v>1</v>
      </c>
      <c r="J475" s="12" t="str">
        <f>IF(OR(TED[[#This Row],[SITUACAO]]=1,TED[[#This Row],[SITUACAO]]=9,TED[[#This Row],[SITUACAO]]=18),"ATIVO","AFASTADO")</f>
        <v>ATIVO</v>
      </c>
      <c r="K475" s="12">
        <v>1</v>
      </c>
    </row>
    <row r="476" spans="1:11" x14ac:dyDescent="0.25">
      <c r="A476" s="10">
        <v>24907</v>
      </c>
      <c r="B476" s="9" t="s">
        <v>210</v>
      </c>
      <c r="C476" s="12" t="str">
        <f>IFERROR(VLOOKUP(TED[[#This Row],[CENTRO]],'CENTRO DE CUSTO'!B:E,4,FALSE)," ")</f>
        <v>DÉBORA GOBETTI</v>
      </c>
      <c r="D476" s="12">
        <v>87</v>
      </c>
      <c r="E476" s="16">
        <v>87054</v>
      </c>
      <c r="F476" s="10" t="s">
        <v>209</v>
      </c>
      <c r="G476" s="10">
        <v>220</v>
      </c>
      <c r="H476" s="11">
        <v>44949</v>
      </c>
      <c r="I476" s="10" t="s">
        <v>1</v>
      </c>
      <c r="J476" s="12" t="str">
        <f>IF(OR(TED[[#This Row],[SITUACAO]]=1,TED[[#This Row],[SITUACAO]]=9,TED[[#This Row],[SITUACAO]]=18),"ATIVO","AFASTADO")</f>
        <v>ATIVO</v>
      </c>
      <c r="K476" s="12">
        <v>1</v>
      </c>
    </row>
    <row r="477" spans="1:11" x14ac:dyDescent="0.25">
      <c r="A477" s="10">
        <v>20867</v>
      </c>
      <c r="B477" s="9" t="s">
        <v>17</v>
      </c>
      <c r="C477" s="12" t="str">
        <f>IFERROR(VLOOKUP(TED[[#This Row],[CENTRO]],'CENTRO DE CUSTO'!B:E,4,FALSE)," ")</f>
        <v>PAULO TORRES</v>
      </c>
      <c r="D477" s="12">
        <v>87</v>
      </c>
      <c r="E477" s="16">
        <v>87200</v>
      </c>
      <c r="F477" s="10" t="s">
        <v>599</v>
      </c>
      <c r="G477" s="10">
        <v>220</v>
      </c>
      <c r="H477" s="11">
        <v>44662</v>
      </c>
      <c r="I477" s="10" t="s">
        <v>1</v>
      </c>
      <c r="J477" s="12" t="str">
        <f>IF(OR(TED[[#This Row],[SITUACAO]]=1,TED[[#This Row],[SITUACAO]]=9,TED[[#This Row],[SITUACAO]]=18),"ATIVO","AFASTADO")</f>
        <v>ATIVO</v>
      </c>
      <c r="K477" s="12">
        <v>1</v>
      </c>
    </row>
    <row r="478" spans="1:11" x14ac:dyDescent="0.25">
      <c r="A478" s="10">
        <v>29835</v>
      </c>
      <c r="B478" s="9" t="s">
        <v>83</v>
      </c>
      <c r="C478" s="12" t="str">
        <f>IFERROR(VLOOKUP(TED[[#This Row],[CENTRO]],'CENTRO DE CUSTO'!B:E,4,FALSE)," ")</f>
        <v>S/ SUPERVISOR</v>
      </c>
      <c r="D478" s="12">
        <v>87</v>
      </c>
      <c r="E478" s="16">
        <v>87028</v>
      </c>
      <c r="F478" s="10" t="s">
        <v>84</v>
      </c>
      <c r="G478" s="10">
        <v>220</v>
      </c>
      <c r="H478" s="11">
        <v>45313</v>
      </c>
      <c r="I478" s="10" t="s">
        <v>21</v>
      </c>
      <c r="J478" s="12" t="str">
        <f>IF(OR(TED[[#This Row],[SITUACAO]]=1,TED[[#This Row],[SITUACAO]]=9,TED[[#This Row],[SITUACAO]]=18),"ATIVO","AFASTADO")</f>
        <v>ATIVO</v>
      </c>
      <c r="K478" s="12">
        <v>1</v>
      </c>
    </row>
    <row r="479" spans="1:11" x14ac:dyDescent="0.25">
      <c r="A479" s="10">
        <v>41804</v>
      </c>
      <c r="B479" s="9" t="s">
        <v>623</v>
      </c>
      <c r="C479" s="12" t="str">
        <f>IFERROR(VLOOKUP(TED[[#This Row],[CENTRO]],'CENTRO DE CUSTO'!B:E,4,FALSE)," ")</f>
        <v>PAULO TORRES</v>
      </c>
      <c r="D479" s="12">
        <v>87</v>
      </c>
      <c r="E479" s="16">
        <v>87481</v>
      </c>
      <c r="F479" s="10" t="s">
        <v>613</v>
      </c>
      <c r="G479" s="10">
        <v>220</v>
      </c>
      <c r="H479" s="11">
        <v>45952</v>
      </c>
      <c r="I479" s="10" t="s">
        <v>612</v>
      </c>
      <c r="J479" s="12" t="str">
        <f>IF(OR(TED[[#This Row],[SITUACAO]]=1,TED[[#This Row],[SITUACAO]]=9,TED[[#This Row],[SITUACAO]]=18),"ATIVO","AFASTADO")</f>
        <v>ATIVO</v>
      </c>
      <c r="K479" s="12">
        <v>1</v>
      </c>
    </row>
    <row r="480" spans="1:11" x14ac:dyDescent="0.25">
      <c r="A480" s="10">
        <v>9302</v>
      </c>
      <c r="B480" s="9" t="s">
        <v>71</v>
      </c>
      <c r="C480" s="12" t="str">
        <f>IFERROR(VLOOKUP(TED[[#This Row],[CENTRO]],'CENTRO DE CUSTO'!B:E,4,FALSE)," ")</f>
        <v>DÉBORA GOBETTI</v>
      </c>
      <c r="D480" s="12">
        <v>87</v>
      </c>
      <c r="E480" s="16">
        <v>87024</v>
      </c>
      <c r="F480" s="10" t="s">
        <v>70</v>
      </c>
      <c r="G480" s="10">
        <v>220</v>
      </c>
      <c r="H480" s="11">
        <v>42892</v>
      </c>
      <c r="I480" s="10" t="s">
        <v>21</v>
      </c>
      <c r="J480" s="12" t="str">
        <f>IF(OR(TED[[#This Row],[SITUACAO]]=1,TED[[#This Row],[SITUACAO]]=9,TED[[#This Row],[SITUACAO]]=18),"ATIVO","AFASTADO")</f>
        <v>ATIVO</v>
      </c>
      <c r="K480" s="12">
        <v>1</v>
      </c>
    </row>
    <row r="481" spans="1:11" x14ac:dyDescent="0.25">
      <c r="A481" s="10">
        <v>5251</v>
      </c>
      <c r="B481" s="9" t="s">
        <v>125</v>
      </c>
      <c r="C481" s="12" t="str">
        <f>IFERROR(VLOOKUP(TED[[#This Row],[CENTRO]],'CENTRO DE CUSTO'!B:E,4,FALSE)," ")</f>
        <v>CARLOS FABRI</v>
      </c>
      <c r="D481" s="12">
        <v>87</v>
      </c>
      <c r="E481" s="16">
        <v>87037</v>
      </c>
      <c r="F481" s="10" t="s">
        <v>123</v>
      </c>
      <c r="G481" s="10">
        <v>220</v>
      </c>
      <c r="H481" s="11">
        <v>42156</v>
      </c>
      <c r="I481" s="10" t="s">
        <v>1</v>
      </c>
      <c r="J481" s="12" t="str">
        <f>IF(OR(TED[[#This Row],[SITUACAO]]=1,TED[[#This Row],[SITUACAO]]=9,TED[[#This Row],[SITUACAO]]=18),"ATIVO","AFASTADO")</f>
        <v>ATIVO</v>
      </c>
      <c r="K481" s="12">
        <v>1</v>
      </c>
    </row>
    <row r="482" spans="1:11" x14ac:dyDescent="0.25">
      <c r="A482" s="10">
        <v>44243</v>
      </c>
      <c r="B482" s="9" t="s">
        <v>2065</v>
      </c>
      <c r="C482" s="12" t="str">
        <f>IFERROR(VLOOKUP(TED[[#This Row],[CENTRO]],'CENTRO DE CUSTO'!B:E,4,FALSE)," ")</f>
        <v>JOÃO CLEMENTONI</v>
      </c>
      <c r="D482" s="12">
        <v>87</v>
      </c>
      <c r="E482" s="16">
        <v>87049</v>
      </c>
      <c r="F482" s="10" t="s">
        <v>187</v>
      </c>
      <c r="G482" s="10">
        <v>220</v>
      </c>
      <c r="H482" s="11">
        <v>46080</v>
      </c>
      <c r="I482" s="10" t="s">
        <v>21</v>
      </c>
      <c r="J482" s="12" t="str">
        <f>IF(OR(TED[[#This Row],[SITUACAO]]=1,TED[[#This Row],[SITUACAO]]=9,TED[[#This Row],[SITUACAO]]=18),"ATIVO","AFASTADO")</f>
        <v>ATIVO</v>
      </c>
      <c r="K482" s="12">
        <v>1</v>
      </c>
    </row>
    <row r="483" spans="1:11" x14ac:dyDescent="0.25">
      <c r="A483" s="10">
        <v>45687</v>
      </c>
      <c r="B483" s="9" t="s">
        <v>2222</v>
      </c>
      <c r="C483" s="12" t="str">
        <f>IFERROR(VLOOKUP(TED[[#This Row],[CENTRO]],'CENTRO DE CUSTO'!B:E,4,FALSE)," ")</f>
        <v>PAULO TORRES</v>
      </c>
      <c r="D483" s="12">
        <v>87</v>
      </c>
      <c r="E483" s="16">
        <v>87481</v>
      </c>
      <c r="F483" s="10" t="s">
        <v>613</v>
      </c>
      <c r="G483" s="10">
        <v>220</v>
      </c>
      <c r="H483" s="11">
        <v>46161</v>
      </c>
      <c r="I483" s="10" t="s">
        <v>604</v>
      </c>
      <c r="J483" s="12" t="str">
        <f>IF(OR(TED[[#This Row],[SITUACAO]]=1,TED[[#This Row],[SITUACAO]]=9,TED[[#This Row],[SITUACAO]]=18),"ATIVO","AFASTADO")</f>
        <v>ATIVO</v>
      </c>
      <c r="K483" s="12">
        <v>1</v>
      </c>
    </row>
    <row r="484" spans="1:11" x14ac:dyDescent="0.25">
      <c r="A484" s="10">
        <v>45055</v>
      </c>
      <c r="B484" s="9" t="s">
        <v>2166</v>
      </c>
      <c r="C484" s="12" t="str">
        <f>IFERROR(VLOOKUP(TED[[#This Row],[CENTRO]],'CENTRO DE CUSTO'!B:E,4,FALSE)," ")</f>
        <v>DÉBORA GOBETTI</v>
      </c>
      <c r="D484" s="12">
        <v>87</v>
      </c>
      <c r="E484" s="16">
        <v>87046</v>
      </c>
      <c r="F484" s="10" t="s">
        <v>170</v>
      </c>
      <c r="G484" s="10">
        <v>220</v>
      </c>
      <c r="H484" s="11">
        <v>46125</v>
      </c>
      <c r="I484" s="10" t="s">
        <v>21</v>
      </c>
      <c r="J484" s="12" t="str">
        <f>IF(OR(TED[[#This Row],[SITUACAO]]=1,TED[[#This Row],[SITUACAO]]=9,TED[[#This Row],[SITUACAO]]=18),"ATIVO","AFASTADO")</f>
        <v>ATIVO</v>
      </c>
      <c r="K484" s="12">
        <v>1</v>
      </c>
    </row>
    <row r="485" spans="1:11" x14ac:dyDescent="0.25">
      <c r="A485" s="10">
        <v>5341</v>
      </c>
      <c r="B485" s="9" t="s">
        <v>259</v>
      </c>
      <c r="C485" s="12" t="str">
        <f>IFERROR(VLOOKUP(TED[[#This Row],[CENTRO]],'CENTRO DE CUSTO'!B:E,4,FALSE)," ")</f>
        <v>JOÃO CLEMENTONI</v>
      </c>
      <c r="D485" s="12">
        <v>87</v>
      </c>
      <c r="E485" s="16">
        <v>87063</v>
      </c>
      <c r="F485" s="10" t="s">
        <v>256</v>
      </c>
      <c r="G485" s="10">
        <v>220</v>
      </c>
      <c r="H485" s="11">
        <v>42156</v>
      </c>
      <c r="I485" s="10" t="s">
        <v>1</v>
      </c>
      <c r="J485" s="12" t="str">
        <f>IF(OR(TED[[#This Row],[SITUACAO]]=1,TED[[#This Row],[SITUACAO]]=9,TED[[#This Row],[SITUACAO]]=18),"ATIVO","AFASTADO")</f>
        <v>ATIVO</v>
      </c>
      <c r="K485" s="12">
        <v>1</v>
      </c>
    </row>
    <row r="486" spans="1:11" x14ac:dyDescent="0.25">
      <c r="A486" s="10">
        <v>5479</v>
      </c>
      <c r="B486" s="9" t="s">
        <v>522</v>
      </c>
      <c r="C486" s="12" t="str">
        <f>IFERROR(VLOOKUP(TED[[#This Row],[CENTRO]],'CENTRO DE CUSTO'!B:E,4,FALSE)," ")</f>
        <v>VANDERSON</v>
      </c>
      <c r="D486" s="12">
        <v>87</v>
      </c>
      <c r="E486" s="16">
        <v>87113</v>
      </c>
      <c r="F486" s="10" t="s">
        <v>519</v>
      </c>
      <c r="G486" s="10">
        <v>220</v>
      </c>
      <c r="H486" s="11">
        <v>42156</v>
      </c>
      <c r="I486" s="10" t="s">
        <v>1</v>
      </c>
      <c r="J486" s="12" t="str">
        <f>IF(OR(TED[[#This Row],[SITUACAO]]=1,TED[[#This Row],[SITUACAO]]=9,TED[[#This Row],[SITUACAO]]=18),"ATIVO","AFASTADO")</f>
        <v>ATIVO</v>
      </c>
      <c r="K486" s="12">
        <v>1</v>
      </c>
    </row>
    <row r="487" spans="1:11" x14ac:dyDescent="0.25">
      <c r="A487" s="10">
        <v>20404</v>
      </c>
      <c r="B487" s="9" t="s">
        <v>332</v>
      </c>
      <c r="C487" s="12" t="str">
        <f>IFERROR(VLOOKUP(TED[[#This Row],[CENTRO]],'CENTRO DE CUSTO'!B:E,4,FALSE)," ")</f>
        <v>DÉBORA GOBETTI</v>
      </c>
      <c r="D487" s="12">
        <v>87</v>
      </c>
      <c r="E487" s="16">
        <v>87077</v>
      </c>
      <c r="F487" s="10" t="s">
        <v>330</v>
      </c>
      <c r="G487" s="10">
        <v>220</v>
      </c>
      <c r="H487" s="11">
        <v>44609</v>
      </c>
      <c r="I487" s="10" t="s">
        <v>21</v>
      </c>
      <c r="J487" s="12" t="str">
        <f>IF(OR(TED[[#This Row],[SITUACAO]]=1,TED[[#This Row],[SITUACAO]]=9,TED[[#This Row],[SITUACAO]]=18),"ATIVO","AFASTADO")</f>
        <v>ATIVO</v>
      </c>
      <c r="K487" s="12">
        <v>1</v>
      </c>
    </row>
    <row r="488" spans="1:11" x14ac:dyDescent="0.25">
      <c r="A488" s="10">
        <v>5614</v>
      </c>
      <c r="B488" s="9" t="s">
        <v>200</v>
      </c>
      <c r="C488" s="12" t="str">
        <f>IFERROR(VLOOKUP(TED[[#This Row],[CENTRO]],'CENTRO DE CUSTO'!B:E,4,FALSE)," ")</f>
        <v>DÉBORA GOBETTI</v>
      </c>
      <c r="D488" s="12">
        <v>87</v>
      </c>
      <c r="E488" s="16">
        <v>87051</v>
      </c>
      <c r="F488" s="10" t="s">
        <v>199</v>
      </c>
      <c r="G488" s="10">
        <v>220</v>
      </c>
      <c r="H488" s="11">
        <v>42156</v>
      </c>
      <c r="I488" s="10" t="s">
        <v>21</v>
      </c>
      <c r="J488" s="12" t="str">
        <f>IF(OR(TED[[#This Row],[SITUACAO]]=1,TED[[#This Row],[SITUACAO]]=9,TED[[#This Row],[SITUACAO]]=18),"ATIVO","AFASTADO")</f>
        <v>ATIVO</v>
      </c>
      <c r="K488" s="12">
        <v>1</v>
      </c>
    </row>
    <row r="489" spans="1:11" x14ac:dyDescent="0.25">
      <c r="A489" s="10">
        <v>6348</v>
      </c>
      <c r="B489" s="9" t="s">
        <v>385</v>
      </c>
      <c r="C489" s="12" t="str">
        <f>IFERROR(VLOOKUP(TED[[#This Row],[CENTRO]],'CENTRO DE CUSTO'!B:E,4,FALSE)," ")</f>
        <v>S/ SUPERVISOR</v>
      </c>
      <c r="D489" s="12">
        <v>87</v>
      </c>
      <c r="E489" s="16">
        <v>87088</v>
      </c>
      <c r="F489" s="10" t="s">
        <v>384</v>
      </c>
      <c r="G489" s="10">
        <v>220</v>
      </c>
      <c r="H489" s="11">
        <v>42306</v>
      </c>
      <c r="I489" s="10" t="s">
        <v>1</v>
      </c>
      <c r="J489" s="12" t="str">
        <f>IF(OR(TED[[#This Row],[SITUACAO]]=1,TED[[#This Row],[SITUACAO]]=9,TED[[#This Row],[SITUACAO]]=18),"ATIVO","AFASTADO")</f>
        <v>ATIVO</v>
      </c>
      <c r="K489" s="12">
        <v>1</v>
      </c>
    </row>
    <row r="490" spans="1:11" x14ac:dyDescent="0.25">
      <c r="A490" s="10">
        <v>5290</v>
      </c>
      <c r="B490" s="9" t="s">
        <v>201</v>
      </c>
      <c r="C490" s="12" t="str">
        <f>IFERROR(VLOOKUP(TED[[#This Row],[CENTRO]],'CENTRO DE CUSTO'!B:E,4,FALSE)," ")</f>
        <v>DÉBORA GOBETTI</v>
      </c>
      <c r="D490" s="12">
        <v>87</v>
      </c>
      <c r="E490" s="16">
        <v>87051</v>
      </c>
      <c r="F490" s="10" t="s">
        <v>199</v>
      </c>
      <c r="G490" s="10">
        <v>220</v>
      </c>
      <c r="H490" s="11">
        <v>42156</v>
      </c>
      <c r="I490" s="10" t="s">
        <v>21</v>
      </c>
      <c r="J490" s="12" t="str">
        <f>IF(OR(TED[[#This Row],[SITUACAO]]=1,TED[[#This Row],[SITUACAO]]=9,TED[[#This Row],[SITUACAO]]=18),"ATIVO","AFASTADO")</f>
        <v>ATIVO</v>
      </c>
      <c r="K490" s="12">
        <v>1</v>
      </c>
    </row>
    <row r="491" spans="1:11" x14ac:dyDescent="0.25">
      <c r="A491" s="10">
        <v>5234</v>
      </c>
      <c r="B491" s="9" t="s">
        <v>558</v>
      </c>
      <c r="C491" s="12" t="str">
        <f>IFERROR(VLOOKUP(TED[[#This Row],[CENTRO]],'CENTRO DE CUSTO'!B:E,4,FALSE)," ")</f>
        <v>S/ SUPERVISOR</v>
      </c>
      <c r="D491" s="12">
        <v>87</v>
      </c>
      <c r="E491" s="16">
        <v>87121</v>
      </c>
      <c r="F491" s="10" t="s">
        <v>557</v>
      </c>
      <c r="G491" s="10">
        <v>220</v>
      </c>
      <c r="H491" s="11">
        <v>42156</v>
      </c>
      <c r="I491" s="10" t="s">
        <v>1</v>
      </c>
      <c r="J491" s="12" t="str">
        <f>IF(OR(TED[[#This Row],[SITUACAO]]=1,TED[[#This Row],[SITUACAO]]=9,TED[[#This Row],[SITUACAO]]=18),"ATIVO","AFASTADO")</f>
        <v>ATIVO</v>
      </c>
      <c r="K491" s="12">
        <v>1</v>
      </c>
    </row>
    <row r="492" spans="1:11" x14ac:dyDescent="0.25">
      <c r="A492" s="10">
        <v>46451</v>
      </c>
      <c r="B492" s="9" t="s">
        <v>2327</v>
      </c>
      <c r="C492" s="12" t="str">
        <f>IFERROR(VLOOKUP(TED[[#This Row],[CENTRO]],'CENTRO DE CUSTO'!B:E,4,FALSE)," ")</f>
        <v>DÉBORA GOBETTI</v>
      </c>
      <c r="D492" s="12">
        <v>87</v>
      </c>
      <c r="E492" s="16">
        <v>87105</v>
      </c>
      <c r="F492" s="10" t="s">
        <v>473</v>
      </c>
      <c r="G492" s="10">
        <v>220</v>
      </c>
      <c r="H492" s="11">
        <v>46191</v>
      </c>
      <c r="I492" s="10" t="s">
        <v>1</v>
      </c>
      <c r="J492" s="12" t="str">
        <f>IF(OR(TED[[#This Row],[SITUACAO]]=1,TED[[#This Row],[SITUACAO]]=9,TED[[#This Row],[SITUACAO]]=18),"ATIVO","AFASTADO")</f>
        <v>ATIVO</v>
      </c>
      <c r="K492" s="12">
        <v>1</v>
      </c>
    </row>
    <row r="493" spans="1:11" x14ac:dyDescent="0.25">
      <c r="A493" s="10">
        <v>492</v>
      </c>
      <c r="B493" s="9" t="s">
        <v>343</v>
      </c>
      <c r="C493" s="12" t="str">
        <f>IFERROR(VLOOKUP(TED[[#This Row],[CENTRO]],'CENTRO DE CUSTO'!B:E,4,FALSE)," ")</f>
        <v>JOÃO CLEMENTONI</v>
      </c>
      <c r="D493" s="12">
        <v>87</v>
      </c>
      <c r="E493" s="16">
        <v>87079</v>
      </c>
      <c r="F493" s="10" t="s">
        <v>340</v>
      </c>
      <c r="G493" s="10">
        <v>220</v>
      </c>
      <c r="H493" s="11">
        <v>40476</v>
      </c>
      <c r="I493" s="10" t="s">
        <v>21</v>
      </c>
      <c r="J493" s="12" t="str">
        <f>IF(OR(TED[[#This Row],[SITUACAO]]=1,TED[[#This Row],[SITUACAO]]=9,TED[[#This Row],[SITUACAO]]=18),"ATIVO","AFASTADO")</f>
        <v>ATIVO</v>
      </c>
      <c r="K493" s="12">
        <v>1</v>
      </c>
    </row>
    <row r="494" spans="1:11" x14ac:dyDescent="0.25">
      <c r="A494" s="10">
        <v>38751</v>
      </c>
      <c r="B494" s="9" t="s">
        <v>183</v>
      </c>
      <c r="C494" s="12" t="str">
        <f>IFERROR(VLOOKUP(TED[[#This Row],[CENTRO]],'CENTRO DE CUSTO'!B:E,4,FALSE)," ")</f>
        <v>VANDERSON</v>
      </c>
      <c r="D494" s="12">
        <v>87</v>
      </c>
      <c r="E494" s="16">
        <v>87048</v>
      </c>
      <c r="F494" s="10" t="s">
        <v>184</v>
      </c>
      <c r="G494" s="10">
        <v>220</v>
      </c>
      <c r="H494" s="11">
        <v>45792</v>
      </c>
      <c r="I494" s="10" t="s">
        <v>21</v>
      </c>
      <c r="J494" s="12" t="str">
        <f>IF(OR(TED[[#This Row],[SITUACAO]]=1,TED[[#This Row],[SITUACAO]]=9,TED[[#This Row],[SITUACAO]]=18),"ATIVO","AFASTADO")</f>
        <v>ATIVO</v>
      </c>
      <c r="K494" s="12">
        <v>1</v>
      </c>
    </row>
    <row r="495" spans="1:11" x14ac:dyDescent="0.25">
      <c r="A495" s="10">
        <v>32009</v>
      </c>
      <c r="B495" s="9" t="s">
        <v>160</v>
      </c>
      <c r="C495" s="12" t="str">
        <f>IFERROR(VLOOKUP(TED[[#This Row],[CENTRO]],'CENTRO DE CUSTO'!B:E,4,FALSE)," ")</f>
        <v>CARLOS FABRI</v>
      </c>
      <c r="D495" s="12">
        <v>87</v>
      </c>
      <c r="E495" s="16">
        <v>87044</v>
      </c>
      <c r="F495" s="10" t="s">
        <v>161</v>
      </c>
      <c r="G495" s="10">
        <v>220</v>
      </c>
      <c r="H495" s="11">
        <v>45387</v>
      </c>
      <c r="I495" s="10" t="s">
        <v>21</v>
      </c>
      <c r="J495" s="12" t="str">
        <f>IF(OR(TED[[#This Row],[SITUACAO]]=1,TED[[#This Row],[SITUACAO]]=9,TED[[#This Row],[SITUACAO]]=18),"ATIVO","AFASTADO")</f>
        <v>ATIVO</v>
      </c>
      <c r="K495" s="12">
        <v>1</v>
      </c>
    </row>
    <row r="496" spans="1:11" x14ac:dyDescent="0.25">
      <c r="A496" s="10">
        <v>38968</v>
      </c>
      <c r="B496" s="9" t="s">
        <v>314</v>
      </c>
      <c r="C496" s="12" t="str">
        <f>IFERROR(VLOOKUP(TED[[#This Row],[CENTRO]],'CENTRO DE CUSTO'!B:E,4,FALSE)," ")</f>
        <v>VANDERSON</v>
      </c>
      <c r="D496" s="12">
        <v>87</v>
      </c>
      <c r="E496" s="16">
        <v>87074</v>
      </c>
      <c r="F496" s="10" t="s">
        <v>315</v>
      </c>
      <c r="G496" s="10">
        <v>220</v>
      </c>
      <c r="H496" s="11">
        <v>45810</v>
      </c>
      <c r="I496" s="10" t="s">
        <v>21</v>
      </c>
      <c r="J496" s="12" t="str">
        <f>IF(OR(TED[[#This Row],[SITUACAO]]=1,TED[[#This Row],[SITUACAO]]=9,TED[[#This Row],[SITUACAO]]=18),"ATIVO","AFASTADO")</f>
        <v>ATIVO</v>
      </c>
      <c r="K496" s="12">
        <v>1</v>
      </c>
    </row>
    <row r="497" spans="1:11" x14ac:dyDescent="0.25">
      <c r="A497" s="10">
        <v>45679</v>
      </c>
      <c r="B497" s="9" t="s">
        <v>2224</v>
      </c>
      <c r="C497" s="12" t="str">
        <f>IFERROR(VLOOKUP(TED[[#This Row],[CENTRO]],'CENTRO DE CUSTO'!B:E,4,FALSE)," ")</f>
        <v>S/ SUPERVISOR</v>
      </c>
      <c r="D497" s="12">
        <v>87</v>
      </c>
      <c r="E497" s="16">
        <v>87483</v>
      </c>
      <c r="F497" s="10" t="s">
        <v>629</v>
      </c>
      <c r="G497" s="10">
        <v>220</v>
      </c>
      <c r="H497" s="11">
        <v>46160</v>
      </c>
      <c r="I497" s="10" t="s">
        <v>21</v>
      </c>
      <c r="J497" s="12" t="str">
        <f>IF(OR(TED[[#This Row],[SITUACAO]]=1,TED[[#This Row],[SITUACAO]]=9,TED[[#This Row],[SITUACAO]]=18),"ATIVO","AFASTADO")</f>
        <v>ATIVO</v>
      </c>
      <c r="K497" s="12">
        <v>1</v>
      </c>
    </row>
    <row r="498" spans="1:11" x14ac:dyDescent="0.25">
      <c r="A498" s="10">
        <v>29791</v>
      </c>
      <c r="B498" s="9" t="s">
        <v>148</v>
      </c>
      <c r="C498" s="12" t="str">
        <f>IFERROR(VLOOKUP(TED[[#This Row],[CENTRO]],'CENTRO DE CUSTO'!B:E,4,FALSE)," ")</f>
        <v>DÉBORA GOBETTI</v>
      </c>
      <c r="D498" s="12">
        <v>87</v>
      </c>
      <c r="E498" s="16">
        <v>87041</v>
      </c>
      <c r="F498" s="10" t="s">
        <v>140</v>
      </c>
      <c r="G498" s="10">
        <v>150</v>
      </c>
      <c r="H498" s="11">
        <v>45313</v>
      </c>
      <c r="I498" s="10" t="s">
        <v>1</v>
      </c>
      <c r="J498" s="12" t="str">
        <f>IF(OR(TED[[#This Row],[SITUACAO]]=1,TED[[#This Row],[SITUACAO]]=9,TED[[#This Row],[SITUACAO]]=18),"ATIVO","AFASTADO")</f>
        <v>ATIVO</v>
      </c>
      <c r="K498" s="12">
        <v>1</v>
      </c>
    </row>
    <row r="499" spans="1:11" x14ac:dyDescent="0.25">
      <c r="A499" s="10">
        <v>29770</v>
      </c>
      <c r="B499" s="9" t="s">
        <v>141</v>
      </c>
      <c r="C499" s="12" t="str">
        <f>IFERROR(VLOOKUP(TED[[#This Row],[CENTRO]],'CENTRO DE CUSTO'!B:E,4,FALSE)," ")</f>
        <v>DÉBORA GOBETTI</v>
      </c>
      <c r="D499" s="12">
        <v>87</v>
      </c>
      <c r="E499" s="16">
        <v>87041</v>
      </c>
      <c r="F499" s="10" t="s">
        <v>140</v>
      </c>
      <c r="G499" s="10">
        <v>220</v>
      </c>
      <c r="H499" s="11">
        <v>45313</v>
      </c>
      <c r="I499" s="10" t="s">
        <v>21</v>
      </c>
      <c r="J499" s="12" t="str">
        <f>IF(OR(TED[[#This Row],[SITUACAO]]=1,TED[[#This Row],[SITUACAO]]=9,TED[[#This Row],[SITUACAO]]=18),"ATIVO","AFASTADO")</f>
        <v>ATIVO</v>
      </c>
      <c r="K499" s="12">
        <v>1</v>
      </c>
    </row>
    <row r="500" spans="1:11" x14ac:dyDescent="0.25">
      <c r="A500" s="10">
        <v>26835</v>
      </c>
      <c r="B500" s="9" t="s">
        <v>593</v>
      </c>
      <c r="C500" s="12" t="str">
        <f>IFERROR(VLOOKUP(TED[[#This Row],[CENTRO]],'CENTRO DE CUSTO'!B:E,4,FALSE)," ")</f>
        <v>JOÃO CLEMENTONI</v>
      </c>
      <c r="D500" s="12">
        <v>87</v>
      </c>
      <c r="E500" s="16">
        <v>87131</v>
      </c>
      <c r="F500" s="10" t="s">
        <v>592</v>
      </c>
      <c r="G500" s="10">
        <v>220</v>
      </c>
      <c r="H500" s="11">
        <v>45048</v>
      </c>
      <c r="I500" s="10" t="s">
        <v>1</v>
      </c>
      <c r="J500" s="12" t="str">
        <f>IF(OR(TED[[#This Row],[SITUACAO]]=1,TED[[#This Row],[SITUACAO]]=9,TED[[#This Row],[SITUACAO]]=18),"ATIVO","AFASTADO")</f>
        <v>ATIVO</v>
      </c>
      <c r="K500" s="12">
        <v>1</v>
      </c>
    </row>
    <row r="501" spans="1:11" x14ac:dyDescent="0.25">
      <c r="A501" s="10">
        <v>31634</v>
      </c>
      <c r="B501" s="9" t="s">
        <v>468</v>
      </c>
      <c r="C501" s="12" t="str">
        <f>IFERROR(VLOOKUP(TED[[#This Row],[CENTRO]],'CENTRO DE CUSTO'!B:E,4,FALSE)," ")</f>
        <v>S/ SUPERVISOR</v>
      </c>
      <c r="D501" s="12">
        <v>87</v>
      </c>
      <c r="E501" s="16">
        <v>87111</v>
      </c>
      <c r="F501" s="10" t="s">
        <v>506</v>
      </c>
      <c r="G501" s="10">
        <v>220</v>
      </c>
      <c r="H501" s="11">
        <v>45365</v>
      </c>
      <c r="I501" s="10" t="s">
        <v>21</v>
      </c>
      <c r="J501" s="12" t="str">
        <f>IF(OR(TED[[#This Row],[SITUACAO]]=1,TED[[#This Row],[SITUACAO]]=9,TED[[#This Row],[SITUACAO]]=18),"ATIVO","AFASTADO")</f>
        <v>ATIVO</v>
      </c>
      <c r="K501" s="12">
        <v>1</v>
      </c>
    </row>
    <row r="502" spans="1:11" x14ac:dyDescent="0.25">
      <c r="A502" s="10">
        <v>13112</v>
      </c>
      <c r="B502" s="9" t="s">
        <v>221</v>
      </c>
      <c r="C502" s="12" t="str">
        <f>IFERROR(VLOOKUP(TED[[#This Row],[CENTRO]],'CENTRO DE CUSTO'!B:E,4,FALSE)," ")</f>
        <v>CARLOS FABRI</v>
      </c>
      <c r="D502" s="12">
        <v>87</v>
      </c>
      <c r="E502" s="16">
        <v>87056</v>
      </c>
      <c r="F502" s="10" t="s">
        <v>218</v>
      </c>
      <c r="G502" s="10">
        <v>220</v>
      </c>
      <c r="H502" s="11">
        <v>43683</v>
      </c>
      <c r="I502" s="10" t="s">
        <v>1</v>
      </c>
      <c r="J502" s="12" t="str">
        <f>IF(OR(TED[[#This Row],[SITUACAO]]=1,TED[[#This Row],[SITUACAO]]=9,TED[[#This Row],[SITUACAO]]=18),"ATIVO","AFASTADO")</f>
        <v>ATIVO</v>
      </c>
      <c r="K502" s="12">
        <v>1</v>
      </c>
    </row>
    <row r="503" spans="1:11" x14ac:dyDescent="0.25">
      <c r="A503" s="10">
        <v>13628</v>
      </c>
      <c r="B503" s="9" t="s">
        <v>57</v>
      </c>
      <c r="C503" s="12" t="str">
        <f>IFERROR(VLOOKUP(TED[[#This Row],[CENTRO]],'CENTRO DE CUSTO'!B:E,4,FALSE)," ")</f>
        <v>JOÃO CLEMENTONI</v>
      </c>
      <c r="D503" s="12">
        <v>87</v>
      </c>
      <c r="E503" s="16">
        <v>87021</v>
      </c>
      <c r="F503" s="10" t="s">
        <v>55</v>
      </c>
      <c r="G503" s="10">
        <v>220</v>
      </c>
      <c r="H503" s="11">
        <v>43761</v>
      </c>
      <c r="I503" s="10" t="s">
        <v>1</v>
      </c>
      <c r="J503" s="12" t="str">
        <f>IF(OR(TED[[#This Row],[SITUACAO]]=1,TED[[#This Row],[SITUACAO]]=9,TED[[#This Row],[SITUACAO]]=18),"ATIVO","AFASTADO")</f>
        <v>ATIVO</v>
      </c>
      <c r="K503" s="12">
        <v>1</v>
      </c>
    </row>
    <row r="504" spans="1:11" x14ac:dyDescent="0.25">
      <c r="A504" s="10">
        <v>20809</v>
      </c>
      <c r="B504" s="9" t="s">
        <v>423</v>
      </c>
      <c r="C504" s="12" t="str">
        <f>IFERROR(VLOOKUP(TED[[#This Row],[CENTRO]],'CENTRO DE CUSTO'!B:E,4,FALSE)," ")</f>
        <v>JOÃO CLEMENTONI</v>
      </c>
      <c r="D504" s="12">
        <v>87</v>
      </c>
      <c r="E504" s="16">
        <v>87095</v>
      </c>
      <c r="F504" s="10" t="s">
        <v>421</v>
      </c>
      <c r="G504" s="10">
        <v>220</v>
      </c>
      <c r="H504" s="11">
        <v>44652</v>
      </c>
      <c r="I504" s="10" t="s">
        <v>21</v>
      </c>
      <c r="J504" s="12" t="str">
        <f>IF(OR(TED[[#This Row],[SITUACAO]]=1,TED[[#This Row],[SITUACAO]]=9,TED[[#This Row],[SITUACAO]]=18),"ATIVO","AFASTADO")</f>
        <v>AFASTADO</v>
      </c>
      <c r="K504" s="12">
        <v>12</v>
      </c>
    </row>
    <row r="505" spans="1:11" x14ac:dyDescent="0.25">
      <c r="A505" s="10">
        <v>16438</v>
      </c>
      <c r="B505" s="9" t="s">
        <v>334</v>
      </c>
      <c r="C505" s="12" t="str">
        <f>IFERROR(VLOOKUP(TED[[#This Row],[CENTRO]],'CENTRO DE CUSTO'!B:E,4,FALSE)," ")</f>
        <v>DÉBORA GOBETTI</v>
      </c>
      <c r="D505" s="12">
        <v>87</v>
      </c>
      <c r="E505" s="16">
        <v>87077</v>
      </c>
      <c r="F505" s="10" t="s">
        <v>330</v>
      </c>
      <c r="G505" s="10">
        <v>150</v>
      </c>
      <c r="H505" s="11">
        <v>44349</v>
      </c>
      <c r="I505" s="10" t="s">
        <v>1</v>
      </c>
      <c r="J505" s="12" t="str">
        <f>IF(OR(TED[[#This Row],[SITUACAO]]=1,TED[[#This Row],[SITUACAO]]=9,TED[[#This Row],[SITUACAO]]=18),"ATIVO","AFASTADO")</f>
        <v>ATIVO</v>
      </c>
      <c r="K505" s="12">
        <v>1</v>
      </c>
    </row>
    <row r="506" spans="1:11" x14ac:dyDescent="0.25">
      <c r="A506" s="10">
        <v>10486</v>
      </c>
      <c r="B506" s="9" t="s">
        <v>433</v>
      </c>
      <c r="C506" s="12" t="str">
        <f>IFERROR(VLOOKUP(TED[[#This Row],[CENTRO]],'CENTRO DE CUSTO'!B:E,4,FALSE)," ")</f>
        <v>JOÃO CLEMENTONI</v>
      </c>
      <c r="D506" s="12">
        <v>87</v>
      </c>
      <c r="E506" s="16">
        <v>87097</v>
      </c>
      <c r="F506" s="10" t="s">
        <v>430</v>
      </c>
      <c r="G506" s="10">
        <v>220</v>
      </c>
      <c r="H506" s="11">
        <v>43192</v>
      </c>
      <c r="I506" s="10" t="s">
        <v>21</v>
      </c>
      <c r="J506" s="12" t="str">
        <f>IF(OR(TED[[#This Row],[SITUACAO]]=1,TED[[#This Row],[SITUACAO]]=9,TED[[#This Row],[SITUACAO]]=18),"ATIVO","AFASTADO")</f>
        <v>ATIVO</v>
      </c>
      <c r="K506" s="12">
        <v>1</v>
      </c>
    </row>
    <row r="507" spans="1:11" x14ac:dyDescent="0.25">
      <c r="A507" s="10">
        <v>9100</v>
      </c>
      <c r="B507" s="9" t="s">
        <v>99</v>
      </c>
      <c r="C507" s="12" t="str">
        <f>IFERROR(VLOOKUP(TED[[#This Row],[CENTRO]],'CENTRO DE CUSTO'!B:E,4,FALSE)," ")</f>
        <v>DÉBORA GOBETTI</v>
      </c>
      <c r="D507" s="12">
        <v>87</v>
      </c>
      <c r="E507" s="16">
        <v>87032</v>
      </c>
      <c r="F507" s="10" t="s">
        <v>98</v>
      </c>
      <c r="G507" s="10">
        <v>220</v>
      </c>
      <c r="H507" s="11">
        <v>42878</v>
      </c>
      <c r="I507" s="10" t="s">
        <v>1</v>
      </c>
      <c r="J507" s="12" t="str">
        <f>IF(OR(TED[[#This Row],[SITUACAO]]=1,TED[[#This Row],[SITUACAO]]=9,TED[[#This Row],[SITUACAO]]=18),"ATIVO","AFASTADO")</f>
        <v>ATIVO</v>
      </c>
      <c r="K507" s="12">
        <v>1</v>
      </c>
    </row>
    <row r="508" spans="1:11" x14ac:dyDescent="0.25">
      <c r="A508" s="10">
        <v>5483</v>
      </c>
      <c r="B508" s="9" t="s">
        <v>413</v>
      </c>
      <c r="C508" s="12" t="str">
        <f>IFERROR(VLOOKUP(TED[[#This Row],[CENTRO]],'CENTRO DE CUSTO'!B:E,4,FALSE)," ")</f>
        <v>CARLOS FABRI</v>
      </c>
      <c r="D508" s="12">
        <v>87</v>
      </c>
      <c r="E508" s="16">
        <v>87093</v>
      </c>
      <c r="F508" s="10" t="s">
        <v>412</v>
      </c>
      <c r="G508" s="10">
        <v>220</v>
      </c>
      <c r="H508" s="11">
        <v>42156</v>
      </c>
      <c r="I508" s="10" t="s">
        <v>1</v>
      </c>
      <c r="J508" s="12" t="str">
        <f>IF(OR(TED[[#This Row],[SITUACAO]]=1,TED[[#This Row],[SITUACAO]]=9,TED[[#This Row],[SITUACAO]]=18),"ATIVO","AFASTADO")</f>
        <v>ATIVO</v>
      </c>
      <c r="K508" s="12">
        <v>1</v>
      </c>
    </row>
    <row r="509" spans="1:11" x14ac:dyDescent="0.25">
      <c r="A509" s="10">
        <v>40496</v>
      </c>
      <c r="B509" s="9" t="s">
        <v>597</v>
      </c>
      <c r="C509" s="12" t="str">
        <f>IFERROR(VLOOKUP(TED[[#This Row],[CENTRO]],'CENTRO DE CUSTO'!B:E,4,FALSE)," ")</f>
        <v>JOÃO CLEMENTONI</v>
      </c>
      <c r="D509" s="12">
        <v>87</v>
      </c>
      <c r="E509" s="16">
        <v>87131</v>
      </c>
      <c r="F509" s="10" t="s">
        <v>592</v>
      </c>
      <c r="G509" s="10">
        <v>220</v>
      </c>
      <c r="H509" s="11">
        <v>45903</v>
      </c>
      <c r="I509" s="10" t="s">
        <v>21</v>
      </c>
      <c r="J509" s="12" t="str">
        <f>IF(OR(TED[[#This Row],[SITUACAO]]=1,TED[[#This Row],[SITUACAO]]=9,TED[[#This Row],[SITUACAO]]=18),"ATIVO","AFASTADO")</f>
        <v>ATIVO</v>
      </c>
      <c r="K509" s="12">
        <v>1</v>
      </c>
    </row>
    <row r="510" spans="1:11" x14ac:dyDescent="0.25">
      <c r="A510" s="10">
        <v>26096</v>
      </c>
      <c r="B510" s="9" t="s">
        <v>119</v>
      </c>
      <c r="C510" s="12" t="str">
        <f>IFERROR(VLOOKUP(TED[[#This Row],[CENTRO]],'CENTRO DE CUSTO'!B:E,4,FALSE)," ")</f>
        <v>S/ SUPERVISOR</v>
      </c>
      <c r="D510" s="12">
        <v>87</v>
      </c>
      <c r="E510" s="16">
        <v>87036</v>
      </c>
      <c r="F510" s="10" t="s">
        <v>112</v>
      </c>
      <c r="G510" s="10">
        <v>220</v>
      </c>
      <c r="H510" s="11">
        <v>45019</v>
      </c>
      <c r="I510" s="10" t="s">
        <v>21</v>
      </c>
      <c r="J510" s="12" t="str">
        <f>IF(OR(TED[[#This Row],[SITUACAO]]=1,TED[[#This Row],[SITUACAO]]=9,TED[[#This Row],[SITUACAO]]=18),"ATIVO","AFASTADO")</f>
        <v>ATIVO</v>
      </c>
      <c r="K510" s="12">
        <v>1</v>
      </c>
    </row>
    <row r="511" spans="1:11" x14ac:dyDescent="0.25">
      <c r="A511" s="10">
        <v>5352</v>
      </c>
      <c r="B511" s="9" t="s">
        <v>38</v>
      </c>
      <c r="C511" s="12" t="str">
        <f>IFERROR(VLOOKUP(TED[[#This Row],[CENTRO]],'CENTRO DE CUSTO'!B:E,4,FALSE)," ")</f>
        <v>VANDERSON</v>
      </c>
      <c r="D511" s="12">
        <v>87</v>
      </c>
      <c r="E511" s="16">
        <v>87017</v>
      </c>
      <c r="F511" s="10" t="s">
        <v>39</v>
      </c>
      <c r="G511" s="10">
        <v>220</v>
      </c>
      <c r="H511" s="11">
        <v>42156</v>
      </c>
      <c r="I511" s="10" t="s">
        <v>1</v>
      </c>
      <c r="J511" s="12" t="str">
        <f>IF(OR(TED[[#This Row],[SITUACAO]]=1,TED[[#This Row],[SITUACAO]]=9,TED[[#This Row],[SITUACAO]]=18),"ATIVO","AFASTADO")</f>
        <v>ATIVO</v>
      </c>
      <c r="K511" s="12">
        <v>1</v>
      </c>
    </row>
    <row r="512" spans="1:11" x14ac:dyDescent="0.25">
      <c r="A512" s="10">
        <v>11362</v>
      </c>
      <c r="B512" s="9" t="s">
        <v>53</v>
      </c>
      <c r="C512" s="12" t="str">
        <f>IFERROR(VLOOKUP(TED[[#This Row],[CENTRO]],'CENTRO DE CUSTO'!B:E,4,FALSE)," ")</f>
        <v>VANDERSON</v>
      </c>
      <c r="D512" s="12">
        <v>87</v>
      </c>
      <c r="E512" s="16">
        <v>87020</v>
      </c>
      <c r="F512" s="10" t="s">
        <v>51</v>
      </c>
      <c r="G512" s="10">
        <v>220</v>
      </c>
      <c r="H512" s="11">
        <v>43381</v>
      </c>
      <c r="I512" s="10" t="s">
        <v>1</v>
      </c>
      <c r="J512" s="12" t="str">
        <f>IF(OR(TED[[#This Row],[SITUACAO]]=1,TED[[#This Row],[SITUACAO]]=9,TED[[#This Row],[SITUACAO]]=18),"ATIVO","AFASTADO")</f>
        <v>ATIVO</v>
      </c>
      <c r="K512" s="12">
        <v>1</v>
      </c>
    </row>
    <row r="513" spans="1:11" x14ac:dyDescent="0.25">
      <c r="A513" s="10">
        <v>32428</v>
      </c>
      <c r="B513" s="9" t="s">
        <v>520</v>
      </c>
      <c r="C513" s="12" t="str">
        <f>IFERROR(VLOOKUP(TED[[#This Row],[CENTRO]],'CENTRO DE CUSTO'!B:E,4,FALSE)," ")</f>
        <v>VANDERSON</v>
      </c>
      <c r="D513" s="12">
        <v>87</v>
      </c>
      <c r="E513" s="16">
        <v>87113</v>
      </c>
      <c r="F513" s="10" t="s">
        <v>519</v>
      </c>
      <c r="G513" s="10">
        <v>220</v>
      </c>
      <c r="H513" s="11">
        <v>45418</v>
      </c>
      <c r="I513" s="10" t="s">
        <v>21</v>
      </c>
      <c r="J513" s="12" t="str">
        <f>IF(OR(TED[[#This Row],[SITUACAO]]=1,TED[[#This Row],[SITUACAO]]=9,TED[[#This Row],[SITUACAO]]=18),"ATIVO","AFASTADO")</f>
        <v>ATIVO</v>
      </c>
      <c r="K513" s="12">
        <v>1</v>
      </c>
    </row>
    <row r="514" spans="1:11" x14ac:dyDescent="0.25">
      <c r="A514" s="10">
        <v>7942</v>
      </c>
      <c r="B514" s="9" t="s">
        <v>133</v>
      </c>
      <c r="C514" s="12" t="str">
        <f>IFERROR(VLOOKUP(TED[[#This Row],[CENTRO]],'CENTRO DE CUSTO'!B:E,4,FALSE)," ")</f>
        <v>S/ SUPERVISOR</v>
      </c>
      <c r="D514" s="12">
        <v>87</v>
      </c>
      <c r="E514" s="16">
        <v>87039</v>
      </c>
      <c r="F514" s="10" t="s">
        <v>131</v>
      </c>
      <c r="G514" s="10">
        <v>220</v>
      </c>
      <c r="H514" s="11">
        <v>42614</v>
      </c>
      <c r="I514" s="10" t="s">
        <v>1</v>
      </c>
      <c r="J514" s="12" t="str">
        <f>IF(OR(TED[[#This Row],[SITUACAO]]=1,TED[[#This Row],[SITUACAO]]=9,TED[[#This Row],[SITUACAO]]=18),"ATIVO","AFASTADO")</f>
        <v>ATIVO</v>
      </c>
      <c r="K514" s="12">
        <v>1</v>
      </c>
    </row>
    <row r="515" spans="1:11" x14ac:dyDescent="0.25">
      <c r="A515" s="10">
        <v>20131</v>
      </c>
      <c r="B515" s="9" t="s">
        <v>333</v>
      </c>
      <c r="C515" s="12" t="str">
        <f>IFERROR(VLOOKUP(TED[[#This Row],[CENTRO]],'CENTRO DE CUSTO'!B:E,4,FALSE)," ")</f>
        <v>DÉBORA GOBETTI</v>
      </c>
      <c r="D515" s="12">
        <v>87</v>
      </c>
      <c r="E515" s="16">
        <v>87077</v>
      </c>
      <c r="F515" s="10" t="s">
        <v>330</v>
      </c>
      <c r="G515" s="10">
        <v>220</v>
      </c>
      <c r="H515" s="11">
        <v>44586</v>
      </c>
      <c r="I515" s="10" t="s">
        <v>21</v>
      </c>
      <c r="J515" s="12" t="str">
        <f>IF(OR(TED[[#This Row],[SITUACAO]]=1,TED[[#This Row],[SITUACAO]]=9,TED[[#This Row],[SITUACAO]]=18),"ATIVO","AFASTADO")</f>
        <v>ATIVO</v>
      </c>
      <c r="K515" s="12">
        <v>1</v>
      </c>
    </row>
    <row r="516" spans="1:11" x14ac:dyDescent="0.25">
      <c r="A516" s="10">
        <v>5333</v>
      </c>
      <c r="B516" s="9" t="s">
        <v>188</v>
      </c>
      <c r="C516" s="12" t="str">
        <f>IFERROR(VLOOKUP(TED[[#This Row],[CENTRO]],'CENTRO DE CUSTO'!B:E,4,FALSE)," ")</f>
        <v>JOÃO CLEMENTONI</v>
      </c>
      <c r="D516" s="12">
        <v>87</v>
      </c>
      <c r="E516" s="16">
        <v>87049</v>
      </c>
      <c r="F516" s="10" t="s">
        <v>187</v>
      </c>
      <c r="G516" s="10">
        <v>220</v>
      </c>
      <c r="H516" s="11">
        <v>42156</v>
      </c>
      <c r="I516" s="10" t="s">
        <v>1</v>
      </c>
      <c r="J516" s="12" t="str">
        <f>IF(OR(TED[[#This Row],[SITUACAO]]=1,TED[[#This Row],[SITUACAO]]=9,TED[[#This Row],[SITUACAO]]=18),"ATIVO","AFASTADO")</f>
        <v>ATIVO</v>
      </c>
      <c r="K516" s="12">
        <v>1</v>
      </c>
    </row>
    <row r="517" spans="1:11" x14ac:dyDescent="0.25">
      <c r="A517" s="10">
        <v>35313</v>
      </c>
      <c r="B517" s="9" t="s">
        <v>216</v>
      </c>
      <c r="C517" s="12" t="str">
        <f>IFERROR(VLOOKUP(TED[[#This Row],[CENTRO]],'CENTRO DE CUSTO'!B:E,4,FALSE)," ")</f>
        <v>DÉBORA GOBETTI</v>
      </c>
      <c r="D517" s="12">
        <v>87</v>
      </c>
      <c r="E517" s="16">
        <v>87055</v>
      </c>
      <c r="F517" s="10" t="s">
        <v>213</v>
      </c>
      <c r="G517" s="10">
        <v>220</v>
      </c>
      <c r="H517" s="11">
        <v>45691</v>
      </c>
      <c r="I517" s="10" t="s">
        <v>21</v>
      </c>
      <c r="J517" s="12" t="str">
        <f>IF(OR(TED[[#This Row],[SITUACAO]]=1,TED[[#This Row],[SITUACAO]]=9,TED[[#This Row],[SITUACAO]]=18),"ATIVO","AFASTADO")</f>
        <v>ATIVO</v>
      </c>
      <c r="K517" s="12">
        <v>1</v>
      </c>
    </row>
    <row r="518" spans="1:11" x14ac:dyDescent="0.25">
      <c r="A518" s="10">
        <v>9670</v>
      </c>
      <c r="B518" s="9" t="s">
        <v>202</v>
      </c>
      <c r="C518" s="12" t="str">
        <f>IFERROR(VLOOKUP(TED[[#This Row],[CENTRO]],'CENTRO DE CUSTO'!B:E,4,FALSE)," ")</f>
        <v>DÉBORA GOBETTI</v>
      </c>
      <c r="D518" s="12">
        <v>87</v>
      </c>
      <c r="E518" s="16">
        <v>87051</v>
      </c>
      <c r="F518" s="10" t="s">
        <v>199</v>
      </c>
      <c r="G518" s="10">
        <v>220</v>
      </c>
      <c r="H518" s="11">
        <v>43011</v>
      </c>
      <c r="I518" s="10" t="s">
        <v>1</v>
      </c>
      <c r="J518" s="12" t="str">
        <f>IF(OR(TED[[#This Row],[SITUACAO]]=1,TED[[#This Row],[SITUACAO]]=9,TED[[#This Row],[SITUACAO]]=18),"ATIVO","AFASTADO")</f>
        <v>ATIVO</v>
      </c>
      <c r="K518" s="12">
        <v>1</v>
      </c>
    </row>
    <row r="519" spans="1:11" x14ac:dyDescent="0.25">
      <c r="A519" s="10">
        <v>5388</v>
      </c>
      <c r="B519" s="9" t="s">
        <v>132</v>
      </c>
      <c r="C519" s="12" t="str">
        <f>IFERROR(VLOOKUP(TED[[#This Row],[CENTRO]],'CENTRO DE CUSTO'!B:E,4,FALSE)," ")</f>
        <v>S/ SUPERVISOR</v>
      </c>
      <c r="D519" s="12">
        <v>87</v>
      </c>
      <c r="E519" s="16">
        <v>87039</v>
      </c>
      <c r="F519" s="10" t="s">
        <v>131</v>
      </c>
      <c r="G519" s="10">
        <v>220</v>
      </c>
      <c r="H519" s="11">
        <v>42156</v>
      </c>
      <c r="I519" s="10" t="s">
        <v>1</v>
      </c>
      <c r="J519" s="12" t="str">
        <f>IF(OR(TED[[#This Row],[SITUACAO]]=1,TED[[#This Row],[SITUACAO]]=9,TED[[#This Row],[SITUACAO]]=18),"ATIVO","AFASTADO")</f>
        <v>ATIVO</v>
      </c>
      <c r="K519" s="12">
        <v>1</v>
      </c>
    </row>
    <row r="520" spans="1:11" x14ac:dyDescent="0.25">
      <c r="A520" s="10">
        <v>5299</v>
      </c>
      <c r="B520" s="9" t="s">
        <v>35</v>
      </c>
      <c r="C520" s="12" t="str">
        <f>IFERROR(VLOOKUP(TED[[#This Row],[CENTRO]],'CENTRO DE CUSTO'!B:E,4,FALSE)," ")</f>
        <v>CARLOS FABRI</v>
      </c>
      <c r="D520" s="12">
        <v>87</v>
      </c>
      <c r="E520" s="16">
        <v>87016</v>
      </c>
      <c r="F520" s="10" t="s">
        <v>36</v>
      </c>
      <c r="G520" s="10">
        <v>220</v>
      </c>
      <c r="H520" s="11">
        <v>42156</v>
      </c>
      <c r="I520" s="10" t="s">
        <v>1</v>
      </c>
      <c r="J520" s="12" t="str">
        <f>IF(OR(TED[[#This Row],[SITUACAO]]=1,TED[[#This Row],[SITUACAO]]=9,TED[[#This Row],[SITUACAO]]=18),"ATIVO","AFASTADO")</f>
        <v>ATIVO</v>
      </c>
      <c r="K520" s="12">
        <v>1</v>
      </c>
    </row>
    <row r="521" spans="1:11" x14ac:dyDescent="0.25">
      <c r="A521" s="10">
        <v>44219</v>
      </c>
      <c r="B521" s="9" t="s">
        <v>2064</v>
      </c>
      <c r="C521" s="12" t="str">
        <f>IFERROR(VLOOKUP(TED[[#This Row],[CENTRO]],'CENTRO DE CUSTO'!B:E,4,FALSE)," ")</f>
        <v>JOÃO CLEMENTONI</v>
      </c>
      <c r="D521" s="12">
        <v>87</v>
      </c>
      <c r="E521" s="16">
        <v>87049</v>
      </c>
      <c r="F521" s="10" t="s">
        <v>187</v>
      </c>
      <c r="G521" s="10">
        <v>220</v>
      </c>
      <c r="H521" s="11">
        <v>46078</v>
      </c>
      <c r="I521" s="10" t="s">
        <v>21</v>
      </c>
      <c r="J521" s="12" t="str">
        <f>IF(OR(TED[[#This Row],[SITUACAO]]=1,TED[[#This Row],[SITUACAO]]=9,TED[[#This Row],[SITUACAO]]=18),"ATIVO","AFASTADO")</f>
        <v>ATIVO</v>
      </c>
      <c r="K521" s="12">
        <v>1</v>
      </c>
    </row>
    <row r="522" spans="1:11" x14ac:dyDescent="0.25">
      <c r="A522" s="10">
        <v>33607</v>
      </c>
      <c r="B522" s="9" t="s">
        <v>476</v>
      </c>
      <c r="C522" s="12" t="str">
        <f>IFERROR(VLOOKUP(TED[[#This Row],[CENTRO]],'CENTRO DE CUSTO'!B:E,4,FALSE)," ")</f>
        <v>DÉBORA GOBETTI</v>
      </c>
      <c r="D522" s="12">
        <v>87</v>
      </c>
      <c r="E522" s="16">
        <v>87106</v>
      </c>
      <c r="F522" s="10" t="s">
        <v>477</v>
      </c>
      <c r="G522" s="10">
        <v>220</v>
      </c>
      <c r="H522" s="11">
        <v>45525</v>
      </c>
      <c r="I522" s="10" t="s">
        <v>21</v>
      </c>
      <c r="J522" s="12" t="str">
        <f>IF(OR(TED[[#This Row],[SITUACAO]]=1,TED[[#This Row],[SITUACAO]]=9,TED[[#This Row],[SITUACAO]]=18),"ATIVO","AFASTADO")</f>
        <v>ATIVO</v>
      </c>
      <c r="K522" s="12">
        <v>1</v>
      </c>
    </row>
    <row r="523" spans="1:11" x14ac:dyDescent="0.25">
      <c r="A523" s="10">
        <v>43236</v>
      </c>
      <c r="B523" s="9" t="s">
        <v>2034</v>
      </c>
      <c r="C523" s="12" t="str">
        <f>IFERROR(VLOOKUP(TED[[#This Row],[CENTRO]],'CENTRO DE CUSTO'!B:E,4,FALSE)," ")</f>
        <v>S/ SUPERVISOR</v>
      </c>
      <c r="D523" s="12">
        <v>87</v>
      </c>
      <c r="E523" s="16">
        <v>87045</v>
      </c>
      <c r="F523" s="10" t="s">
        <v>166</v>
      </c>
      <c r="G523" s="10">
        <v>220</v>
      </c>
      <c r="H523" s="11">
        <v>46043</v>
      </c>
      <c r="I523" s="10" t="s">
        <v>1</v>
      </c>
      <c r="J523" s="12" t="str">
        <f>IF(OR(TED[[#This Row],[SITUACAO]]=1,TED[[#This Row],[SITUACAO]]=9,TED[[#This Row],[SITUACAO]]=18),"ATIVO","AFASTADO")</f>
        <v>ATIVO</v>
      </c>
      <c r="K523" s="12">
        <v>1</v>
      </c>
    </row>
    <row r="524" spans="1:11" x14ac:dyDescent="0.25">
      <c r="A524" s="10">
        <v>5344</v>
      </c>
      <c r="B524" s="9" t="s">
        <v>215</v>
      </c>
      <c r="C524" s="12" t="str">
        <f>IFERROR(VLOOKUP(TED[[#This Row],[CENTRO]],'CENTRO DE CUSTO'!B:E,4,FALSE)," ")</f>
        <v>DÉBORA GOBETTI</v>
      </c>
      <c r="D524" s="12">
        <v>87</v>
      </c>
      <c r="E524" s="16">
        <v>87055</v>
      </c>
      <c r="F524" s="10" t="s">
        <v>213</v>
      </c>
      <c r="G524" s="10">
        <v>220</v>
      </c>
      <c r="H524" s="11">
        <v>42156</v>
      </c>
      <c r="I524" s="10" t="s">
        <v>21</v>
      </c>
      <c r="J524" s="12" t="str">
        <f>IF(OR(TED[[#This Row],[SITUACAO]]=1,TED[[#This Row],[SITUACAO]]=9,TED[[#This Row],[SITUACAO]]=18),"ATIVO","AFASTADO")</f>
        <v>ATIVO</v>
      </c>
      <c r="K524" s="12">
        <v>1</v>
      </c>
    </row>
    <row r="525" spans="1:11" x14ac:dyDescent="0.25">
      <c r="A525" s="10">
        <v>8291</v>
      </c>
      <c r="B525" s="9" t="s">
        <v>255</v>
      </c>
      <c r="C525" s="12" t="str">
        <f>IFERROR(VLOOKUP(TED[[#This Row],[CENTRO]],'CENTRO DE CUSTO'!B:E,4,FALSE)," ")</f>
        <v>JOÃO CLEMENTONI</v>
      </c>
      <c r="D525" s="12">
        <v>87</v>
      </c>
      <c r="E525" s="16">
        <v>87063</v>
      </c>
      <c r="F525" s="10" t="s">
        <v>256</v>
      </c>
      <c r="G525" s="10">
        <v>220</v>
      </c>
      <c r="H525" s="11">
        <v>42675</v>
      </c>
      <c r="I525" s="10" t="s">
        <v>21</v>
      </c>
      <c r="J525" s="12" t="str">
        <f>IF(OR(TED[[#This Row],[SITUACAO]]=1,TED[[#This Row],[SITUACAO]]=9,TED[[#This Row],[SITUACAO]]=18),"ATIVO","AFASTADO")</f>
        <v>ATIVO</v>
      </c>
      <c r="K525" s="12">
        <v>1</v>
      </c>
    </row>
    <row r="526" spans="1:11" x14ac:dyDescent="0.25">
      <c r="A526" s="10">
        <v>40191</v>
      </c>
      <c r="B526" s="9" t="s">
        <v>23</v>
      </c>
      <c r="C526" s="12" t="str">
        <f>IFERROR(VLOOKUP(TED[[#This Row],[CENTRO]],'CENTRO DE CUSTO'!B:E,4,FALSE)," ")</f>
        <v>VANDERSON</v>
      </c>
      <c r="D526" s="12">
        <v>87</v>
      </c>
      <c r="E526" s="16">
        <v>87012</v>
      </c>
      <c r="F526" s="10" t="s">
        <v>22</v>
      </c>
      <c r="G526" s="10">
        <v>220</v>
      </c>
      <c r="H526" s="11">
        <v>45901</v>
      </c>
      <c r="I526" s="10" t="s">
        <v>1</v>
      </c>
      <c r="J526" s="12" t="str">
        <f>IF(OR(TED[[#This Row],[SITUACAO]]=1,TED[[#This Row],[SITUACAO]]=9,TED[[#This Row],[SITUACAO]]=18),"ATIVO","AFASTADO")</f>
        <v>ATIVO</v>
      </c>
      <c r="K526" s="12">
        <v>1</v>
      </c>
    </row>
    <row r="527" spans="1:11" x14ac:dyDescent="0.25">
      <c r="A527" s="10">
        <v>5509</v>
      </c>
      <c r="B527" s="9" t="s">
        <v>536</v>
      </c>
      <c r="C527" s="12" t="str">
        <f>IFERROR(VLOOKUP(TED[[#This Row],[CENTRO]],'CENTRO DE CUSTO'!B:E,4,FALSE)," ")</f>
        <v>JOÃO CLEMENTONI</v>
      </c>
      <c r="D527" s="12">
        <v>87</v>
      </c>
      <c r="E527" s="16">
        <v>87116</v>
      </c>
      <c r="F527" s="10" t="s">
        <v>534</v>
      </c>
      <c r="G527" s="10">
        <v>220</v>
      </c>
      <c r="H527" s="11">
        <v>42156</v>
      </c>
      <c r="I527" s="10" t="s">
        <v>1</v>
      </c>
      <c r="J527" s="12" t="str">
        <f>IF(OR(TED[[#This Row],[SITUACAO]]=1,TED[[#This Row],[SITUACAO]]=9,TED[[#This Row],[SITUACAO]]=18),"ATIVO","AFASTADO")</f>
        <v>ATIVO</v>
      </c>
      <c r="K527" s="12">
        <v>1</v>
      </c>
    </row>
    <row r="528" spans="1:11" x14ac:dyDescent="0.25">
      <c r="A528" s="10">
        <v>612</v>
      </c>
      <c r="B528" s="9" t="s">
        <v>463</v>
      </c>
      <c r="C528" s="12" t="str">
        <f>IFERROR(VLOOKUP(TED[[#This Row],[CENTRO]],'CENTRO DE CUSTO'!B:E,4,FALSE)," ")</f>
        <v>S/ SUPERVISOR</v>
      </c>
      <c r="D528" s="12">
        <v>87</v>
      </c>
      <c r="E528" s="16">
        <v>87483</v>
      </c>
      <c r="F528" s="10" t="s">
        <v>629</v>
      </c>
      <c r="G528" s="10">
        <v>220</v>
      </c>
      <c r="H528" s="11">
        <v>40478</v>
      </c>
      <c r="I528" s="10" t="s">
        <v>1</v>
      </c>
      <c r="J528" s="12" t="str">
        <f>IF(OR(TED[[#This Row],[SITUACAO]]=1,TED[[#This Row],[SITUACAO]]=9,TED[[#This Row],[SITUACAO]]=18),"ATIVO","AFASTADO")</f>
        <v>ATIVO</v>
      </c>
      <c r="K528" s="12">
        <v>1</v>
      </c>
    </row>
    <row r="529" spans="1:11" x14ac:dyDescent="0.25">
      <c r="A529" s="10">
        <v>39862</v>
      </c>
      <c r="B529" s="9" t="s">
        <v>441</v>
      </c>
      <c r="C529" s="12" t="str">
        <f>IFERROR(VLOOKUP(TED[[#This Row],[CENTRO]],'CENTRO DE CUSTO'!B:E,4,FALSE)," ")</f>
        <v>CARLOS FABRI</v>
      </c>
      <c r="D529" s="12">
        <v>87</v>
      </c>
      <c r="E529" s="16">
        <v>87098</v>
      </c>
      <c r="F529" s="10" t="s">
        <v>435</v>
      </c>
      <c r="G529" s="10">
        <v>220</v>
      </c>
      <c r="H529" s="11">
        <v>45874</v>
      </c>
      <c r="I529" s="10" t="s">
        <v>21</v>
      </c>
      <c r="J529" s="12" t="str">
        <f>IF(OR(TED[[#This Row],[SITUACAO]]=1,TED[[#This Row],[SITUACAO]]=9,TED[[#This Row],[SITUACAO]]=18),"ATIVO","AFASTADO")</f>
        <v>ATIVO</v>
      </c>
      <c r="K529" s="12">
        <v>1</v>
      </c>
    </row>
    <row r="530" spans="1:11" x14ac:dyDescent="0.25">
      <c r="A530" s="10">
        <v>5506</v>
      </c>
      <c r="B530" s="9" t="s">
        <v>403</v>
      </c>
      <c r="C530" s="12" t="str">
        <f>IFERROR(VLOOKUP(TED[[#This Row],[CENTRO]],'CENTRO DE CUSTO'!B:E,4,FALSE)," ")</f>
        <v>VANDERSON</v>
      </c>
      <c r="D530" s="12">
        <v>87</v>
      </c>
      <c r="E530" s="16">
        <v>87091</v>
      </c>
      <c r="F530" s="10" t="s">
        <v>399</v>
      </c>
      <c r="G530" s="10">
        <v>220</v>
      </c>
      <c r="H530" s="11">
        <v>42156</v>
      </c>
      <c r="I530" s="10" t="s">
        <v>1</v>
      </c>
      <c r="J530" s="12" t="str">
        <f>IF(OR(TED[[#This Row],[SITUACAO]]=1,TED[[#This Row],[SITUACAO]]=9,TED[[#This Row],[SITUACAO]]=18),"ATIVO","AFASTADO")</f>
        <v>ATIVO</v>
      </c>
      <c r="K530" s="12">
        <v>1</v>
      </c>
    </row>
    <row r="531" spans="1:11" x14ac:dyDescent="0.25">
      <c r="A531" s="10">
        <v>36441</v>
      </c>
      <c r="B531" s="9" t="s">
        <v>341</v>
      </c>
      <c r="C531" s="12" t="str">
        <f>IFERROR(VLOOKUP(TED[[#This Row],[CENTRO]],'CENTRO DE CUSTO'!B:E,4,FALSE)," ")</f>
        <v>JOÃO CLEMENTONI</v>
      </c>
      <c r="D531" s="12">
        <v>87</v>
      </c>
      <c r="E531" s="16">
        <v>87079</v>
      </c>
      <c r="F531" s="10" t="s">
        <v>340</v>
      </c>
      <c r="G531" s="10">
        <v>220</v>
      </c>
      <c r="H531" s="11">
        <v>45694</v>
      </c>
      <c r="I531" s="10" t="s">
        <v>21</v>
      </c>
      <c r="J531" s="12" t="str">
        <f>IF(OR(TED[[#This Row],[SITUACAO]]=1,TED[[#This Row],[SITUACAO]]=9,TED[[#This Row],[SITUACAO]]=18),"ATIVO","AFASTADO")</f>
        <v>ATIVO</v>
      </c>
      <c r="K531" s="12">
        <v>1</v>
      </c>
    </row>
    <row r="532" spans="1:11" x14ac:dyDescent="0.25">
      <c r="A532" s="10">
        <v>5281</v>
      </c>
      <c r="B532" s="9" t="s">
        <v>305</v>
      </c>
      <c r="C532" s="12" t="str">
        <f>IFERROR(VLOOKUP(TED[[#This Row],[CENTRO]],'CENTRO DE CUSTO'!B:E,4,FALSE)," ")</f>
        <v>CARLOS FABRI</v>
      </c>
      <c r="D532" s="12">
        <v>87</v>
      </c>
      <c r="E532" s="16">
        <v>87072</v>
      </c>
      <c r="F532" s="10" t="s">
        <v>304</v>
      </c>
      <c r="G532" s="10">
        <v>220</v>
      </c>
      <c r="H532" s="11">
        <v>42156</v>
      </c>
      <c r="I532" s="10" t="s">
        <v>1</v>
      </c>
      <c r="J532" s="12" t="str">
        <f>IF(OR(TED[[#This Row],[SITUACAO]]=1,TED[[#This Row],[SITUACAO]]=9,TED[[#This Row],[SITUACAO]]=18),"ATIVO","AFASTADO")</f>
        <v>ATIVO</v>
      </c>
      <c r="K532" s="12">
        <v>1</v>
      </c>
    </row>
    <row r="533" spans="1:11" x14ac:dyDescent="0.25">
      <c r="A533" s="10">
        <v>45008</v>
      </c>
      <c r="B533" s="9" t="s">
        <v>2169</v>
      </c>
      <c r="C533" s="12" t="str">
        <f>IFERROR(VLOOKUP(TED[[#This Row],[CENTRO]],'CENTRO DE CUSTO'!B:E,4,FALSE)," ")</f>
        <v>DÉBORA GOBETTI</v>
      </c>
      <c r="D533" s="12">
        <v>87</v>
      </c>
      <c r="E533" s="16">
        <v>87071</v>
      </c>
      <c r="F533" s="10" t="s">
        <v>299</v>
      </c>
      <c r="G533" s="10">
        <v>220</v>
      </c>
      <c r="H533" s="11">
        <v>46120</v>
      </c>
      <c r="I533" s="10" t="s">
        <v>21</v>
      </c>
      <c r="J533" s="12" t="str">
        <f>IF(OR(TED[[#This Row],[SITUACAO]]=1,TED[[#This Row],[SITUACAO]]=9,TED[[#This Row],[SITUACAO]]=18),"ATIVO","AFASTADO")</f>
        <v>ATIVO</v>
      </c>
      <c r="K533" s="12">
        <v>1</v>
      </c>
    </row>
    <row r="534" spans="1:11" x14ac:dyDescent="0.25">
      <c r="A534" s="10">
        <v>5549</v>
      </c>
      <c r="B534" s="9" t="s">
        <v>197</v>
      </c>
      <c r="C534" s="12" t="str">
        <f>IFERROR(VLOOKUP(TED[[#This Row],[CENTRO]],'CENTRO DE CUSTO'!B:E,4,FALSE)," ")</f>
        <v>VANDERSON</v>
      </c>
      <c r="D534" s="12">
        <v>87</v>
      </c>
      <c r="E534" s="16">
        <v>87050</v>
      </c>
      <c r="F534" s="10" t="s">
        <v>194</v>
      </c>
      <c r="G534" s="10">
        <v>220</v>
      </c>
      <c r="H534" s="11">
        <v>42156</v>
      </c>
      <c r="I534" s="10" t="s">
        <v>1</v>
      </c>
      <c r="J534" s="12" t="str">
        <f>IF(OR(TED[[#This Row],[SITUACAO]]=1,TED[[#This Row],[SITUACAO]]=9,TED[[#This Row],[SITUACAO]]=18),"ATIVO","AFASTADO")</f>
        <v>AFASTADO</v>
      </c>
      <c r="K534" s="12">
        <v>12</v>
      </c>
    </row>
    <row r="535" spans="1:11" x14ac:dyDescent="0.25">
      <c r="A535" s="10">
        <v>5226</v>
      </c>
      <c r="B535" s="9" t="s">
        <v>245</v>
      </c>
      <c r="C535" s="12" t="str">
        <f>IFERROR(VLOOKUP(TED[[#This Row],[CENTRO]],'CENTRO DE CUSTO'!B:E,4,FALSE)," ")</f>
        <v>CARLOS FABRI</v>
      </c>
      <c r="D535" s="12">
        <v>87</v>
      </c>
      <c r="E535" s="16">
        <v>87060</v>
      </c>
      <c r="F535" s="10" t="s">
        <v>240</v>
      </c>
      <c r="G535" s="10">
        <v>220</v>
      </c>
      <c r="H535" s="11">
        <v>42156</v>
      </c>
      <c r="I535" s="10" t="s">
        <v>1</v>
      </c>
      <c r="J535" s="12" t="str">
        <f>IF(OR(TED[[#This Row],[SITUACAO]]=1,TED[[#This Row],[SITUACAO]]=9,TED[[#This Row],[SITUACAO]]=18),"ATIVO","AFASTADO")</f>
        <v>ATIVO</v>
      </c>
      <c r="K535" s="12">
        <v>1</v>
      </c>
    </row>
    <row r="536" spans="1:11" x14ac:dyDescent="0.25">
      <c r="A536" s="10">
        <v>6465</v>
      </c>
      <c r="B536" s="9" t="s">
        <v>564</v>
      </c>
      <c r="C536" s="12" t="str">
        <f>IFERROR(VLOOKUP(TED[[#This Row],[CENTRO]],'CENTRO DE CUSTO'!B:E,4,FALSE)," ")</f>
        <v>CARLOS FABRI</v>
      </c>
      <c r="D536" s="12">
        <v>87</v>
      </c>
      <c r="E536" s="16">
        <v>87123</v>
      </c>
      <c r="F536" s="10" t="s">
        <v>563</v>
      </c>
      <c r="G536" s="10">
        <v>220</v>
      </c>
      <c r="H536" s="11">
        <v>42327</v>
      </c>
      <c r="I536" s="10" t="s">
        <v>21</v>
      </c>
      <c r="J536" s="12" t="str">
        <f>IF(OR(TED[[#This Row],[SITUACAO]]=1,TED[[#This Row],[SITUACAO]]=9,TED[[#This Row],[SITUACAO]]=18),"ATIVO","AFASTADO")</f>
        <v>ATIVO</v>
      </c>
      <c r="K536" s="12">
        <v>1</v>
      </c>
    </row>
    <row r="537" spans="1:11" x14ac:dyDescent="0.25">
      <c r="A537" s="10">
        <v>5495</v>
      </c>
      <c r="B537" s="9" t="s">
        <v>275</v>
      </c>
      <c r="C537" s="12" t="str">
        <f>IFERROR(VLOOKUP(TED[[#This Row],[CENTRO]],'CENTRO DE CUSTO'!B:E,4,FALSE)," ")</f>
        <v>JOÃO CLEMENTONI</v>
      </c>
      <c r="D537" s="12">
        <v>87</v>
      </c>
      <c r="E537" s="16">
        <v>87066</v>
      </c>
      <c r="F537" s="10" t="s">
        <v>272</v>
      </c>
      <c r="G537" s="10">
        <v>220</v>
      </c>
      <c r="H537" s="11">
        <v>42156</v>
      </c>
      <c r="I537" s="10" t="s">
        <v>1</v>
      </c>
      <c r="J537" s="12" t="str">
        <f>IF(OR(TED[[#This Row],[SITUACAO]]=1,TED[[#This Row],[SITUACAO]]=9,TED[[#This Row],[SITUACAO]]=18),"ATIVO","AFASTADO")</f>
        <v>ATIVO</v>
      </c>
      <c r="K537" s="12">
        <v>1</v>
      </c>
    </row>
    <row r="538" spans="1:11" x14ac:dyDescent="0.25">
      <c r="A538" s="10">
        <v>6466</v>
      </c>
      <c r="B538" s="9" t="s">
        <v>49</v>
      </c>
      <c r="C538" s="12" t="str">
        <f>IFERROR(VLOOKUP(TED[[#This Row],[CENTRO]],'CENTRO DE CUSTO'!B:E,4,FALSE)," ")</f>
        <v>DÉBORA GOBETTI</v>
      </c>
      <c r="D538" s="12">
        <v>87</v>
      </c>
      <c r="E538" s="16">
        <v>87019</v>
      </c>
      <c r="F538" s="10" t="s">
        <v>47</v>
      </c>
      <c r="G538" s="10">
        <v>220</v>
      </c>
      <c r="H538" s="11">
        <v>42328</v>
      </c>
      <c r="I538" s="10" t="s">
        <v>1</v>
      </c>
      <c r="J538" s="12" t="str">
        <f>IF(OR(TED[[#This Row],[SITUACAO]]=1,TED[[#This Row],[SITUACAO]]=9,TED[[#This Row],[SITUACAO]]=18),"ATIVO","AFASTADO")</f>
        <v>ATIVO</v>
      </c>
      <c r="K538" s="12">
        <v>1</v>
      </c>
    </row>
    <row r="539" spans="1:11" x14ac:dyDescent="0.25">
      <c r="A539" s="10">
        <v>5353</v>
      </c>
      <c r="B539" s="9" t="s">
        <v>316</v>
      </c>
      <c r="C539" s="12" t="str">
        <f>IFERROR(VLOOKUP(TED[[#This Row],[CENTRO]],'CENTRO DE CUSTO'!B:E,4,FALSE)," ")</f>
        <v>VANDERSON</v>
      </c>
      <c r="D539" s="12">
        <v>87</v>
      </c>
      <c r="E539" s="16">
        <v>87074</v>
      </c>
      <c r="F539" s="10" t="s">
        <v>315</v>
      </c>
      <c r="G539" s="10">
        <v>220</v>
      </c>
      <c r="H539" s="11">
        <v>42156</v>
      </c>
      <c r="I539" s="10" t="s">
        <v>1</v>
      </c>
      <c r="J539" s="12" t="str">
        <f>IF(OR(TED[[#This Row],[SITUACAO]]=1,TED[[#This Row],[SITUACAO]]=9,TED[[#This Row],[SITUACAO]]=18),"ATIVO","AFASTADO")</f>
        <v>ATIVO</v>
      </c>
      <c r="K539" s="12">
        <v>1</v>
      </c>
    </row>
    <row r="540" spans="1:11" x14ac:dyDescent="0.25">
      <c r="A540" s="10">
        <v>13556</v>
      </c>
      <c r="B540" s="9" t="s">
        <v>446</v>
      </c>
      <c r="C540" s="12" t="str">
        <f>IFERROR(VLOOKUP(TED[[#This Row],[CENTRO]],'CENTRO DE CUSTO'!B:E,4,FALSE)," ")</f>
        <v>JOÃO CLEMENTONI</v>
      </c>
      <c r="D540" s="12">
        <v>87</v>
      </c>
      <c r="E540" s="16">
        <v>87099</v>
      </c>
      <c r="F540" s="10" t="s">
        <v>443</v>
      </c>
      <c r="G540" s="10">
        <v>220</v>
      </c>
      <c r="H540" s="11">
        <v>43742</v>
      </c>
      <c r="I540" s="10" t="s">
        <v>1</v>
      </c>
      <c r="J540" s="12" t="str">
        <f>IF(OR(TED[[#This Row],[SITUACAO]]=1,TED[[#This Row],[SITUACAO]]=9,TED[[#This Row],[SITUACAO]]=18),"ATIVO","AFASTADO")</f>
        <v>ATIVO</v>
      </c>
      <c r="K540" s="12">
        <v>1</v>
      </c>
    </row>
    <row r="541" spans="1:11" x14ac:dyDescent="0.25">
      <c r="A541" s="10">
        <v>25151</v>
      </c>
      <c r="B541" s="9" t="s">
        <v>573</v>
      </c>
      <c r="C541" s="12" t="str">
        <f>IFERROR(VLOOKUP(TED[[#This Row],[CENTRO]],'CENTRO DE CUSTO'!B:E,4,FALSE)," ")</f>
        <v>CARLOS FABRI</v>
      </c>
      <c r="D541" s="12">
        <v>87</v>
      </c>
      <c r="E541" s="16">
        <v>87124</v>
      </c>
      <c r="F541" s="10" t="s">
        <v>572</v>
      </c>
      <c r="G541" s="10">
        <v>220</v>
      </c>
      <c r="H541" s="11">
        <v>44959</v>
      </c>
      <c r="I541" s="10" t="s">
        <v>1</v>
      </c>
      <c r="J541" s="12" t="str">
        <f>IF(OR(TED[[#This Row],[SITUACAO]]=1,TED[[#This Row],[SITUACAO]]=9,TED[[#This Row],[SITUACAO]]=18),"ATIVO","AFASTADO")</f>
        <v>ATIVO</v>
      </c>
      <c r="K541" s="12">
        <v>1</v>
      </c>
    </row>
    <row r="542" spans="1:11" x14ac:dyDescent="0.25">
      <c r="A542" s="10">
        <v>28246</v>
      </c>
      <c r="B542" s="9" t="s">
        <v>185</v>
      </c>
      <c r="C542" s="12" t="str">
        <f>IFERROR(VLOOKUP(TED[[#This Row],[CENTRO]],'CENTRO DE CUSTO'!B:E,4,FALSE)," ")</f>
        <v>VANDERSON</v>
      </c>
      <c r="D542" s="12">
        <v>87</v>
      </c>
      <c r="E542" s="16">
        <v>87048</v>
      </c>
      <c r="F542" s="10" t="s">
        <v>184</v>
      </c>
      <c r="G542" s="10">
        <v>220</v>
      </c>
      <c r="H542" s="11">
        <v>45160</v>
      </c>
      <c r="I542" s="10" t="s">
        <v>1</v>
      </c>
      <c r="J542" s="12" t="str">
        <f>IF(OR(TED[[#This Row],[SITUACAO]]=1,TED[[#This Row],[SITUACAO]]=9,TED[[#This Row],[SITUACAO]]=18),"ATIVO","AFASTADO")</f>
        <v>ATIVO</v>
      </c>
      <c r="K542" s="12">
        <v>1</v>
      </c>
    </row>
    <row r="543" spans="1:11" x14ac:dyDescent="0.25">
      <c r="A543" s="10">
        <v>20910</v>
      </c>
      <c r="B543" s="9" t="s">
        <v>118</v>
      </c>
      <c r="C543" s="12" t="str">
        <f>IFERROR(VLOOKUP(TED[[#This Row],[CENTRO]],'CENTRO DE CUSTO'!B:E,4,FALSE)," ")</f>
        <v>S/ SUPERVISOR</v>
      </c>
      <c r="D543" s="12">
        <v>87</v>
      </c>
      <c r="E543" s="16">
        <v>87036</v>
      </c>
      <c r="F543" s="10" t="s">
        <v>112</v>
      </c>
      <c r="G543" s="10">
        <v>220</v>
      </c>
      <c r="H543" s="11">
        <v>44676</v>
      </c>
      <c r="I543" s="10" t="s">
        <v>21</v>
      </c>
      <c r="J543" s="12" t="str">
        <f>IF(OR(TED[[#This Row],[SITUACAO]]=1,TED[[#This Row],[SITUACAO]]=9,TED[[#This Row],[SITUACAO]]=18),"ATIVO","AFASTADO")</f>
        <v>ATIVO</v>
      </c>
      <c r="K543" s="12">
        <v>1</v>
      </c>
    </row>
    <row r="544" spans="1:11" x14ac:dyDescent="0.25">
      <c r="A544" s="10">
        <v>2083</v>
      </c>
      <c r="B544" s="9" t="s">
        <v>545</v>
      </c>
      <c r="C544" s="12" t="str">
        <f>IFERROR(VLOOKUP(TED[[#This Row],[CENTRO]],'CENTRO DE CUSTO'!B:E,4,FALSE)," ")</f>
        <v>S/ SUPERVISOR</v>
      </c>
      <c r="D544" s="12">
        <v>87</v>
      </c>
      <c r="E544" s="16">
        <v>87118</v>
      </c>
      <c r="F544" s="10" t="s">
        <v>544</v>
      </c>
      <c r="G544" s="10">
        <v>220</v>
      </c>
      <c r="H544" s="11">
        <v>41344</v>
      </c>
      <c r="I544" s="10" t="s">
        <v>21</v>
      </c>
      <c r="J544" s="12" t="str">
        <f>IF(OR(TED[[#This Row],[SITUACAO]]=1,TED[[#This Row],[SITUACAO]]=9,TED[[#This Row],[SITUACAO]]=18),"ATIVO","AFASTADO")</f>
        <v>ATIVO</v>
      </c>
      <c r="K544" s="12">
        <v>1</v>
      </c>
    </row>
    <row r="545" spans="1:11" x14ac:dyDescent="0.25">
      <c r="A545" s="10">
        <v>26142</v>
      </c>
      <c r="B545" s="9" t="s">
        <v>303</v>
      </c>
      <c r="C545" s="12" t="str">
        <f>IFERROR(VLOOKUP(TED[[#This Row],[CENTRO]],'CENTRO DE CUSTO'!B:E,4,FALSE)," ")</f>
        <v>CARLOS FABRI</v>
      </c>
      <c r="D545" s="12">
        <v>87</v>
      </c>
      <c r="E545" s="16">
        <v>87072</v>
      </c>
      <c r="F545" s="10" t="s">
        <v>304</v>
      </c>
      <c r="G545" s="10">
        <v>220</v>
      </c>
      <c r="H545" s="11">
        <v>45019</v>
      </c>
      <c r="I545" s="10" t="s">
        <v>21</v>
      </c>
      <c r="J545" s="12" t="str">
        <f>IF(OR(TED[[#This Row],[SITUACAO]]=1,TED[[#This Row],[SITUACAO]]=9,TED[[#This Row],[SITUACAO]]=18),"ATIVO","AFASTADO")</f>
        <v>ATIVO</v>
      </c>
      <c r="K545" s="12">
        <v>1</v>
      </c>
    </row>
    <row r="546" spans="1:11" x14ac:dyDescent="0.25">
      <c r="A546" s="10">
        <v>7506</v>
      </c>
      <c r="B546" s="9" t="s">
        <v>630</v>
      </c>
      <c r="C546" s="12" t="str">
        <f>IFERROR(VLOOKUP(TED[[#This Row],[CENTRO]],'CENTRO DE CUSTO'!B:E,4,FALSE)," ")</f>
        <v>DÉBORA GOBETTI</v>
      </c>
      <c r="D546" s="12">
        <v>87</v>
      </c>
      <c r="E546" s="16">
        <v>87484</v>
      </c>
      <c r="F546" s="10" t="s">
        <v>631</v>
      </c>
      <c r="G546" s="10">
        <v>220</v>
      </c>
      <c r="H546" s="11">
        <v>42492</v>
      </c>
      <c r="I546" s="10" t="s">
        <v>1</v>
      </c>
      <c r="J546" s="12" t="str">
        <f>IF(OR(TED[[#This Row],[SITUACAO]]=1,TED[[#This Row],[SITUACAO]]=9,TED[[#This Row],[SITUACAO]]=18),"ATIVO","AFASTADO")</f>
        <v>ATIVO</v>
      </c>
      <c r="K546" s="12">
        <v>1</v>
      </c>
    </row>
    <row r="547" spans="1:11" x14ac:dyDescent="0.25">
      <c r="A547" s="10">
        <v>596</v>
      </c>
      <c r="B547" s="9" t="s">
        <v>379</v>
      </c>
      <c r="C547" s="12" t="str">
        <f>IFERROR(VLOOKUP(TED[[#This Row],[CENTRO]],'CENTRO DE CUSTO'!B:E,4,FALSE)," ")</f>
        <v>DÉBORA GOBETTI</v>
      </c>
      <c r="D547" s="12">
        <v>87</v>
      </c>
      <c r="E547" s="16">
        <v>87086</v>
      </c>
      <c r="F547" s="10" t="s">
        <v>376</v>
      </c>
      <c r="G547" s="10">
        <v>220</v>
      </c>
      <c r="H547" s="11">
        <v>40476</v>
      </c>
      <c r="I547" s="10" t="s">
        <v>21</v>
      </c>
      <c r="J547" s="12" t="str">
        <f>IF(OR(TED[[#This Row],[SITUACAO]]=1,TED[[#This Row],[SITUACAO]]=9,TED[[#This Row],[SITUACAO]]=18),"ATIVO","AFASTADO")</f>
        <v>AFASTADO</v>
      </c>
      <c r="K547" s="12">
        <v>6</v>
      </c>
    </row>
    <row r="548" spans="1:11" x14ac:dyDescent="0.25">
      <c r="A548" s="10">
        <v>16401</v>
      </c>
      <c r="B548" s="9" t="s">
        <v>7</v>
      </c>
      <c r="C548" s="12" t="str">
        <f>IFERROR(VLOOKUP(TED[[#This Row],[CENTRO]],'CENTRO DE CUSTO'!B:E,4,FALSE)," ")</f>
        <v>CARLOS FABRI</v>
      </c>
      <c r="D548" s="12">
        <v>87</v>
      </c>
      <c r="E548" s="16">
        <v>87004</v>
      </c>
      <c r="F548" s="10" t="s">
        <v>6</v>
      </c>
      <c r="G548" s="10">
        <v>220</v>
      </c>
      <c r="H548" s="11">
        <v>44349</v>
      </c>
      <c r="I548" s="10" t="s">
        <v>1</v>
      </c>
      <c r="J548" s="12" t="str">
        <f>IF(OR(TED[[#This Row],[SITUACAO]]=1,TED[[#This Row],[SITUACAO]]=9,TED[[#This Row],[SITUACAO]]=18),"ATIVO","AFASTADO")</f>
        <v>ATIVO</v>
      </c>
      <c r="K548" s="12">
        <v>1</v>
      </c>
    </row>
    <row r="549" spans="1:11" x14ac:dyDescent="0.25">
      <c r="A549" s="10">
        <v>10349</v>
      </c>
      <c r="B549" s="9" t="s">
        <v>120</v>
      </c>
      <c r="C549" s="12" t="str">
        <f>IFERROR(VLOOKUP(TED[[#This Row],[CENTRO]],'CENTRO DE CUSTO'!B:E,4,FALSE)," ")</f>
        <v>S/ SUPERVISOR</v>
      </c>
      <c r="D549" s="12">
        <v>87</v>
      </c>
      <c r="E549" s="16">
        <v>87036</v>
      </c>
      <c r="F549" s="10" t="s">
        <v>112</v>
      </c>
      <c r="G549" s="10">
        <v>220</v>
      </c>
      <c r="H549" s="11">
        <v>43160</v>
      </c>
      <c r="I549" s="10" t="s">
        <v>1</v>
      </c>
      <c r="J549" s="12" t="str">
        <f>IF(OR(TED[[#This Row],[SITUACAO]]=1,TED[[#This Row],[SITUACAO]]=9,TED[[#This Row],[SITUACAO]]=18),"ATIVO","AFASTADO")</f>
        <v>AFASTADO</v>
      </c>
      <c r="K549" s="12">
        <v>6</v>
      </c>
    </row>
    <row r="550" spans="1:11" x14ac:dyDescent="0.25">
      <c r="A550" s="10">
        <v>11441</v>
      </c>
      <c r="B550" s="9" t="s">
        <v>190</v>
      </c>
      <c r="C550" s="12" t="str">
        <f>IFERROR(VLOOKUP(TED[[#This Row],[CENTRO]],'CENTRO DE CUSTO'!B:E,4,FALSE)," ")</f>
        <v>JOÃO CLEMENTONI</v>
      </c>
      <c r="D550" s="12">
        <v>87</v>
      </c>
      <c r="E550" s="16">
        <v>87049</v>
      </c>
      <c r="F550" s="10" t="s">
        <v>187</v>
      </c>
      <c r="G550" s="10">
        <v>220</v>
      </c>
      <c r="H550" s="11">
        <v>43409</v>
      </c>
      <c r="I550" s="10" t="s">
        <v>21</v>
      </c>
      <c r="J550" s="12" t="str">
        <f>IF(OR(TED[[#This Row],[SITUACAO]]=1,TED[[#This Row],[SITUACAO]]=9,TED[[#This Row],[SITUACAO]]=18),"ATIVO","AFASTADO")</f>
        <v>ATIVO</v>
      </c>
      <c r="K550" s="12">
        <v>1</v>
      </c>
    </row>
    <row r="551" spans="1:11" x14ac:dyDescent="0.25">
      <c r="A551" s="10">
        <v>12635</v>
      </c>
      <c r="B551" s="9" t="s">
        <v>425</v>
      </c>
      <c r="C551" s="12" t="str">
        <f>IFERROR(VLOOKUP(TED[[#This Row],[CENTRO]],'CENTRO DE CUSTO'!B:E,4,FALSE)," ")</f>
        <v>JOÃO CLEMENTONI</v>
      </c>
      <c r="D551" s="12">
        <v>87</v>
      </c>
      <c r="E551" s="16">
        <v>87095</v>
      </c>
      <c r="F551" s="10" t="s">
        <v>421</v>
      </c>
      <c r="G551" s="10">
        <v>220</v>
      </c>
      <c r="H551" s="11">
        <v>43584</v>
      </c>
      <c r="I551" s="10" t="s">
        <v>1</v>
      </c>
      <c r="J551" s="12" t="str">
        <f>IF(OR(TED[[#This Row],[SITUACAO]]=1,TED[[#This Row],[SITUACAO]]=9,TED[[#This Row],[SITUACAO]]=18),"ATIVO","AFASTADO")</f>
        <v>ATIVO</v>
      </c>
      <c r="K551" s="12">
        <v>1</v>
      </c>
    </row>
    <row r="552" spans="1:11" x14ac:dyDescent="0.25">
      <c r="A552" s="10">
        <v>5269</v>
      </c>
      <c r="B552" s="9" t="s">
        <v>452</v>
      </c>
      <c r="C552" s="12" t="str">
        <f>IFERROR(VLOOKUP(TED[[#This Row],[CENTRO]],'CENTRO DE CUSTO'!B:E,4,FALSE)," ")</f>
        <v>DÉBORA GOBETTI</v>
      </c>
      <c r="D552" s="12">
        <v>87</v>
      </c>
      <c r="E552" s="16">
        <v>87101</v>
      </c>
      <c r="F552" s="10" t="s">
        <v>451</v>
      </c>
      <c r="G552" s="10">
        <v>220</v>
      </c>
      <c r="H552" s="11">
        <v>42156</v>
      </c>
      <c r="I552" s="10" t="s">
        <v>1</v>
      </c>
      <c r="J552" s="12" t="str">
        <f>IF(OR(TED[[#This Row],[SITUACAO]]=1,TED[[#This Row],[SITUACAO]]=9,TED[[#This Row],[SITUACAO]]=18),"ATIVO","AFASTADO")</f>
        <v>ATIVO</v>
      </c>
      <c r="K552" s="12">
        <v>1</v>
      </c>
    </row>
    <row r="553" spans="1:11" x14ac:dyDescent="0.25">
      <c r="A553" s="10">
        <v>569</v>
      </c>
      <c r="B553" s="9" t="s">
        <v>621</v>
      </c>
      <c r="C553" s="12" t="str">
        <f>IFERROR(VLOOKUP(TED[[#This Row],[CENTRO]],'CENTRO DE CUSTO'!B:E,4,FALSE)," ")</f>
        <v>PAULO TORRES</v>
      </c>
      <c r="D553" s="12">
        <v>87</v>
      </c>
      <c r="E553" s="16">
        <v>87481</v>
      </c>
      <c r="F553" s="10" t="s">
        <v>613</v>
      </c>
      <c r="G553" s="10">
        <v>220</v>
      </c>
      <c r="H553" s="11">
        <v>40476</v>
      </c>
      <c r="I553" s="10" t="s">
        <v>604</v>
      </c>
      <c r="J553" s="12" t="str">
        <f>IF(OR(TED[[#This Row],[SITUACAO]]=1,TED[[#This Row],[SITUACAO]]=9,TED[[#This Row],[SITUACAO]]=18),"ATIVO","AFASTADO")</f>
        <v>ATIVO</v>
      </c>
      <c r="K553" s="12">
        <v>1</v>
      </c>
    </row>
    <row r="554" spans="1:11" x14ac:dyDescent="0.25">
      <c r="A554" s="10">
        <v>11447</v>
      </c>
      <c r="B554" s="9" t="s">
        <v>191</v>
      </c>
      <c r="C554" s="12" t="str">
        <f>IFERROR(VLOOKUP(TED[[#This Row],[CENTRO]],'CENTRO DE CUSTO'!B:E,4,FALSE)," ")</f>
        <v>JOÃO CLEMENTONI</v>
      </c>
      <c r="D554" s="12">
        <v>87</v>
      </c>
      <c r="E554" s="16">
        <v>87049</v>
      </c>
      <c r="F554" s="10" t="s">
        <v>187</v>
      </c>
      <c r="G554" s="10">
        <v>220</v>
      </c>
      <c r="H554" s="11">
        <v>43416</v>
      </c>
      <c r="I554" s="10" t="s">
        <v>21</v>
      </c>
      <c r="J554" s="12" t="str">
        <f>IF(OR(TED[[#This Row],[SITUACAO]]=1,TED[[#This Row],[SITUACAO]]=9,TED[[#This Row],[SITUACAO]]=18),"ATIVO","AFASTADO")</f>
        <v>ATIVO</v>
      </c>
      <c r="K554" s="12">
        <v>1</v>
      </c>
    </row>
    <row r="555" spans="1:11" x14ac:dyDescent="0.25">
      <c r="A555" s="10">
        <v>37652</v>
      </c>
      <c r="B555" s="9" t="s">
        <v>52</v>
      </c>
      <c r="C555" s="12" t="str">
        <f>IFERROR(VLOOKUP(TED[[#This Row],[CENTRO]],'CENTRO DE CUSTO'!B:E,4,FALSE)," ")</f>
        <v>VANDERSON</v>
      </c>
      <c r="D555" s="12">
        <v>87</v>
      </c>
      <c r="E555" s="16">
        <v>87020</v>
      </c>
      <c r="F555" s="10" t="s">
        <v>51</v>
      </c>
      <c r="G555" s="10">
        <v>220</v>
      </c>
      <c r="H555" s="11">
        <v>45730</v>
      </c>
      <c r="I555" s="10" t="s">
        <v>21</v>
      </c>
      <c r="J555" s="12" t="str">
        <f>IF(OR(TED[[#This Row],[SITUACAO]]=1,TED[[#This Row],[SITUACAO]]=9,TED[[#This Row],[SITUACAO]]=18),"ATIVO","AFASTADO")</f>
        <v>ATIVO</v>
      </c>
      <c r="K555" s="12">
        <v>1</v>
      </c>
    </row>
    <row r="556" spans="1:11" x14ac:dyDescent="0.25">
      <c r="A556" s="10">
        <v>27872</v>
      </c>
      <c r="B556" s="9" t="s">
        <v>162</v>
      </c>
      <c r="C556" s="12" t="str">
        <f>IFERROR(VLOOKUP(TED[[#This Row],[CENTRO]],'CENTRO DE CUSTO'!B:E,4,FALSE)," ")</f>
        <v>CARLOS FABRI</v>
      </c>
      <c r="D556" s="12">
        <v>87</v>
      </c>
      <c r="E556" s="16">
        <v>87044</v>
      </c>
      <c r="F556" s="10" t="s">
        <v>161</v>
      </c>
      <c r="G556" s="10">
        <v>220</v>
      </c>
      <c r="H556" s="11">
        <v>45124</v>
      </c>
      <c r="I556" s="10" t="s">
        <v>21</v>
      </c>
      <c r="J556" s="12" t="str">
        <f>IF(OR(TED[[#This Row],[SITUACAO]]=1,TED[[#This Row],[SITUACAO]]=9,TED[[#This Row],[SITUACAO]]=18),"ATIVO","AFASTADO")</f>
        <v>AFASTADO</v>
      </c>
      <c r="K556" s="12">
        <v>12</v>
      </c>
    </row>
    <row r="557" spans="1:11" x14ac:dyDescent="0.25">
      <c r="A557" s="10">
        <v>5577</v>
      </c>
      <c r="B557" s="9" t="s">
        <v>432</v>
      </c>
      <c r="C557" s="12" t="str">
        <f>IFERROR(VLOOKUP(TED[[#This Row],[CENTRO]],'CENTRO DE CUSTO'!B:E,4,FALSE)," ")</f>
        <v>JOÃO CLEMENTONI</v>
      </c>
      <c r="D557" s="12">
        <v>87</v>
      </c>
      <c r="E557" s="16">
        <v>87097</v>
      </c>
      <c r="F557" s="10" t="s">
        <v>430</v>
      </c>
      <c r="G557" s="10">
        <v>220</v>
      </c>
      <c r="H557" s="11">
        <v>42156</v>
      </c>
      <c r="I557" s="10" t="s">
        <v>1</v>
      </c>
      <c r="J557" s="12" t="str">
        <f>IF(OR(TED[[#This Row],[SITUACAO]]=1,TED[[#This Row],[SITUACAO]]=9,TED[[#This Row],[SITUACAO]]=18),"ATIVO","AFASTADO")</f>
        <v>ATIVO</v>
      </c>
      <c r="K557" s="12">
        <v>1</v>
      </c>
    </row>
    <row r="558" spans="1:11" x14ac:dyDescent="0.25">
      <c r="A558" s="10">
        <v>5579</v>
      </c>
      <c r="B558" s="9" t="s">
        <v>249</v>
      </c>
      <c r="C558" s="12" t="str">
        <f>IFERROR(VLOOKUP(TED[[#This Row],[CENTRO]],'CENTRO DE CUSTO'!B:E,4,FALSE)," ")</f>
        <v>VANDERSON</v>
      </c>
      <c r="D558" s="12">
        <v>87</v>
      </c>
      <c r="E558" s="16">
        <v>87061</v>
      </c>
      <c r="F558" s="10" t="s">
        <v>247</v>
      </c>
      <c r="G558" s="10">
        <v>220</v>
      </c>
      <c r="H558" s="11">
        <v>42156</v>
      </c>
      <c r="I558" s="10" t="s">
        <v>1</v>
      </c>
      <c r="J558" s="12" t="str">
        <f>IF(OR(TED[[#This Row],[SITUACAO]]=1,TED[[#This Row],[SITUACAO]]=9,TED[[#This Row],[SITUACAO]]=18),"ATIVO","AFASTADO")</f>
        <v>ATIVO</v>
      </c>
      <c r="K558" s="12">
        <v>1</v>
      </c>
    </row>
    <row r="559" spans="1:11" x14ac:dyDescent="0.25">
      <c r="A559" s="10">
        <v>5255</v>
      </c>
      <c r="B559" s="9" t="s">
        <v>503</v>
      </c>
      <c r="C559" s="12" t="str">
        <f>IFERROR(VLOOKUP(TED[[#This Row],[CENTRO]],'CENTRO DE CUSTO'!B:E,4,FALSE)," ")</f>
        <v>DÉBORA GOBETTI</v>
      </c>
      <c r="D559" s="12">
        <v>87</v>
      </c>
      <c r="E559" s="16">
        <v>87110</v>
      </c>
      <c r="F559" s="10" t="s">
        <v>502</v>
      </c>
      <c r="G559" s="10">
        <v>220</v>
      </c>
      <c r="H559" s="11">
        <v>42156</v>
      </c>
      <c r="I559" s="10" t="s">
        <v>1</v>
      </c>
      <c r="J559" s="12" t="str">
        <f>IF(OR(TED[[#This Row],[SITUACAO]]=1,TED[[#This Row],[SITUACAO]]=9,TED[[#This Row],[SITUACAO]]=18),"ATIVO","AFASTADO")</f>
        <v>ATIVO</v>
      </c>
      <c r="K559" s="12">
        <v>1</v>
      </c>
    </row>
    <row r="560" spans="1:11" x14ac:dyDescent="0.25">
      <c r="A560" s="10">
        <v>27905</v>
      </c>
      <c r="B560" s="9" t="s">
        <v>444</v>
      </c>
      <c r="C560" s="12" t="str">
        <f>IFERROR(VLOOKUP(TED[[#This Row],[CENTRO]],'CENTRO DE CUSTO'!B:E,4,FALSE)," ")</f>
        <v>JOÃO CLEMENTONI</v>
      </c>
      <c r="D560" s="12">
        <v>87</v>
      </c>
      <c r="E560" s="16">
        <v>87099</v>
      </c>
      <c r="F560" s="10" t="s">
        <v>443</v>
      </c>
      <c r="G560" s="10">
        <v>220</v>
      </c>
      <c r="H560" s="11">
        <v>45124</v>
      </c>
      <c r="I560" s="10" t="s">
        <v>21</v>
      </c>
      <c r="J560" s="12" t="str">
        <f>IF(OR(TED[[#This Row],[SITUACAO]]=1,TED[[#This Row],[SITUACAO]]=9,TED[[#This Row],[SITUACAO]]=18),"ATIVO","AFASTADO")</f>
        <v>ATIVO</v>
      </c>
      <c r="K560" s="12">
        <v>1</v>
      </c>
    </row>
    <row r="561" spans="1:11" x14ac:dyDescent="0.25">
      <c r="A561" s="10">
        <v>27393</v>
      </c>
      <c r="B561" s="9" t="s">
        <v>386</v>
      </c>
      <c r="C561" s="12" t="str">
        <f>IFERROR(VLOOKUP(TED[[#This Row],[CENTRO]],'CENTRO DE CUSTO'!B:E,4,FALSE)," ")</f>
        <v>S/ SUPERVISOR</v>
      </c>
      <c r="D561" s="12">
        <v>87</v>
      </c>
      <c r="E561" s="16">
        <v>87088</v>
      </c>
      <c r="F561" s="10" t="s">
        <v>384</v>
      </c>
      <c r="G561" s="10">
        <v>220</v>
      </c>
      <c r="H561" s="11">
        <v>45082</v>
      </c>
      <c r="I561" s="10" t="s">
        <v>21</v>
      </c>
      <c r="J561" s="12" t="str">
        <f>IF(OR(TED[[#This Row],[SITUACAO]]=1,TED[[#This Row],[SITUACAO]]=9,TED[[#This Row],[SITUACAO]]=18),"ATIVO","AFASTADO")</f>
        <v>ATIVO</v>
      </c>
      <c r="K561" s="12">
        <v>1</v>
      </c>
    </row>
    <row r="562" spans="1:11" x14ac:dyDescent="0.25">
      <c r="A562" s="10">
        <v>5434</v>
      </c>
      <c r="B562" s="9" t="s">
        <v>137</v>
      </c>
      <c r="C562" s="12" t="str">
        <f>IFERROR(VLOOKUP(TED[[#This Row],[CENTRO]],'CENTRO DE CUSTO'!B:E,4,FALSE)," ")</f>
        <v>JOÃO CLEMENTONI</v>
      </c>
      <c r="D562" s="12">
        <v>87</v>
      </c>
      <c r="E562" s="16">
        <v>87040</v>
      </c>
      <c r="F562" s="10" t="s">
        <v>136</v>
      </c>
      <c r="G562" s="10">
        <v>220</v>
      </c>
      <c r="H562" s="11">
        <v>42156</v>
      </c>
      <c r="I562" s="10" t="s">
        <v>1</v>
      </c>
      <c r="J562" s="12" t="str">
        <f>IF(OR(TED[[#This Row],[SITUACAO]]=1,TED[[#This Row],[SITUACAO]]=9,TED[[#This Row],[SITUACAO]]=18),"ATIVO","AFASTADO")</f>
        <v>ATIVO</v>
      </c>
      <c r="K562" s="12">
        <v>1</v>
      </c>
    </row>
    <row r="563" spans="1:11" x14ac:dyDescent="0.25">
      <c r="A563" s="10">
        <v>5358</v>
      </c>
      <c r="B563" s="9" t="s">
        <v>396</v>
      </c>
      <c r="C563" s="12" t="str">
        <f>IFERROR(VLOOKUP(TED[[#This Row],[CENTRO]],'CENTRO DE CUSTO'!B:E,4,FALSE)," ")</f>
        <v>VANDERSON</v>
      </c>
      <c r="D563" s="12">
        <v>87</v>
      </c>
      <c r="E563" s="16">
        <v>87090</v>
      </c>
      <c r="F563" s="10" t="s">
        <v>395</v>
      </c>
      <c r="G563" s="10">
        <v>220</v>
      </c>
      <c r="H563" s="11">
        <v>42156</v>
      </c>
      <c r="I563" s="10" t="s">
        <v>1</v>
      </c>
      <c r="J563" s="12" t="str">
        <f>IF(OR(TED[[#This Row],[SITUACAO]]=1,TED[[#This Row],[SITUACAO]]=9,TED[[#This Row],[SITUACAO]]=18),"ATIVO","AFASTADO")</f>
        <v>ATIVO</v>
      </c>
      <c r="K563" s="12">
        <v>1</v>
      </c>
    </row>
    <row r="564" spans="1:11" x14ac:dyDescent="0.25">
      <c r="A564" s="10">
        <v>46024</v>
      </c>
      <c r="B564" s="9" t="s">
        <v>2328</v>
      </c>
      <c r="C564" s="12" t="str">
        <f>IFERROR(VLOOKUP(TED[[#This Row],[CENTRO]],'CENTRO DE CUSTO'!B:E,4,FALSE)," ")</f>
        <v>DÉBORA GOBETTI</v>
      </c>
      <c r="D564" s="12">
        <v>87</v>
      </c>
      <c r="E564" s="16">
        <v>87067</v>
      </c>
      <c r="F564" s="10" t="s">
        <v>278</v>
      </c>
      <c r="G564" s="10">
        <v>220</v>
      </c>
      <c r="H564" s="11">
        <v>46176</v>
      </c>
      <c r="I564" s="10" t="s">
        <v>1</v>
      </c>
      <c r="J564" s="12" t="str">
        <f>IF(OR(TED[[#This Row],[SITUACAO]]=1,TED[[#This Row],[SITUACAO]]=9,TED[[#This Row],[SITUACAO]]=18),"ATIVO","AFASTADO")</f>
        <v>ATIVO</v>
      </c>
      <c r="K564" s="12">
        <v>1</v>
      </c>
    </row>
    <row r="565" spans="1:11" x14ac:dyDescent="0.25">
      <c r="A565" s="10">
        <v>38818</v>
      </c>
      <c r="B565" s="9" t="s">
        <v>261</v>
      </c>
      <c r="C565" s="12" t="str">
        <f>IFERROR(VLOOKUP(TED[[#This Row],[CENTRO]],'CENTRO DE CUSTO'!B:E,4,FALSE)," ")</f>
        <v>JOÃO CLEMENTONI</v>
      </c>
      <c r="D565" s="12">
        <v>87</v>
      </c>
      <c r="E565" s="16">
        <v>87063</v>
      </c>
      <c r="F565" s="10" t="s">
        <v>256</v>
      </c>
      <c r="G565" s="10">
        <v>220</v>
      </c>
      <c r="H565" s="11">
        <v>45797</v>
      </c>
      <c r="I565" s="10" t="s">
        <v>21</v>
      </c>
      <c r="J565" s="12" t="str">
        <f>IF(OR(TED[[#This Row],[SITUACAO]]=1,TED[[#This Row],[SITUACAO]]=9,TED[[#This Row],[SITUACAO]]=18),"ATIVO","AFASTADO")</f>
        <v>ATIVO</v>
      </c>
      <c r="K565" s="12">
        <v>1</v>
      </c>
    </row>
    <row r="566" spans="1:11" x14ac:dyDescent="0.25">
      <c r="A566" s="10">
        <v>5587</v>
      </c>
      <c r="B566" s="9" t="s">
        <v>273</v>
      </c>
      <c r="C566" s="12" t="str">
        <f>IFERROR(VLOOKUP(TED[[#This Row],[CENTRO]],'CENTRO DE CUSTO'!B:E,4,FALSE)," ")</f>
        <v>JOÃO CLEMENTONI</v>
      </c>
      <c r="D566" s="12">
        <v>87</v>
      </c>
      <c r="E566" s="16">
        <v>87066</v>
      </c>
      <c r="F566" s="10" t="s">
        <v>272</v>
      </c>
      <c r="G566" s="10">
        <v>220</v>
      </c>
      <c r="H566" s="11">
        <v>42156</v>
      </c>
      <c r="I566" s="10" t="s">
        <v>1</v>
      </c>
      <c r="J566" s="12" t="str">
        <f>IF(OR(TED[[#This Row],[SITUACAO]]=1,TED[[#This Row],[SITUACAO]]=9,TED[[#This Row],[SITUACAO]]=18),"ATIVO","AFASTADO")</f>
        <v>ATIVO</v>
      </c>
      <c r="K566" s="12">
        <v>1</v>
      </c>
    </row>
    <row r="567" spans="1:11" x14ac:dyDescent="0.25">
      <c r="A567" s="10">
        <v>37526</v>
      </c>
      <c r="B567" s="9" t="s">
        <v>400</v>
      </c>
      <c r="C567" s="12" t="str">
        <f>IFERROR(VLOOKUP(TED[[#This Row],[CENTRO]],'CENTRO DE CUSTO'!B:E,4,FALSE)," ")</f>
        <v>VANDERSON</v>
      </c>
      <c r="D567" s="12">
        <v>87</v>
      </c>
      <c r="E567" s="16">
        <v>87091</v>
      </c>
      <c r="F567" s="10" t="s">
        <v>399</v>
      </c>
      <c r="G567" s="10">
        <v>220</v>
      </c>
      <c r="H567" s="11">
        <v>45723</v>
      </c>
      <c r="I567" s="10" t="s">
        <v>21</v>
      </c>
      <c r="J567" s="12" t="str">
        <f>IF(OR(TED[[#This Row],[SITUACAO]]=1,TED[[#This Row],[SITUACAO]]=9,TED[[#This Row],[SITUACAO]]=18),"ATIVO","AFASTADO")</f>
        <v>ATIVO</v>
      </c>
      <c r="K567" s="12">
        <v>1</v>
      </c>
    </row>
    <row r="568" spans="1:11" x14ac:dyDescent="0.25">
      <c r="A568" s="10">
        <v>5534</v>
      </c>
      <c r="B568" s="9" t="s">
        <v>498</v>
      </c>
      <c r="C568" s="12" t="str">
        <f>IFERROR(VLOOKUP(TED[[#This Row],[CENTRO]],'CENTRO DE CUSTO'!B:E,4,FALSE)," ")</f>
        <v>VANDERSON</v>
      </c>
      <c r="D568" s="12">
        <v>87</v>
      </c>
      <c r="E568" s="16">
        <v>87109</v>
      </c>
      <c r="F568" s="10" t="s">
        <v>496</v>
      </c>
      <c r="G568" s="10">
        <v>220</v>
      </c>
      <c r="H568" s="11">
        <v>42156</v>
      </c>
      <c r="I568" s="10" t="s">
        <v>1</v>
      </c>
      <c r="J568" s="12" t="str">
        <f>IF(OR(TED[[#This Row],[SITUACAO]]=1,TED[[#This Row],[SITUACAO]]=9,TED[[#This Row],[SITUACAO]]=18),"ATIVO","AFASTADO")</f>
        <v>ATIVO</v>
      </c>
      <c r="K568" s="12">
        <v>1</v>
      </c>
    </row>
    <row r="569" spans="1:11" x14ac:dyDescent="0.25">
      <c r="A569" s="10">
        <v>29842</v>
      </c>
      <c r="B569" s="9" t="s">
        <v>269</v>
      </c>
      <c r="C569" s="12" t="str">
        <f>IFERROR(VLOOKUP(TED[[#This Row],[CENTRO]],'CENTRO DE CUSTO'!B:E,4,FALSE)," ")</f>
        <v>S/ SUPERVISOR</v>
      </c>
      <c r="D569" s="12">
        <v>87</v>
      </c>
      <c r="E569" s="16">
        <v>87065</v>
      </c>
      <c r="F569" s="10" t="s">
        <v>267</v>
      </c>
      <c r="G569" s="10">
        <v>220</v>
      </c>
      <c r="H569" s="11">
        <v>45313</v>
      </c>
      <c r="I569" s="10" t="s">
        <v>21</v>
      </c>
      <c r="J569" s="12" t="str">
        <f>IF(OR(TED[[#This Row],[SITUACAO]]=1,TED[[#This Row],[SITUACAO]]=9,TED[[#This Row],[SITUACAO]]=18),"ATIVO","AFASTADO")</f>
        <v>ATIVO</v>
      </c>
      <c r="K569" s="12">
        <v>1</v>
      </c>
    </row>
    <row r="570" spans="1:11" x14ac:dyDescent="0.25">
      <c r="A570" s="10">
        <v>5379</v>
      </c>
      <c r="B570" s="9" t="s">
        <v>37</v>
      </c>
      <c r="C570" s="12" t="str">
        <f>IFERROR(VLOOKUP(TED[[#This Row],[CENTRO]],'CENTRO DE CUSTO'!B:E,4,FALSE)," ")</f>
        <v>CARLOS FABRI</v>
      </c>
      <c r="D570" s="12">
        <v>87</v>
      </c>
      <c r="E570" s="16">
        <v>87016</v>
      </c>
      <c r="F570" s="10" t="s">
        <v>36</v>
      </c>
      <c r="G570" s="10">
        <v>220</v>
      </c>
      <c r="H570" s="11">
        <v>42156</v>
      </c>
      <c r="I570" s="10" t="s">
        <v>1</v>
      </c>
      <c r="J570" s="12" t="str">
        <f>IF(OR(TED[[#This Row],[SITUACAO]]=1,TED[[#This Row],[SITUACAO]]=9,TED[[#This Row],[SITUACAO]]=18),"ATIVO","AFASTADO")</f>
        <v>ATIVO</v>
      </c>
      <c r="K570" s="12">
        <v>1</v>
      </c>
    </row>
    <row r="571" spans="1:11" x14ac:dyDescent="0.25">
      <c r="A571" s="10">
        <v>7687</v>
      </c>
      <c r="B571" s="9" t="s">
        <v>616</v>
      </c>
      <c r="C571" s="12" t="str">
        <f>IFERROR(VLOOKUP(TED[[#This Row],[CENTRO]],'CENTRO DE CUSTO'!B:E,4,FALSE)," ")</f>
        <v>PAULO TORRES</v>
      </c>
      <c r="D571" s="12">
        <v>87</v>
      </c>
      <c r="E571" s="16">
        <v>87481</v>
      </c>
      <c r="F571" s="10" t="s">
        <v>613</v>
      </c>
      <c r="G571" s="10">
        <v>220</v>
      </c>
      <c r="H571" s="11">
        <v>42531</v>
      </c>
      <c r="I571" s="10" t="s">
        <v>604</v>
      </c>
      <c r="J571" s="12" t="str">
        <f>IF(OR(TED[[#This Row],[SITUACAO]]=1,TED[[#This Row],[SITUACAO]]=9,TED[[#This Row],[SITUACAO]]=18),"ATIVO","AFASTADO")</f>
        <v>ATIVO</v>
      </c>
      <c r="K571" s="12">
        <v>1</v>
      </c>
    </row>
    <row r="572" spans="1:11" x14ac:dyDescent="0.25">
      <c r="A572" s="10">
        <v>5900</v>
      </c>
      <c r="B572" s="9" t="s">
        <v>270</v>
      </c>
      <c r="C572" s="12" t="str">
        <f>IFERROR(VLOOKUP(TED[[#This Row],[CENTRO]],'CENTRO DE CUSTO'!B:E,4,FALSE)," ")</f>
        <v>S/ SUPERVISOR</v>
      </c>
      <c r="D572" s="12">
        <v>87</v>
      </c>
      <c r="E572" s="16">
        <v>87065</v>
      </c>
      <c r="F572" s="10" t="s">
        <v>267</v>
      </c>
      <c r="G572" s="10">
        <v>220</v>
      </c>
      <c r="H572" s="11">
        <v>42206</v>
      </c>
      <c r="I572" s="10" t="s">
        <v>1</v>
      </c>
      <c r="J572" s="12" t="str">
        <f>IF(OR(TED[[#This Row],[SITUACAO]]=1,TED[[#This Row],[SITUACAO]]=9,TED[[#This Row],[SITUACAO]]=18),"ATIVO","AFASTADO")</f>
        <v>ATIVO</v>
      </c>
      <c r="K572" s="12">
        <v>1</v>
      </c>
    </row>
    <row r="573" spans="1:11" x14ac:dyDescent="0.25">
      <c r="A573" s="10">
        <v>5524</v>
      </c>
      <c r="B573" s="9" t="s">
        <v>262</v>
      </c>
      <c r="C573" s="12" t="str">
        <f>IFERROR(VLOOKUP(TED[[#This Row],[CENTRO]],'CENTRO DE CUSTO'!B:E,4,FALSE)," ")</f>
        <v>VANDERSON</v>
      </c>
      <c r="D573" s="12">
        <v>87</v>
      </c>
      <c r="E573" s="16">
        <v>87064</v>
      </c>
      <c r="F573" s="10" t="s">
        <v>263</v>
      </c>
      <c r="G573" s="10">
        <v>220</v>
      </c>
      <c r="H573" s="11">
        <v>42156</v>
      </c>
      <c r="I573" s="10" t="s">
        <v>1</v>
      </c>
      <c r="J573" s="12" t="str">
        <f>IF(OR(TED[[#This Row],[SITUACAO]]=1,TED[[#This Row],[SITUACAO]]=9,TED[[#This Row],[SITUACAO]]=18),"ATIVO","AFASTADO")</f>
        <v>AFASTADO</v>
      </c>
      <c r="K573" s="12">
        <v>6</v>
      </c>
    </row>
    <row r="574" spans="1:11" x14ac:dyDescent="0.25">
      <c r="A574" s="10">
        <v>28349</v>
      </c>
      <c r="B574" s="9" t="s">
        <v>486</v>
      </c>
      <c r="C574" s="12" t="str">
        <f>IFERROR(VLOOKUP(TED[[#This Row],[CENTRO]],'CENTRO DE CUSTO'!B:E,4,FALSE)," ")</f>
        <v>DÉBORA GOBETTI</v>
      </c>
      <c r="D574" s="12">
        <v>87</v>
      </c>
      <c r="E574" s="16">
        <v>87107</v>
      </c>
      <c r="F574" s="10" t="s">
        <v>484</v>
      </c>
      <c r="G574" s="10">
        <v>220</v>
      </c>
      <c r="H574" s="11">
        <v>45170</v>
      </c>
      <c r="I574" s="10" t="s">
        <v>21</v>
      </c>
      <c r="J574" s="12" t="str">
        <f>IF(OR(TED[[#This Row],[SITUACAO]]=1,TED[[#This Row],[SITUACAO]]=9,TED[[#This Row],[SITUACAO]]=18),"ATIVO","AFASTADO")</f>
        <v>ATIVO</v>
      </c>
      <c r="K574" s="12">
        <v>1</v>
      </c>
    </row>
    <row r="575" spans="1:11" x14ac:dyDescent="0.25">
      <c r="A575" s="10">
        <v>6198</v>
      </c>
      <c r="B575" s="9" t="s">
        <v>416</v>
      </c>
      <c r="C575" s="12" t="str">
        <f>IFERROR(VLOOKUP(TED[[#This Row],[CENTRO]],'CENTRO DE CUSTO'!B:E,4,FALSE)," ")</f>
        <v>CARLOS FABRI</v>
      </c>
      <c r="D575" s="12">
        <v>87</v>
      </c>
      <c r="E575" s="16">
        <v>87093</v>
      </c>
      <c r="F575" s="10" t="s">
        <v>412</v>
      </c>
      <c r="G575" s="10">
        <v>220</v>
      </c>
      <c r="H575" s="11">
        <v>42270</v>
      </c>
      <c r="I575" s="10" t="s">
        <v>21</v>
      </c>
      <c r="J575" s="12" t="str">
        <f>IF(OR(TED[[#This Row],[SITUACAO]]=1,TED[[#This Row],[SITUACAO]]=9,TED[[#This Row],[SITUACAO]]=18),"ATIVO","AFASTADO")</f>
        <v>ATIVO</v>
      </c>
      <c r="K575" s="12">
        <v>1</v>
      </c>
    </row>
    <row r="576" spans="1:11" x14ac:dyDescent="0.25">
      <c r="A576" s="10">
        <v>5541</v>
      </c>
      <c r="B576" s="9" t="s">
        <v>110</v>
      </c>
      <c r="C576" s="12" t="str">
        <f>IFERROR(VLOOKUP(TED[[#This Row],[CENTRO]],'CENTRO DE CUSTO'!B:E,4,FALSE)," ")</f>
        <v>S/ SUPERVISOR</v>
      </c>
      <c r="D576" s="12">
        <v>87</v>
      </c>
      <c r="E576" s="16">
        <v>87035</v>
      </c>
      <c r="F576" s="10" t="s">
        <v>109</v>
      </c>
      <c r="G576" s="10">
        <v>220</v>
      </c>
      <c r="H576" s="11">
        <v>42156</v>
      </c>
      <c r="I576" s="10" t="s">
        <v>1</v>
      </c>
      <c r="J576" s="12" t="str">
        <f>IF(OR(TED[[#This Row],[SITUACAO]]=1,TED[[#This Row],[SITUACAO]]=9,TED[[#This Row],[SITUACAO]]=18),"ATIVO","AFASTADO")</f>
        <v>ATIVO</v>
      </c>
      <c r="K576" s="12">
        <v>1</v>
      </c>
    </row>
    <row r="577" spans="1:11" x14ac:dyDescent="0.25">
      <c r="A577" s="10">
        <v>7936</v>
      </c>
      <c r="B577" s="9" t="s">
        <v>295</v>
      </c>
      <c r="C577" s="12" t="str">
        <f>IFERROR(VLOOKUP(TED[[#This Row],[CENTRO]],'CENTRO DE CUSTO'!B:E,4,FALSE)," ")</f>
        <v>CARLOS FABRI</v>
      </c>
      <c r="D577" s="12">
        <v>87</v>
      </c>
      <c r="E577" s="16">
        <v>87069</v>
      </c>
      <c r="F577" s="10" t="s">
        <v>293</v>
      </c>
      <c r="G577" s="10">
        <v>220</v>
      </c>
      <c r="H577" s="11">
        <v>42599</v>
      </c>
      <c r="I577" s="10" t="s">
        <v>21</v>
      </c>
      <c r="J577" s="12" t="str">
        <f>IF(OR(TED[[#This Row],[SITUACAO]]=1,TED[[#This Row],[SITUACAO]]=9,TED[[#This Row],[SITUACAO]]=18),"ATIVO","AFASTADO")</f>
        <v>ATIVO</v>
      </c>
      <c r="K577" s="12">
        <v>1</v>
      </c>
    </row>
    <row r="578" spans="1:11" x14ac:dyDescent="0.25">
      <c r="A578" s="10">
        <v>5361</v>
      </c>
      <c r="B578" s="9" t="s">
        <v>150</v>
      </c>
      <c r="C578" s="12" t="str">
        <f>IFERROR(VLOOKUP(TED[[#This Row],[CENTRO]],'CENTRO DE CUSTO'!B:E,4,FALSE)," ")</f>
        <v>JOÃO CLEMENTONI</v>
      </c>
      <c r="D578" s="12">
        <v>87</v>
      </c>
      <c r="E578" s="16">
        <v>87042</v>
      </c>
      <c r="F578" s="10" t="s">
        <v>151</v>
      </c>
      <c r="G578" s="10">
        <v>220</v>
      </c>
      <c r="H578" s="11">
        <v>42156</v>
      </c>
      <c r="I578" s="10" t="s">
        <v>1</v>
      </c>
      <c r="J578" s="12" t="str">
        <f>IF(OR(TED[[#This Row],[SITUACAO]]=1,TED[[#This Row],[SITUACAO]]=9,TED[[#This Row],[SITUACAO]]=18),"ATIVO","AFASTADO")</f>
        <v>ATIVO</v>
      </c>
      <c r="K578" s="12">
        <v>1</v>
      </c>
    </row>
    <row r="579" spans="1:11" x14ac:dyDescent="0.25">
      <c r="A579" s="10">
        <v>599</v>
      </c>
      <c r="B579" s="9" t="s">
        <v>406</v>
      </c>
      <c r="C579" s="12" t="str">
        <f>IFERROR(VLOOKUP(TED[[#This Row],[CENTRO]],'CENTRO DE CUSTO'!B:E,4,FALSE)," ")</f>
        <v>S/ SUPERVISOR</v>
      </c>
      <c r="D579" s="12">
        <v>87</v>
      </c>
      <c r="E579" s="16">
        <v>87092</v>
      </c>
      <c r="F579" s="10" t="s">
        <v>405</v>
      </c>
      <c r="G579" s="10">
        <v>220</v>
      </c>
      <c r="H579" s="11">
        <v>40478</v>
      </c>
      <c r="I579" s="10" t="s">
        <v>1</v>
      </c>
      <c r="J579" s="12" t="str">
        <f>IF(OR(TED[[#This Row],[SITUACAO]]=1,TED[[#This Row],[SITUACAO]]=9,TED[[#This Row],[SITUACAO]]=18),"ATIVO","AFASTADO")</f>
        <v>ATIVO</v>
      </c>
      <c r="K579" s="12">
        <v>1</v>
      </c>
    </row>
    <row r="580" spans="1:11" x14ac:dyDescent="0.25">
      <c r="A580" s="10">
        <v>29780</v>
      </c>
      <c r="B580" s="9" t="s">
        <v>551</v>
      </c>
      <c r="C580" s="12" t="str">
        <f>IFERROR(VLOOKUP(TED[[#This Row],[CENTRO]],'CENTRO DE CUSTO'!B:E,4,FALSE)," ")</f>
        <v>VANDERSON</v>
      </c>
      <c r="D580" s="12">
        <v>87</v>
      </c>
      <c r="E580" s="16">
        <v>87119</v>
      </c>
      <c r="F580" s="10" t="s">
        <v>550</v>
      </c>
      <c r="G580" s="10">
        <v>220</v>
      </c>
      <c r="H580" s="11">
        <v>45313</v>
      </c>
      <c r="I580" s="10" t="s">
        <v>1</v>
      </c>
      <c r="J580" s="12" t="str">
        <f>IF(OR(TED[[#This Row],[SITUACAO]]=1,TED[[#This Row],[SITUACAO]]=9,TED[[#This Row],[SITUACAO]]=18),"ATIVO","AFASTADO")</f>
        <v>ATIVO</v>
      </c>
      <c r="K580" s="12">
        <v>1</v>
      </c>
    </row>
    <row r="581" spans="1:11" x14ac:dyDescent="0.25">
      <c r="A581" s="10">
        <v>26084</v>
      </c>
      <c r="B581" s="9" t="s">
        <v>625</v>
      </c>
      <c r="C581" s="12" t="str">
        <f>IFERROR(VLOOKUP(TED[[#This Row],[CENTRO]],'CENTRO DE CUSTO'!B:E,4,FALSE)," ")</f>
        <v>DÉBORA GOBETTI</v>
      </c>
      <c r="D581" s="12">
        <v>87</v>
      </c>
      <c r="E581" s="16">
        <v>87482</v>
      </c>
      <c r="F581" s="10" t="s">
        <v>626</v>
      </c>
      <c r="G581" s="10">
        <v>220</v>
      </c>
      <c r="H581" s="11">
        <v>45019</v>
      </c>
      <c r="I581" s="10" t="s">
        <v>21</v>
      </c>
      <c r="J581" s="12" t="str">
        <f>IF(OR(TED[[#This Row],[SITUACAO]]=1,TED[[#This Row],[SITUACAO]]=9,TED[[#This Row],[SITUACAO]]=18),"ATIVO","AFASTADO")</f>
        <v>ATIVO</v>
      </c>
      <c r="K581" s="12">
        <v>1</v>
      </c>
    </row>
    <row r="582" spans="1:11" x14ac:dyDescent="0.25">
      <c r="A582" s="10">
        <v>5478</v>
      </c>
      <c r="B582" s="9" t="s">
        <v>62</v>
      </c>
      <c r="C582" s="12" t="str">
        <f>IFERROR(VLOOKUP(TED[[#This Row],[CENTRO]],'CENTRO DE CUSTO'!B:E,4,FALSE)," ")</f>
        <v>CARLOS FABRI</v>
      </c>
      <c r="D582" s="12">
        <v>87</v>
      </c>
      <c r="E582" s="16">
        <v>87022</v>
      </c>
      <c r="F582" s="10" t="s">
        <v>59</v>
      </c>
      <c r="G582" s="10">
        <v>220</v>
      </c>
      <c r="H582" s="11">
        <v>42156</v>
      </c>
      <c r="I582" s="10" t="s">
        <v>21</v>
      </c>
      <c r="J582" s="12" t="str">
        <f>IF(OR(TED[[#This Row],[SITUACAO]]=1,TED[[#This Row],[SITUACAO]]=9,TED[[#This Row],[SITUACAO]]=18),"ATIVO","AFASTADO")</f>
        <v>ATIVO</v>
      </c>
      <c r="K582" s="12">
        <v>1</v>
      </c>
    </row>
    <row r="583" spans="1:11" x14ac:dyDescent="0.25">
      <c r="A583" s="10">
        <v>5411</v>
      </c>
      <c r="B583" s="9" t="s">
        <v>556</v>
      </c>
      <c r="C583" s="12" t="str">
        <f>IFERROR(VLOOKUP(TED[[#This Row],[CENTRO]],'CENTRO DE CUSTO'!B:E,4,FALSE)," ")</f>
        <v>S/ SUPERVISOR</v>
      </c>
      <c r="D583" s="12">
        <v>87</v>
      </c>
      <c r="E583" s="16">
        <v>87121</v>
      </c>
      <c r="F583" s="10" t="s">
        <v>557</v>
      </c>
      <c r="G583" s="10">
        <v>220</v>
      </c>
      <c r="H583" s="11">
        <v>42156</v>
      </c>
      <c r="I583" s="10" t="s">
        <v>21</v>
      </c>
      <c r="J583" s="12" t="str">
        <f>IF(OR(TED[[#This Row],[SITUACAO]]=1,TED[[#This Row],[SITUACAO]]=9,TED[[#This Row],[SITUACAO]]=18),"ATIVO","AFASTADO")</f>
        <v>ATIVO</v>
      </c>
      <c r="K583" s="12">
        <v>1</v>
      </c>
    </row>
    <row r="584" spans="1:11" x14ac:dyDescent="0.25">
      <c r="A584" s="10">
        <v>5237</v>
      </c>
      <c r="B584" s="9" t="s">
        <v>251</v>
      </c>
      <c r="C584" s="12" t="str">
        <f>IFERROR(VLOOKUP(TED[[#This Row],[CENTRO]],'CENTRO DE CUSTO'!B:E,4,FALSE)," ")</f>
        <v>CARLOS FABRI</v>
      </c>
      <c r="D584" s="12">
        <v>87</v>
      </c>
      <c r="E584" s="16">
        <v>87062</v>
      </c>
      <c r="F584" s="10" t="s">
        <v>252</v>
      </c>
      <c r="G584" s="10">
        <v>220</v>
      </c>
      <c r="H584" s="11">
        <v>42156</v>
      </c>
      <c r="I584" s="10" t="s">
        <v>21</v>
      </c>
      <c r="J584" s="12" t="str">
        <f>IF(OR(TED[[#This Row],[SITUACAO]]=1,TED[[#This Row],[SITUACAO]]=9,TED[[#This Row],[SITUACAO]]=18),"ATIVO","AFASTADO")</f>
        <v>ATIVO</v>
      </c>
      <c r="K584" s="12">
        <v>1</v>
      </c>
    </row>
    <row r="585" spans="1:11" x14ac:dyDescent="0.25">
      <c r="A585" s="10">
        <v>773</v>
      </c>
      <c r="B585" s="9" t="s">
        <v>352</v>
      </c>
      <c r="C585" s="12" t="str">
        <f>IFERROR(VLOOKUP(TED[[#This Row],[CENTRO]],'CENTRO DE CUSTO'!B:E,4,FALSE)," ")</f>
        <v>DÉBORA GOBETTI</v>
      </c>
      <c r="D585" s="12">
        <v>87</v>
      </c>
      <c r="E585" s="16">
        <v>87081</v>
      </c>
      <c r="F585" s="10" t="s">
        <v>353</v>
      </c>
      <c r="G585" s="10">
        <v>220</v>
      </c>
      <c r="H585" s="11">
        <v>40607</v>
      </c>
      <c r="I585" s="10" t="s">
        <v>1</v>
      </c>
      <c r="J585" s="12" t="str">
        <f>IF(OR(TED[[#This Row],[SITUACAO]]=1,TED[[#This Row],[SITUACAO]]=9,TED[[#This Row],[SITUACAO]]=18),"ATIVO","AFASTADO")</f>
        <v>ATIVO</v>
      </c>
      <c r="K585" s="12">
        <v>1</v>
      </c>
    </row>
    <row r="586" spans="1:11" x14ac:dyDescent="0.25">
      <c r="A586" s="10">
        <v>16425</v>
      </c>
      <c r="B586" s="9" t="s">
        <v>350</v>
      </c>
      <c r="C586" s="12" t="str">
        <f>IFERROR(VLOOKUP(TED[[#This Row],[CENTRO]],'CENTRO DE CUSTO'!B:E,4,FALSE)," ")</f>
        <v>JOÃO CLEMENTONI</v>
      </c>
      <c r="D586" s="12">
        <v>87</v>
      </c>
      <c r="E586" s="16">
        <v>87080</v>
      </c>
      <c r="F586" s="10" t="s">
        <v>347</v>
      </c>
      <c r="G586" s="10">
        <v>150</v>
      </c>
      <c r="H586" s="11">
        <v>44349</v>
      </c>
      <c r="I586" s="10" t="s">
        <v>1</v>
      </c>
      <c r="J586" s="12" t="str">
        <f>IF(OR(TED[[#This Row],[SITUACAO]]=1,TED[[#This Row],[SITUACAO]]=9,TED[[#This Row],[SITUACAO]]=18),"ATIVO","AFASTADO")</f>
        <v>ATIVO</v>
      </c>
      <c r="K586" s="12">
        <v>1</v>
      </c>
    </row>
    <row r="587" spans="1:11" x14ac:dyDescent="0.25">
      <c r="A587" s="10">
        <v>1460</v>
      </c>
      <c r="B587" s="9" t="s">
        <v>504</v>
      </c>
      <c r="C587" s="12" t="str">
        <f>IFERROR(VLOOKUP(TED[[#This Row],[CENTRO]],'CENTRO DE CUSTO'!B:E,4,FALSE)," ")</f>
        <v>DÉBORA GOBETTI</v>
      </c>
      <c r="D587" s="12">
        <v>87</v>
      </c>
      <c r="E587" s="16">
        <v>87110</v>
      </c>
      <c r="F587" s="10" t="s">
        <v>502</v>
      </c>
      <c r="G587" s="10">
        <v>220</v>
      </c>
      <c r="H587" s="11">
        <v>41046</v>
      </c>
      <c r="I587" s="10" t="s">
        <v>21</v>
      </c>
      <c r="J587" s="12" t="str">
        <f>IF(OR(TED[[#This Row],[SITUACAO]]=1,TED[[#This Row],[SITUACAO]]=9,TED[[#This Row],[SITUACAO]]=18),"ATIVO","AFASTADO")</f>
        <v>ATIVO</v>
      </c>
      <c r="K587" s="12">
        <v>1</v>
      </c>
    </row>
    <row r="588" spans="1:11" x14ac:dyDescent="0.25">
      <c r="A588" s="10">
        <v>43274</v>
      </c>
      <c r="B588" s="9" t="s">
        <v>2038</v>
      </c>
      <c r="C588" s="12" t="str">
        <f>IFERROR(VLOOKUP(TED[[#This Row],[CENTRO]],'CENTRO DE CUSTO'!B:E,4,FALSE)," ")</f>
        <v>JOÃO CLEMENTONI</v>
      </c>
      <c r="D588" s="12">
        <v>87</v>
      </c>
      <c r="E588" s="16">
        <v>87066</v>
      </c>
      <c r="F588" s="10" t="s">
        <v>272</v>
      </c>
      <c r="G588" s="10">
        <v>220</v>
      </c>
      <c r="H588" s="11">
        <v>46043</v>
      </c>
      <c r="I588" s="10" t="s">
        <v>21</v>
      </c>
      <c r="J588" s="12" t="str">
        <f>IF(OR(TED[[#This Row],[SITUACAO]]=1,TED[[#This Row],[SITUACAO]]=9,TED[[#This Row],[SITUACAO]]=18),"ATIVO","AFASTADO")</f>
        <v>ATIVO</v>
      </c>
      <c r="K588" s="12">
        <v>1</v>
      </c>
    </row>
    <row r="589" spans="1:11" x14ac:dyDescent="0.25">
      <c r="A589" s="10">
        <v>8826</v>
      </c>
      <c r="B589" s="9" t="s">
        <v>392</v>
      </c>
      <c r="C589" s="12" t="str">
        <f>IFERROR(VLOOKUP(TED[[#This Row],[CENTRO]],'CENTRO DE CUSTO'!B:E,4,FALSE)," ")</f>
        <v>DÉBORA GOBETTI</v>
      </c>
      <c r="D589" s="12">
        <v>87</v>
      </c>
      <c r="E589" s="16">
        <v>87089</v>
      </c>
      <c r="F589" s="10" t="s">
        <v>391</v>
      </c>
      <c r="G589" s="10">
        <v>220</v>
      </c>
      <c r="H589" s="11">
        <v>42800</v>
      </c>
      <c r="I589" s="10" t="s">
        <v>1</v>
      </c>
      <c r="J589" s="12" t="str">
        <f>IF(OR(TED[[#This Row],[SITUACAO]]=1,TED[[#This Row],[SITUACAO]]=9,TED[[#This Row],[SITUACAO]]=18),"ATIVO","AFASTADO")</f>
        <v>ATIVO</v>
      </c>
      <c r="K589" s="12">
        <v>1</v>
      </c>
    </row>
    <row r="590" spans="1:11" x14ac:dyDescent="0.25">
      <c r="A590" s="10">
        <v>33030</v>
      </c>
      <c r="B590" s="9" t="s">
        <v>549</v>
      </c>
      <c r="C590" s="12" t="str">
        <f>IFERROR(VLOOKUP(TED[[#This Row],[CENTRO]],'CENTRO DE CUSTO'!B:E,4,FALSE)," ")</f>
        <v>VANDERSON</v>
      </c>
      <c r="D590" s="12">
        <v>87</v>
      </c>
      <c r="E590" s="16">
        <v>87119</v>
      </c>
      <c r="F590" s="10" t="s">
        <v>550</v>
      </c>
      <c r="G590" s="10">
        <v>220</v>
      </c>
      <c r="H590" s="11">
        <v>45470</v>
      </c>
      <c r="I590" s="10" t="s">
        <v>21</v>
      </c>
      <c r="J590" s="12" t="str">
        <f>IF(OR(TED[[#This Row],[SITUACAO]]=1,TED[[#This Row],[SITUACAO]]=9,TED[[#This Row],[SITUACAO]]=18),"ATIVO","AFASTADO")</f>
        <v>ATIVO</v>
      </c>
      <c r="K590" s="12">
        <v>1</v>
      </c>
    </row>
    <row r="591" spans="1:11" x14ac:dyDescent="0.25">
      <c r="A591" s="10">
        <v>5347</v>
      </c>
      <c r="B591" s="9" t="s">
        <v>129</v>
      </c>
      <c r="C591" s="12" t="str">
        <f>IFERROR(VLOOKUP(TED[[#This Row],[CENTRO]],'CENTRO DE CUSTO'!B:E,4,FALSE)," ")</f>
        <v>DÉBORA GOBETTI</v>
      </c>
      <c r="D591" s="12">
        <v>87</v>
      </c>
      <c r="E591" s="16">
        <v>87038</v>
      </c>
      <c r="F591" s="10" t="s">
        <v>128</v>
      </c>
      <c r="G591" s="10">
        <v>220</v>
      </c>
      <c r="H591" s="11">
        <v>42156</v>
      </c>
      <c r="I591" s="10" t="s">
        <v>1</v>
      </c>
      <c r="J591" s="12" t="str">
        <f>IF(OR(TED[[#This Row],[SITUACAO]]=1,TED[[#This Row],[SITUACAO]]=9,TED[[#This Row],[SITUACAO]]=18),"ATIVO","AFASTADO")</f>
        <v>ATIVO</v>
      </c>
      <c r="K591" s="12">
        <v>1</v>
      </c>
    </row>
    <row r="592" spans="1:11" x14ac:dyDescent="0.25">
      <c r="A592" s="10">
        <v>43581</v>
      </c>
      <c r="B592" s="9" t="s">
        <v>2063</v>
      </c>
      <c r="C592" s="12" t="str">
        <f>IFERROR(VLOOKUP(TED[[#This Row],[CENTRO]],'CENTRO DE CUSTO'!B:E,4,FALSE)," ")</f>
        <v>CARLOS FABRI</v>
      </c>
      <c r="D592" s="12">
        <v>87</v>
      </c>
      <c r="E592" s="16">
        <v>87015</v>
      </c>
      <c r="F592" s="10" t="s">
        <v>32</v>
      </c>
      <c r="G592" s="10">
        <v>220</v>
      </c>
      <c r="H592" s="11">
        <v>46055</v>
      </c>
      <c r="I592" s="10" t="s">
        <v>21</v>
      </c>
      <c r="J592" s="12" t="str">
        <f>IF(OR(TED[[#This Row],[SITUACAO]]=1,TED[[#This Row],[SITUACAO]]=9,TED[[#This Row],[SITUACAO]]=18),"ATIVO","AFASTADO")</f>
        <v>ATIVO</v>
      </c>
      <c r="K592" s="12">
        <v>1</v>
      </c>
    </row>
    <row r="593" spans="1:11" x14ac:dyDescent="0.25">
      <c r="A593" s="10">
        <v>5231</v>
      </c>
      <c r="B593" s="9" t="s">
        <v>458</v>
      </c>
      <c r="C593" s="12" t="str">
        <f>IFERROR(VLOOKUP(TED[[#This Row],[CENTRO]],'CENTRO DE CUSTO'!B:E,4,FALSE)," ")</f>
        <v>S/ SUPERVISOR</v>
      </c>
      <c r="D593" s="12">
        <v>87</v>
      </c>
      <c r="E593" s="16">
        <v>87103</v>
      </c>
      <c r="F593" s="10" t="s">
        <v>459</v>
      </c>
      <c r="G593" s="10">
        <v>220</v>
      </c>
      <c r="H593" s="11">
        <v>42156</v>
      </c>
      <c r="I593" s="10" t="s">
        <v>1</v>
      </c>
      <c r="J593" s="12" t="str">
        <f>IF(OR(TED[[#This Row],[SITUACAO]]=1,TED[[#This Row],[SITUACAO]]=9,TED[[#This Row],[SITUACAO]]=18),"ATIVO","AFASTADO")</f>
        <v>ATIVO</v>
      </c>
      <c r="K593" s="12">
        <v>1</v>
      </c>
    </row>
    <row r="594" spans="1:11" x14ac:dyDescent="0.25">
      <c r="A594" s="10">
        <v>20111</v>
      </c>
      <c r="B594" s="9" t="s">
        <v>419</v>
      </c>
      <c r="C594" s="12" t="str">
        <f>IFERROR(VLOOKUP(TED[[#This Row],[CENTRO]],'CENTRO DE CUSTO'!B:E,4,FALSE)," ")</f>
        <v>S/ SUPERVISOR</v>
      </c>
      <c r="D594" s="12">
        <v>87</v>
      </c>
      <c r="E594" s="16">
        <v>87094</v>
      </c>
      <c r="F594" s="10" t="s">
        <v>417</v>
      </c>
      <c r="G594" s="10">
        <v>220</v>
      </c>
      <c r="H594" s="11">
        <v>44586</v>
      </c>
      <c r="I594" s="10" t="s">
        <v>1</v>
      </c>
      <c r="J594" s="12" t="str">
        <f>IF(OR(TED[[#This Row],[SITUACAO]]=1,TED[[#This Row],[SITUACAO]]=9,TED[[#This Row],[SITUACAO]]=18),"ATIVO","AFASTADO")</f>
        <v>ATIVO</v>
      </c>
      <c r="K594" s="12">
        <v>1</v>
      </c>
    </row>
    <row r="595" spans="1:11" x14ac:dyDescent="0.25">
      <c r="A595" s="10">
        <v>5357</v>
      </c>
      <c r="B595" s="9" t="s">
        <v>214</v>
      </c>
      <c r="C595" s="12" t="str">
        <f>IFERROR(VLOOKUP(TED[[#This Row],[CENTRO]],'CENTRO DE CUSTO'!B:E,4,FALSE)," ")</f>
        <v>DÉBORA GOBETTI</v>
      </c>
      <c r="D595" s="12">
        <v>87</v>
      </c>
      <c r="E595" s="16">
        <v>87055</v>
      </c>
      <c r="F595" s="10" t="s">
        <v>213</v>
      </c>
      <c r="G595" s="10">
        <v>220</v>
      </c>
      <c r="H595" s="11">
        <v>42156</v>
      </c>
      <c r="I595" s="10" t="s">
        <v>1</v>
      </c>
      <c r="J595" s="12" t="str">
        <f>IF(OR(TED[[#This Row],[SITUACAO]]=1,TED[[#This Row],[SITUACAO]]=9,TED[[#This Row],[SITUACAO]]=18),"ATIVO","AFASTADO")</f>
        <v>ATIVO</v>
      </c>
      <c r="K595" s="12">
        <v>1</v>
      </c>
    </row>
    <row r="596" spans="1:11" x14ac:dyDescent="0.25">
      <c r="A596" s="10">
        <v>5241</v>
      </c>
      <c r="B596" s="9" t="s">
        <v>390</v>
      </c>
      <c r="C596" s="12" t="str">
        <f>IFERROR(VLOOKUP(TED[[#This Row],[CENTRO]],'CENTRO DE CUSTO'!B:E,4,FALSE)," ")</f>
        <v>DÉBORA GOBETTI</v>
      </c>
      <c r="D596" s="12">
        <v>87</v>
      </c>
      <c r="E596" s="16">
        <v>87089</v>
      </c>
      <c r="F596" s="10" t="s">
        <v>391</v>
      </c>
      <c r="G596" s="10">
        <v>220</v>
      </c>
      <c r="H596" s="11">
        <v>42156</v>
      </c>
      <c r="I596" s="10" t="s">
        <v>1</v>
      </c>
      <c r="J596" s="12" t="str">
        <f>IF(OR(TED[[#This Row],[SITUACAO]]=1,TED[[#This Row],[SITUACAO]]=9,TED[[#This Row],[SITUACAO]]=18),"ATIVO","AFASTADO")</f>
        <v>ATIVO</v>
      </c>
      <c r="K596" s="12">
        <v>1</v>
      </c>
    </row>
    <row r="597" spans="1:11" x14ac:dyDescent="0.25">
      <c r="A597" s="10">
        <v>5527</v>
      </c>
      <c r="B597" s="9" t="s">
        <v>562</v>
      </c>
      <c r="C597" s="12" t="str">
        <f>IFERROR(VLOOKUP(TED[[#This Row],[CENTRO]],'CENTRO DE CUSTO'!B:E,4,FALSE)," ")</f>
        <v>CARLOS FABRI</v>
      </c>
      <c r="D597" s="12">
        <v>87</v>
      </c>
      <c r="E597" s="16">
        <v>87123</v>
      </c>
      <c r="F597" s="10" t="s">
        <v>563</v>
      </c>
      <c r="G597" s="10">
        <v>220</v>
      </c>
      <c r="H597" s="11">
        <v>42156</v>
      </c>
      <c r="I597" s="10" t="s">
        <v>21</v>
      </c>
      <c r="J597" s="12" t="str">
        <f>IF(OR(TED[[#This Row],[SITUACAO]]=1,TED[[#This Row],[SITUACAO]]=9,TED[[#This Row],[SITUACAO]]=18),"ATIVO","AFASTADO")</f>
        <v>ATIVO</v>
      </c>
      <c r="K597" s="12">
        <v>1</v>
      </c>
    </row>
    <row r="598" spans="1:11" x14ac:dyDescent="0.25">
      <c r="A598" s="10">
        <v>47206</v>
      </c>
      <c r="B598" s="9" t="s">
        <v>2329</v>
      </c>
      <c r="C598" s="12" t="str">
        <f>IFERROR(VLOOKUP(TED[[#This Row],[CENTRO]],'CENTRO DE CUSTO'!B:E,4,FALSE)," ")</f>
        <v>DÉBORA GOBETTI</v>
      </c>
      <c r="D598" s="12">
        <v>87</v>
      </c>
      <c r="E598" s="16">
        <v>87041</v>
      </c>
      <c r="F598" s="10" t="s">
        <v>140</v>
      </c>
      <c r="G598" s="10">
        <v>220</v>
      </c>
      <c r="H598" s="11">
        <v>46204</v>
      </c>
      <c r="I598" s="10" t="s">
        <v>1</v>
      </c>
      <c r="J598" s="12" t="str">
        <f>IF(OR(TED[[#This Row],[SITUACAO]]=1,TED[[#This Row],[SITUACAO]]=9,TED[[#This Row],[SITUACAO]]=18),"ATIVO","AFASTADO")</f>
        <v>ATIVO</v>
      </c>
      <c r="K598" s="12">
        <v>1</v>
      </c>
    </row>
    <row r="599" spans="1:11" x14ac:dyDescent="0.25">
      <c r="A599" s="10">
        <v>35655</v>
      </c>
      <c r="B599" s="9" t="s">
        <v>153</v>
      </c>
      <c r="C599" s="12" t="str">
        <f>IFERROR(VLOOKUP(TED[[#This Row],[CENTRO]],'CENTRO DE CUSTO'!B:E,4,FALSE)," ")</f>
        <v>S/ SUPERVISOR</v>
      </c>
      <c r="D599" s="12">
        <v>87</v>
      </c>
      <c r="E599" s="16">
        <v>87043</v>
      </c>
      <c r="F599" s="10" t="s">
        <v>154</v>
      </c>
      <c r="G599" s="10">
        <v>220</v>
      </c>
      <c r="H599" s="11">
        <v>45691</v>
      </c>
      <c r="I599" s="10" t="s">
        <v>21</v>
      </c>
      <c r="J599" s="12" t="str">
        <f>IF(OR(TED[[#This Row],[SITUACAO]]=1,TED[[#This Row],[SITUACAO]]=9,TED[[#This Row],[SITUACAO]]=18),"ATIVO","AFASTADO")</f>
        <v>ATIVO</v>
      </c>
      <c r="K599" s="12">
        <v>1</v>
      </c>
    </row>
    <row r="600" spans="1:11" x14ac:dyDescent="0.25">
      <c r="A600" s="10">
        <v>25496</v>
      </c>
      <c r="B600" s="9" t="s">
        <v>43</v>
      </c>
      <c r="C600" s="12" t="str">
        <f>IFERROR(VLOOKUP(TED[[#This Row],[CENTRO]],'CENTRO DE CUSTO'!B:E,4,FALSE)," ")</f>
        <v>VANDERSON</v>
      </c>
      <c r="D600" s="12">
        <v>87</v>
      </c>
      <c r="E600" s="16">
        <v>87018</v>
      </c>
      <c r="F600" s="10" t="s">
        <v>42</v>
      </c>
      <c r="G600" s="10">
        <v>220</v>
      </c>
      <c r="H600" s="11">
        <v>44980</v>
      </c>
      <c r="I600" s="10" t="s">
        <v>1</v>
      </c>
      <c r="J600" s="12" t="str">
        <f>IF(OR(TED[[#This Row],[SITUACAO]]=1,TED[[#This Row],[SITUACAO]]=9,TED[[#This Row],[SITUACAO]]=18),"ATIVO","AFASTADO")</f>
        <v>ATIVO</v>
      </c>
      <c r="K600" s="12">
        <v>1</v>
      </c>
    </row>
    <row r="601" spans="1:11" x14ac:dyDescent="0.25">
      <c r="A601" s="10">
        <v>32333</v>
      </c>
      <c r="B601" s="9" t="s">
        <v>601</v>
      </c>
      <c r="C601" s="12" t="str">
        <f>IFERROR(VLOOKUP(TED[[#This Row],[CENTRO]],'CENTRO DE CUSTO'!B:E,4,FALSE)," ")</f>
        <v>VANDERSON</v>
      </c>
      <c r="D601" s="12">
        <v>87</v>
      </c>
      <c r="E601" s="16">
        <v>87012</v>
      </c>
      <c r="F601" s="10" t="s">
        <v>22</v>
      </c>
      <c r="G601" s="10">
        <v>220</v>
      </c>
      <c r="H601" s="11">
        <v>45411</v>
      </c>
      <c r="I601" s="10" t="s">
        <v>21</v>
      </c>
      <c r="J601" s="12" t="str">
        <f>IF(OR(TED[[#This Row],[SITUACAO]]=1,TED[[#This Row],[SITUACAO]]=9,TED[[#This Row],[SITUACAO]]=18),"ATIVO","AFASTADO")</f>
        <v>ATIVO</v>
      </c>
      <c r="K601" s="12">
        <v>1</v>
      </c>
    </row>
    <row r="602" spans="1:11" x14ac:dyDescent="0.25">
      <c r="A602" s="10">
        <v>5397</v>
      </c>
      <c r="B602" s="9" t="s">
        <v>230</v>
      </c>
      <c r="C602" s="12" t="str">
        <f>IFERROR(VLOOKUP(TED[[#This Row],[CENTRO]],'CENTRO DE CUSTO'!B:E,4,FALSE)," ")</f>
        <v>S/ SUPERVISOR</v>
      </c>
      <c r="D602" s="12">
        <v>87</v>
      </c>
      <c r="E602" s="16">
        <v>87058</v>
      </c>
      <c r="F602" s="10" t="s">
        <v>231</v>
      </c>
      <c r="G602" s="10">
        <v>220</v>
      </c>
      <c r="H602" s="11">
        <v>42156</v>
      </c>
      <c r="I602" s="10" t="s">
        <v>1</v>
      </c>
      <c r="J602" s="12" t="str">
        <f>IF(OR(TED[[#This Row],[SITUACAO]]=1,TED[[#This Row],[SITUACAO]]=9,TED[[#This Row],[SITUACAO]]=18),"ATIVO","AFASTADO")</f>
        <v>ATIVO</v>
      </c>
      <c r="K602" s="12">
        <v>1</v>
      </c>
    </row>
    <row r="603" spans="1:11" x14ac:dyDescent="0.25">
      <c r="A603" s="10">
        <v>5429</v>
      </c>
      <c r="B603" s="9" t="s">
        <v>344</v>
      </c>
      <c r="C603" s="12" t="str">
        <f>IFERROR(VLOOKUP(TED[[#This Row],[CENTRO]],'CENTRO DE CUSTO'!B:E,4,FALSE)," ")</f>
        <v>JOÃO CLEMENTONI</v>
      </c>
      <c r="D603" s="12">
        <v>87</v>
      </c>
      <c r="E603" s="16">
        <v>87079</v>
      </c>
      <c r="F603" s="10" t="s">
        <v>340</v>
      </c>
      <c r="G603" s="10">
        <v>220</v>
      </c>
      <c r="H603" s="11">
        <v>42156</v>
      </c>
      <c r="I603" s="10" t="s">
        <v>1</v>
      </c>
      <c r="J603" s="12" t="str">
        <f>IF(OR(TED[[#This Row],[SITUACAO]]=1,TED[[#This Row],[SITUACAO]]=9,TED[[#This Row],[SITUACAO]]=18),"ATIVO","AFASTADO")</f>
        <v>AFASTADO</v>
      </c>
      <c r="K603" s="12">
        <v>6</v>
      </c>
    </row>
    <row r="604" spans="1:11" x14ac:dyDescent="0.25">
      <c r="A604" s="10">
        <v>26100</v>
      </c>
      <c r="B604" s="9" t="s">
        <v>509</v>
      </c>
      <c r="C604" s="12" t="str">
        <f>IFERROR(VLOOKUP(TED[[#This Row],[CENTRO]],'CENTRO DE CUSTO'!B:E,4,FALSE)," ")</f>
        <v>S/ SUPERVISOR</v>
      </c>
      <c r="D604" s="12">
        <v>87</v>
      </c>
      <c r="E604" s="16">
        <v>87111</v>
      </c>
      <c r="F604" s="10" t="s">
        <v>506</v>
      </c>
      <c r="G604" s="10">
        <v>220</v>
      </c>
      <c r="H604" s="11">
        <v>45019</v>
      </c>
      <c r="I604" s="10" t="s">
        <v>1</v>
      </c>
      <c r="J604" s="12" t="str">
        <f>IF(OR(TED[[#This Row],[SITUACAO]]=1,TED[[#This Row],[SITUACAO]]=9,TED[[#This Row],[SITUACAO]]=18),"ATIVO","AFASTADO")</f>
        <v>ATIVO</v>
      </c>
      <c r="K604" s="12">
        <v>1</v>
      </c>
    </row>
    <row r="605" spans="1:11" x14ac:dyDescent="0.25">
      <c r="A605" s="10">
        <v>33259</v>
      </c>
      <c r="B605" s="9" t="s">
        <v>301</v>
      </c>
      <c r="C605" s="12" t="str">
        <f>IFERROR(VLOOKUP(TED[[#This Row],[CENTRO]],'CENTRO DE CUSTO'!B:E,4,FALSE)," ")</f>
        <v>DÉBORA GOBETTI</v>
      </c>
      <c r="D605" s="12">
        <v>87</v>
      </c>
      <c r="E605" s="16">
        <v>87071</v>
      </c>
      <c r="F605" s="10" t="s">
        <v>299</v>
      </c>
      <c r="G605" s="10">
        <v>220</v>
      </c>
      <c r="H605" s="11">
        <v>45491</v>
      </c>
      <c r="I605" s="10" t="s">
        <v>1</v>
      </c>
      <c r="J605" s="12" t="str">
        <f>IF(OR(TED[[#This Row],[SITUACAO]]=1,TED[[#This Row],[SITUACAO]]=9,TED[[#This Row],[SITUACAO]]=18),"ATIVO","AFASTADO")</f>
        <v>ATIVO</v>
      </c>
      <c r="K605" s="12">
        <v>1</v>
      </c>
    </row>
    <row r="606" spans="1:11" x14ac:dyDescent="0.25">
      <c r="A606" s="10">
        <v>31436</v>
      </c>
      <c r="B606" s="9" t="s">
        <v>349</v>
      </c>
      <c r="C606" s="12" t="str">
        <f>IFERROR(VLOOKUP(TED[[#This Row],[CENTRO]],'CENTRO DE CUSTO'!B:E,4,FALSE)," ")</f>
        <v>JOÃO CLEMENTONI</v>
      </c>
      <c r="D606" s="12">
        <v>87</v>
      </c>
      <c r="E606" s="16">
        <v>87080</v>
      </c>
      <c r="F606" s="10" t="s">
        <v>347</v>
      </c>
      <c r="G606" s="10">
        <v>220</v>
      </c>
      <c r="H606" s="11">
        <v>45355</v>
      </c>
      <c r="I606" s="10" t="s">
        <v>21</v>
      </c>
      <c r="J606" s="12" t="str">
        <f>IF(OR(TED[[#This Row],[SITUACAO]]=1,TED[[#This Row],[SITUACAO]]=9,TED[[#This Row],[SITUACAO]]=18),"ATIVO","AFASTADO")</f>
        <v>ATIVO</v>
      </c>
      <c r="K606" s="12">
        <v>1</v>
      </c>
    </row>
    <row r="607" spans="1:11" x14ac:dyDescent="0.25">
      <c r="A607" s="10">
        <v>7513</v>
      </c>
      <c r="B607" s="9" t="s">
        <v>198</v>
      </c>
      <c r="C607" s="12" t="str">
        <f>IFERROR(VLOOKUP(TED[[#This Row],[CENTRO]],'CENTRO DE CUSTO'!B:E,4,FALSE)," ")</f>
        <v>DÉBORA GOBETTI</v>
      </c>
      <c r="D607" s="12">
        <v>87</v>
      </c>
      <c r="E607" s="16">
        <v>87051</v>
      </c>
      <c r="F607" s="10" t="s">
        <v>199</v>
      </c>
      <c r="G607" s="10">
        <v>220</v>
      </c>
      <c r="H607" s="11">
        <v>42494</v>
      </c>
      <c r="I607" s="10" t="s">
        <v>1</v>
      </c>
      <c r="J607" s="12" t="str">
        <f>IF(OR(TED[[#This Row],[SITUACAO]]=1,TED[[#This Row],[SITUACAO]]=9,TED[[#This Row],[SITUACAO]]=18),"ATIVO","AFASTADO")</f>
        <v>ATIVO</v>
      </c>
      <c r="K607" s="12">
        <v>1</v>
      </c>
    </row>
    <row r="608" spans="1:11" x14ac:dyDescent="0.25">
      <c r="A608" s="10">
        <v>7306</v>
      </c>
      <c r="B608" s="9" t="s">
        <v>383</v>
      </c>
      <c r="C608" s="12" t="str">
        <f>IFERROR(VLOOKUP(TED[[#This Row],[CENTRO]],'CENTRO DE CUSTO'!B:E,4,FALSE)," ")</f>
        <v>S/ SUPERVISOR</v>
      </c>
      <c r="D608" s="12">
        <v>87</v>
      </c>
      <c r="E608" s="16">
        <v>87088</v>
      </c>
      <c r="F608" s="10" t="s">
        <v>384</v>
      </c>
      <c r="G608" s="10">
        <v>220</v>
      </c>
      <c r="H608" s="11">
        <v>42452</v>
      </c>
      <c r="I608" s="10" t="s">
        <v>21</v>
      </c>
      <c r="J608" s="12" t="str">
        <f>IF(OR(TED[[#This Row],[SITUACAO]]=1,TED[[#This Row],[SITUACAO]]=9,TED[[#This Row],[SITUACAO]]=18),"ATIVO","AFASTADO")</f>
        <v>ATIVO</v>
      </c>
      <c r="K608" s="12">
        <v>1</v>
      </c>
    </row>
    <row r="609" spans="1:11" x14ac:dyDescent="0.25">
      <c r="A609" s="10">
        <v>26044</v>
      </c>
      <c r="B609" s="9" t="s">
        <v>15</v>
      </c>
      <c r="C609" s="12" t="str">
        <f>IFERROR(VLOOKUP(TED[[#This Row],[CENTRO]],'CENTRO DE CUSTO'!B:E,4,FALSE)," ")</f>
        <v>S/ SUPERVISOR</v>
      </c>
      <c r="D609" s="12">
        <v>87</v>
      </c>
      <c r="E609" s="16">
        <v>87009</v>
      </c>
      <c r="F609" s="10" t="s">
        <v>14</v>
      </c>
      <c r="G609" s="10">
        <v>220</v>
      </c>
      <c r="H609" s="11">
        <v>45009</v>
      </c>
      <c r="I609" s="10" t="s">
        <v>1</v>
      </c>
      <c r="J609" s="12" t="str">
        <f>IF(OR(TED[[#This Row],[SITUACAO]]=1,TED[[#This Row],[SITUACAO]]=9,TED[[#This Row],[SITUACAO]]=18),"ATIVO","AFASTADO")</f>
        <v>ATIVO</v>
      </c>
      <c r="K609" s="12">
        <v>1</v>
      </c>
    </row>
    <row r="610" spans="1:11" x14ac:dyDescent="0.25">
      <c r="A610" s="10">
        <v>12290</v>
      </c>
      <c r="B610" s="9" t="s">
        <v>229</v>
      </c>
      <c r="C610" s="12" t="str">
        <f>IFERROR(VLOOKUP(TED[[#This Row],[CENTRO]],'CENTRO DE CUSTO'!B:E,4,FALSE)," ")</f>
        <v>DÉBORA GOBETTI</v>
      </c>
      <c r="D610" s="12">
        <v>87</v>
      </c>
      <c r="E610" s="16">
        <v>87057</v>
      </c>
      <c r="F610" s="10" t="s">
        <v>224</v>
      </c>
      <c r="G610" s="10">
        <v>220</v>
      </c>
      <c r="H610" s="11">
        <v>43510</v>
      </c>
      <c r="I610" s="10" t="s">
        <v>1</v>
      </c>
      <c r="J610" s="12" t="str">
        <f>IF(OR(TED[[#This Row],[SITUACAO]]=1,TED[[#This Row],[SITUACAO]]=9,TED[[#This Row],[SITUACAO]]=18),"ATIVO","AFASTADO")</f>
        <v>ATIVO</v>
      </c>
      <c r="K610" s="12">
        <v>1</v>
      </c>
    </row>
    <row r="611" spans="1:11" x14ac:dyDescent="0.25">
      <c r="A611" s="10">
        <v>9097</v>
      </c>
      <c r="B611" s="9" t="s">
        <v>526</v>
      </c>
      <c r="C611" s="12" t="str">
        <f>IFERROR(VLOOKUP(TED[[#This Row],[CENTRO]],'CENTRO DE CUSTO'!B:E,4,FALSE)," ")</f>
        <v>VANDERSON</v>
      </c>
      <c r="D611" s="12">
        <v>87</v>
      </c>
      <c r="E611" s="16">
        <v>87114</v>
      </c>
      <c r="F611" s="10" t="s">
        <v>524</v>
      </c>
      <c r="G611" s="10">
        <v>220</v>
      </c>
      <c r="H611" s="11">
        <v>42870</v>
      </c>
      <c r="I611" s="10" t="s">
        <v>1</v>
      </c>
      <c r="J611" s="12" t="str">
        <f>IF(OR(TED[[#This Row],[SITUACAO]]=1,TED[[#This Row],[SITUACAO]]=9,TED[[#This Row],[SITUACAO]]=18),"ATIVO","AFASTADO")</f>
        <v>ATIVO</v>
      </c>
      <c r="K611" s="12">
        <v>1</v>
      </c>
    </row>
    <row r="612" spans="1:11" x14ac:dyDescent="0.25">
      <c r="A612" s="10">
        <v>15075</v>
      </c>
      <c r="B612" s="9" t="s">
        <v>313</v>
      </c>
      <c r="C612" s="12" t="str">
        <f>IFERROR(VLOOKUP(TED[[#This Row],[CENTRO]],'CENTRO DE CUSTO'!B:E,4,FALSE)," ")</f>
        <v>JOÃO CLEMENTONI</v>
      </c>
      <c r="D612" s="12">
        <v>87</v>
      </c>
      <c r="E612" s="16">
        <v>87073</v>
      </c>
      <c r="F612" s="10" t="s">
        <v>309</v>
      </c>
      <c r="G612" s="10">
        <v>220</v>
      </c>
      <c r="H612" s="11">
        <v>44228</v>
      </c>
      <c r="I612" s="10" t="s">
        <v>21</v>
      </c>
      <c r="J612" s="12" t="str">
        <f>IF(OR(TED[[#This Row],[SITUACAO]]=1,TED[[#This Row],[SITUACAO]]=9,TED[[#This Row],[SITUACAO]]=18),"ATIVO","AFASTADO")</f>
        <v>AFASTADO</v>
      </c>
      <c r="K612" s="12">
        <v>5</v>
      </c>
    </row>
    <row r="613" spans="1:11" x14ac:dyDescent="0.25">
      <c r="A613" s="10">
        <v>5360</v>
      </c>
      <c r="B613" s="9" t="s">
        <v>394</v>
      </c>
      <c r="C613" s="12" t="str">
        <f>IFERROR(VLOOKUP(TED[[#This Row],[CENTRO]],'CENTRO DE CUSTO'!B:E,4,FALSE)," ")</f>
        <v>VANDERSON</v>
      </c>
      <c r="D613" s="12">
        <v>87</v>
      </c>
      <c r="E613" s="16">
        <v>87090</v>
      </c>
      <c r="F613" s="10" t="s">
        <v>395</v>
      </c>
      <c r="G613" s="10">
        <v>220</v>
      </c>
      <c r="H613" s="11">
        <v>42156</v>
      </c>
      <c r="I613" s="10" t="s">
        <v>1</v>
      </c>
      <c r="J613" s="12" t="str">
        <f>IF(OR(TED[[#This Row],[SITUACAO]]=1,TED[[#This Row],[SITUACAO]]=9,TED[[#This Row],[SITUACAO]]=18),"ATIVO","AFASTADO")</f>
        <v>ATIVO</v>
      </c>
      <c r="K613" s="12">
        <v>1</v>
      </c>
    </row>
    <row r="614" spans="1:11" x14ac:dyDescent="0.25">
      <c r="A614" s="10">
        <v>43275</v>
      </c>
      <c r="B614" s="9" t="s">
        <v>2035</v>
      </c>
      <c r="C614" s="12" t="str">
        <f>IFERROR(VLOOKUP(TED[[#This Row],[CENTRO]],'CENTRO DE CUSTO'!B:E,4,FALSE)," ")</f>
        <v>VANDERSON</v>
      </c>
      <c r="D614" s="12">
        <v>87</v>
      </c>
      <c r="E614" s="16">
        <v>87050</v>
      </c>
      <c r="F614" s="10" t="s">
        <v>194</v>
      </c>
      <c r="G614" s="10">
        <v>220</v>
      </c>
      <c r="H614" s="11">
        <v>46043</v>
      </c>
      <c r="I614" s="10" t="s">
        <v>21</v>
      </c>
      <c r="J614" s="12" t="str">
        <f>IF(OR(TED[[#This Row],[SITUACAO]]=1,TED[[#This Row],[SITUACAO]]=9,TED[[#This Row],[SITUACAO]]=18),"ATIVO","AFASTADO")</f>
        <v>ATIVO</v>
      </c>
      <c r="K614" s="12">
        <v>1</v>
      </c>
    </row>
    <row r="615" spans="1:11" x14ac:dyDescent="0.25">
      <c r="A615" s="10">
        <v>43248</v>
      </c>
      <c r="B615" s="9" t="s">
        <v>2029</v>
      </c>
      <c r="C615" s="12" t="str">
        <f>IFERROR(VLOOKUP(TED[[#This Row],[CENTRO]],'CENTRO DE CUSTO'!B:E,4,FALSE)," ")</f>
        <v>S/ SUPERVISOR</v>
      </c>
      <c r="D615" s="12">
        <v>87</v>
      </c>
      <c r="E615" s="16">
        <v>87009</v>
      </c>
      <c r="F615" s="10" t="s">
        <v>14</v>
      </c>
      <c r="G615" s="10">
        <v>220</v>
      </c>
      <c r="H615" s="11">
        <v>46043</v>
      </c>
      <c r="I615" s="10" t="s">
        <v>21</v>
      </c>
      <c r="J615" s="12" t="str">
        <f>IF(OR(TED[[#This Row],[SITUACAO]]=1,TED[[#This Row],[SITUACAO]]=9,TED[[#This Row],[SITUACAO]]=18),"ATIVO","AFASTADO")</f>
        <v>ATIVO</v>
      </c>
      <c r="K615" s="12">
        <v>1</v>
      </c>
    </row>
    <row r="616" spans="1:11" x14ac:dyDescent="0.25">
      <c r="A616" s="10">
        <v>45643</v>
      </c>
      <c r="B616" s="9" t="s">
        <v>2217</v>
      </c>
      <c r="C616" s="12" t="str">
        <f>IFERROR(VLOOKUP(TED[[#This Row],[CENTRO]],'CENTRO DE CUSTO'!B:E,4,FALSE)," ")</f>
        <v>DÉBORA GOBETTI</v>
      </c>
      <c r="D616" s="12">
        <v>87</v>
      </c>
      <c r="E616" s="16">
        <v>87057</v>
      </c>
      <c r="F616" s="10" t="s">
        <v>224</v>
      </c>
      <c r="G616" s="10">
        <v>220</v>
      </c>
      <c r="H616" s="11">
        <v>46157</v>
      </c>
      <c r="I616" s="10" t="s">
        <v>21</v>
      </c>
      <c r="J616" s="12" t="str">
        <f>IF(OR(TED[[#This Row],[SITUACAO]]=1,TED[[#This Row],[SITUACAO]]=9,TED[[#This Row],[SITUACAO]]=18),"ATIVO","AFASTADO")</f>
        <v>ATIVO</v>
      </c>
      <c r="K616" s="12">
        <v>1</v>
      </c>
    </row>
    <row r="617" spans="1:11" x14ac:dyDescent="0.25">
      <c r="A617" s="10">
        <v>7499</v>
      </c>
      <c r="B617" s="9" t="s">
        <v>300</v>
      </c>
      <c r="C617" s="12" t="str">
        <f>IFERROR(VLOOKUP(TED[[#This Row],[CENTRO]],'CENTRO DE CUSTO'!B:E,4,FALSE)," ")</f>
        <v>DÉBORA GOBETTI</v>
      </c>
      <c r="D617" s="12">
        <v>87</v>
      </c>
      <c r="E617" s="16">
        <v>87071</v>
      </c>
      <c r="F617" s="10" t="s">
        <v>299</v>
      </c>
      <c r="G617" s="10">
        <v>220</v>
      </c>
      <c r="H617" s="11">
        <v>42492</v>
      </c>
      <c r="I617" s="10" t="s">
        <v>1</v>
      </c>
      <c r="J617" s="12" t="str">
        <f>IF(OR(TED[[#This Row],[SITUACAO]]=1,TED[[#This Row],[SITUACAO]]=9,TED[[#This Row],[SITUACAO]]=18),"ATIVO","AFASTADO")</f>
        <v>ATIVO</v>
      </c>
      <c r="K617" s="12">
        <v>1</v>
      </c>
    </row>
    <row r="618" spans="1:11" x14ac:dyDescent="0.25">
      <c r="A618" s="10">
        <v>9371</v>
      </c>
      <c r="B618" s="9" t="s">
        <v>307</v>
      </c>
      <c r="C618" s="12" t="str">
        <f>IFERROR(VLOOKUP(TED[[#This Row],[CENTRO]],'CENTRO DE CUSTO'!B:E,4,FALSE)," ")</f>
        <v>CARLOS FABRI</v>
      </c>
      <c r="D618" s="12">
        <v>87</v>
      </c>
      <c r="E618" s="16">
        <v>87072</v>
      </c>
      <c r="F618" s="10" t="s">
        <v>304</v>
      </c>
      <c r="G618" s="10">
        <v>150</v>
      </c>
      <c r="H618" s="11">
        <v>42913</v>
      </c>
      <c r="I618" s="10" t="s">
        <v>1</v>
      </c>
      <c r="J618" s="12" t="str">
        <f>IF(OR(TED[[#This Row],[SITUACAO]]=1,TED[[#This Row],[SITUACAO]]=9,TED[[#This Row],[SITUACAO]]=18),"ATIVO","AFASTADO")</f>
        <v>ATIVO</v>
      </c>
      <c r="K618" s="12">
        <v>1</v>
      </c>
    </row>
    <row r="619" spans="1:11" x14ac:dyDescent="0.25">
      <c r="A619" s="10">
        <v>33681</v>
      </c>
      <c r="B619" s="9" t="s">
        <v>192</v>
      </c>
      <c r="C619" s="12" t="str">
        <f>IFERROR(VLOOKUP(TED[[#This Row],[CENTRO]],'CENTRO DE CUSTO'!B:E,4,FALSE)," ")</f>
        <v>JOÃO CLEMENTONI</v>
      </c>
      <c r="D619" s="12">
        <v>87</v>
      </c>
      <c r="E619" s="16">
        <v>87049</v>
      </c>
      <c r="F619" s="10" t="s">
        <v>187</v>
      </c>
      <c r="G619" s="10">
        <v>150</v>
      </c>
      <c r="H619" s="11">
        <v>45532</v>
      </c>
      <c r="I619" s="10" t="s">
        <v>1</v>
      </c>
      <c r="J619" s="12" t="str">
        <f>IF(OR(TED[[#This Row],[SITUACAO]]=1,TED[[#This Row],[SITUACAO]]=9,TED[[#This Row],[SITUACAO]]=18),"ATIVO","AFASTADO")</f>
        <v>ATIVO</v>
      </c>
      <c r="K619" s="12">
        <v>1</v>
      </c>
    </row>
    <row r="620" spans="1:11" x14ac:dyDescent="0.25">
      <c r="A620" s="10">
        <v>35009</v>
      </c>
      <c r="B620" s="9" t="s">
        <v>64</v>
      </c>
      <c r="C620" s="12" t="str">
        <f>IFERROR(VLOOKUP(TED[[#This Row],[CENTRO]],'CENTRO DE CUSTO'!B:E,4,FALSE)," ")</f>
        <v>S/ SUPERVISOR</v>
      </c>
      <c r="D620" s="12">
        <v>87</v>
      </c>
      <c r="E620" s="16">
        <v>87023</v>
      </c>
      <c r="F620" s="10" t="s">
        <v>65</v>
      </c>
      <c r="G620" s="10">
        <v>220</v>
      </c>
      <c r="H620" s="11">
        <v>45677</v>
      </c>
      <c r="I620" s="10" t="s">
        <v>21</v>
      </c>
      <c r="J620" s="12" t="str">
        <f>IF(OR(TED[[#This Row],[SITUACAO]]=1,TED[[#This Row],[SITUACAO]]=9,TED[[#This Row],[SITUACAO]]=18),"ATIVO","AFASTADO")</f>
        <v>ATIVO</v>
      </c>
      <c r="K620" s="12">
        <v>1</v>
      </c>
    </row>
    <row r="621" spans="1:11" x14ac:dyDescent="0.25">
      <c r="A621" s="10">
        <v>38169</v>
      </c>
      <c r="B621" s="9" t="s">
        <v>45</v>
      </c>
      <c r="C621" s="12" t="str">
        <f>IFERROR(VLOOKUP(TED[[#This Row],[CENTRO]],'CENTRO DE CUSTO'!B:E,4,FALSE)," ")</f>
        <v>VANDERSON</v>
      </c>
      <c r="D621" s="12">
        <v>87</v>
      </c>
      <c r="E621" s="16">
        <v>87018</v>
      </c>
      <c r="F621" s="10" t="s">
        <v>42</v>
      </c>
      <c r="G621" s="10">
        <v>220</v>
      </c>
      <c r="H621" s="11">
        <v>45756</v>
      </c>
      <c r="I621" s="10" t="s">
        <v>21</v>
      </c>
      <c r="J621" s="12" t="str">
        <f>IF(OR(TED[[#This Row],[SITUACAO]]=1,TED[[#This Row],[SITUACAO]]=9,TED[[#This Row],[SITUACAO]]=18),"ATIVO","AFASTADO")</f>
        <v>ATIVO</v>
      </c>
      <c r="K621" s="12">
        <v>1</v>
      </c>
    </row>
    <row r="622" spans="1:11" x14ac:dyDescent="0.25">
      <c r="A622" s="10">
        <v>20113</v>
      </c>
      <c r="B622" s="9" t="s">
        <v>322</v>
      </c>
      <c r="C622" s="12" t="str">
        <f>IFERROR(VLOOKUP(TED[[#This Row],[CENTRO]],'CENTRO DE CUSTO'!B:E,4,FALSE)," ")</f>
        <v>VANDERSON</v>
      </c>
      <c r="D622" s="12">
        <v>87</v>
      </c>
      <c r="E622" s="16">
        <v>87075</v>
      </c>
      <c r="F622" s="10" t="s">
        <v>319</v>
      </c>
      <c r="G622" s="10">
        <v>220</v>
      </c>
      <c r="H622" s="11">
        <v>44586</v>
      </c>
      <c r="I622" s="10" t="s">
        <v>21</v>
      </c>
      <c r="J622" s="12" t="str">
        <f>IF(OR(TED[[#This Row],[SITUACAO]]=1,TED[[#This Row],[SITUACAO]]=9,TED[[#This Row],[SITUACAO]]=18),"ATIVO","AFASTADO")</f>
        <v>ATIVO</v>
      </c>
      <c r="K622" s="12">
        <v>1</v>
      </c>
    </row>
    <row r="623" spans="1:11" x14ac:dyDescent="0.25">
      <c r="A623" s="10">
        <v>45270</v>
      </c>
      <c r="B623" s="9" t="s">
        <v>2215</v>
      </c>
      <c r="C623" s="12" t="str">
        <f>IFERROR(VLOOKUP(TED[[#This Row],[CENTRO]],'CENTRO DE CUSTO'!B:E,4,FALSE)," ")</f>
        <v>DÉBORA GOBETTI</v>
      </c>
      <c r="D623" s="12">
        <v>87</v>
      </c>
      <c r="E623" s="16">
        <v>87484</v>
      </c>
      <c r="F623" s="10" t="s">
        <v>631</v>
      </c>
      <c r="G623" s="10">
        <v>220</v>
      </c>
      <c r="H623" s="11">
        <v>46140</v>
      </c>
      <c r="I623" s="10" t="s">
        <v>21</v>
      </c>
      <c r="J623" s="12" t="str">
        <f>IF(OR(TED[[#This Row],[SITUACAO]]=1,TED[[#This Row],[SITUACAO]]=9,TED[[#This Row],[SITUACAO]]=18),"ATIVO","AFASTADO")</f>
        <v>ATIVO</v>
      </c>
      <c r="K623" s="12">
        <v>1</v>
      </c>
    </row>
    <row r="624" spans="1:11" x14ac:dyDescent="0.25">
      <c r="A624" s="10">
        <v>38937</v>
      </c>
      <c r="B624" s="9" t="s">
        <v>611</v>
      </c>
      <c r="C624" s="12" t="str">
        <f>IFERROR(VLOOKUP(TED[[#This Row],[CENTRO]],'CENTRO DE CUSTO'!B:E,4,FALSE)," ")</f>
        <v>PAULO TORRES</v>
      </c>
      <c r="D624" s="12">
        <v>87</v>
      </c>
      <c r="E624" s="16">
        <v>87481</v>
      </c>
      <c r="F624" s="10" t="s">
        <v>613</v>
      </c>
      <c r="G624" s="10">
        <v>220</v>
      </c>
      <c r="H624" s="11">
        <v>45806</v>
      </c>
      <c r="I624" s="10" t="s">
        <v>612</v>
      </c>
      <c r="J624" s="12" t="str">
        <f>IF(OR(TED[[#This Row],[SITUACAO]]=1,TED[[#This Row],[SITUACAO]]=9,TED[[#This Row],[SITUACAO]]=18),"ATIVO","AFASTADO")</f>
        <v>ATIVO</v>
      </c>
      <c r="K624" s="12">
        <v>1</v>
      </c>
    </row>
    <row r="625" spans="1:11" x14ac:dyDescent="0.25">
      <c r="A625" s="10">
        <v>32149</v>
      </c>
      <c r="B625" s="9" t="s">
        <v>4</v>
      </c>
      <c r="C625" s="12" t="str">
        <f>IFERROR(VLOOKUP(TED[[#This Row],[CENTRO]],'CENTRO DE CUSTO'!B:E,4,FALSE)," ")</f>
        <v>CARLOS FABRI</v>
      </c>
      <c r="D625" s="12">
        <v>87</v>
      </c>
      <c r="E625" s="16">
        <v>87003</v>
      </c>
      <c r="F625" s="10" t="s">
        <v>2</v>
      </c>
      <c r="G625" s="10">
        <v>220</v>
      </c>
      <c r="H625" s="11">
        <v>45398</v>
      </c>
      <c r="I625" s="10" t="s">
        <v>1</v>
      </c>
      <c r="J625" s="12" t="str">
        <f>IF(OR(TED[[#This Row],[SITUACAO]]=1,TED[[#This Row],[SITUACAO]]=9,TED[[#This Row],[SITUACAO]]=18),"ATIVO","AFASTADO")</f>
        <v>ATIVO</v>
      </c>
      <c r="K625" s="12">
        <v>1</v>
      </c>
    </row>
    <row r="626" spans="1:11" x14ac:dyDescent="0.25">
      <c r="A626" s="10">
        <v>10363</v>
      </c>
      <c r="B626" s="9" t="s">
        <v>171</v>
      </c>
      <c r="C626" s="12" t="str">
        <f>IFERROR(VLOOKUP(TED[[#This Row],[CENTRO]],'CENTRO DE CUSTO'!B:E,4,FALSE)," ")</f>
        <v>DÉBORA GOBETTI</v>
      </c>
      <c r="D626" s="12">
        <v>87</v>
      </c>
      <c r="E626" s="16">
        <v>87046</v>
      </c>
      <c r="F626" s="10" t="s">
        <v>170</v>
      </c>
      <c r="G626" s="10">
        <v>150</v>
      </c>
      <c r="H626" s="11">
        <v>43165</v>
      </c>
      <c r="I626" s="10" t="s">
        <v>1</v>
      </c>
      <c r="J626" s="12" t="str">
        <f>IF(OR(TED[[#This Row],[SITUACAO]]=1,TED[[#This Row],[SITUACAO]]=9,TED[[#This Row],[SITUACAO]]=18),"ATIVO","AFASTADO")</f>
        <v>AFASTADO</v>
      </c>
      <c r="K626" s="12">
        <v>6</v>
      </c>
    </row>
    <row r="627" spans="1:11" x14ac:dyDescent="0.25">
      <c r="A627" s="10">
        <v>5624</v>
      </c>
      <c r="B627" s="9" t="s">
        <v>516</v>
      </c>
      <c r="C627" s="12" t="str">
        <f>IFERROR(VLOOKUP(TED[[#This Row],[CENTRO]],'CENTRO DE CUSTO'!B:E,4,FALSE)," ")</f>
        <v>CARLOS FABRI</v>
      </c>
      <c r="D627" s="12">
        <v>87</v>
      </c>
      <c r="E627" s="16">
        <v>87112</v>
      </c>
      <c r="F627" s="10" t="s">
        <v>514</v>
      </c>
      <c r="G627" s="10">
        <v>220</v>
      </c>
      <c r="H627" s="11">
        <v>42156</v>
      </c>
      <c r="I627" s="10" t="s">
        <v>1</v>
      </c>
      <c r="J627" s="12" t="str">
        <f>IF(OR(TED[[#This Row],[SITUACAO]]=1,TED[[#This Row],[SITUACAO]]=9,TED[[#This Row],[SITUACAO]]=18),"ATIVO","AFASTADO")</f>
        <v>ATIVO</v>
      </c>
      <c r="K627" s="12">
        <v>1</v>
      </c>
    </row>
    <row r="628" spans="1:11" x14ac:dyDescent="0.25">
      <c r="A628" s="10">
        <v>20119</v>
      </c>
      <c r="B628" s="9" t="s">
        <v>206</v>
      </c>
      <c r="C628" s="12" t="str">
        <f>IFERROR(VLOOKUP(TED[[#This Row],[CENTRO]],'CENTRO DE CUSTO'!B:E,4,FALSE)," ")</f>
        <v>JOÃO CLEMENTONI</v>
      </c>
      <c r="D628" s="12">
        <v>87</v>
      </c>
      <c r="E628" s="16">
        <v>87053</v>
      </c>
      <c r="F628" s="10" t="s">
        <v>207</v>
      </c>
      <c r="G628" s="10">
        <v>220</v>
      </c>
      <c r="H628" s="11">
        <v>44586</v>
      </c>
      <c r="I628" s="10" t="s">
        <v>1</v>
      </c>
      <c r="J628" s="12" t="str">
        <f>IF(OR(TED[[#This Row],[SITUACAO]]=1,TED[[#This Row],[SITUACAO]]=9,TED[[#This Row],[SITUACAO]]=18),"ATIVO","AFASTADO")</f>
        <v>ATIVO</v>
      </c>
      <c r="K628" s="12">
        <v>1</v>
      </c>
    </row>
    <row r="629" spans="1:11" x14ac:dyDescent="0.25">
      <c r="A629" s="10">
        <v>25833</v>
      </c>
      <c r="B629" s="9" t="s">
        <v>480</v>
      </c>
      <c r="C629" s="12" t="str">
        <f>IFERROR(VLOOKUP(TED[[#This Row],[CENTRO]],'CENTRO DE CUSTO'!B:E,4,FALSE)," ")</f>
        <v>DÉBORA GOBETTI</v>
      </c>
      <c r="D629" s="12">
        <v>87</v>
      </c>
      <c r="E629" s="16">
        <v>87106</v>
      </c>
      <c r="F629" s="10" t="s">
        <v>477</v>
      </c>
      <c r="G629" s="10">
        <v>220</v>
      </c>
      <c r="H629" s="11">
        <v>44995</v>
      </c>
      <c r="I629" s="10" t="s">
        <v>1</v>
      </c>
      <c r="J629" s="12" t="str">
        <f>IF(OR(TED[[#This Row],[SITUACAO]]=1,TED[[#This Row],[SITUACAO]]=9,TED[[#This Row],[SITUACAO]]=18),"ATIVO","AFASTADO")</f>
        <v>ATIVO</v>
      </c>
      <c r="K629" s="12">
        <v>1</v>
      </c>
    </row>
    <row r="630" spans="1:11" x14ac:dyDescent="0.25">
      <c r="A630" s="10">
        <v>36996</v>
      </c>
      <c r="B630" s="9" t="s">
        <v>360</v>
      </c>
      <c r="C630" s="12" t="str">
        <f>IFERROR(VLOOKUP(TED[[#This Row],[CENTRO]],'CENTRO DE CUSTO'!B:E,4,FALSE)," ")</f>
        <v>JOÃO CLEMENTONI</v>
      </c>
      <c r="D630" s="12">
        <v>87</v>
      </c>
      <c r="E630" s="16">
        <v>87082</v>
      </c>
      <c r="F630" s="10" t="s">
        <v>359</v>
      </c>
      <c r="G630" s="10">
        <v>220</v>
      </c>
      <c r="H630" s="11">
        <v>45699</v>
      </c>
      <c r="I630" s="10" t="s">
        <v>1</v>
      </c>
      <c r="J630" s="12" t="str">
        <f>IF(OR(TED[[#This Row],[SITUACAO]]=1,TED[[#This Row],[SITUACAO]]=9,TED[[#This Row],[SITUACAO]]=18),"ATIVO","AFASTADO")</f>
        <v>ATIVO</v>
      </c>
      <c r="K630" s="12">
        <v>1</v>
      </c>
    </row>
    <row r="631" spans="1:11" x14ac:dyDescent="0.25">
      <c r="A631" s="10">
        <v>4555</v>
      </c>
      <c r="B631" s="9" t="s">
        <v>239</v>
      </c>
      <c r="C631" s="12" t="str">
        <f>IFERROR(VLOOKUP(TED[[#This Row],[CENTRO]],'CENTRO DE CUSTO'!B:E,4,FALSE)," ")</f>
        <v>CARLOS FABRI</v>
      </c>
      <c r="D631" s="12">
        <v>87</v>
      </c>
      <c r="E631" s="16">
        <v>87060</v>
      </c>
      <c r="F631" s="10" t="s">
        <v>240</v>
      </c>
      <c r="G631" s="10">
        <v>220</v>
      </c>
      <c r="H631" s="11">
        <v>41948</v>
      </c>
      <c r="I631" s="10" t="s">
        <v>21</v>
      </c>
      <c r="J631" s="12" t="str">
        <f>IF(OR(TED[[#This Row],[SITUACAO]]=1,TED[[#This Row],[SITUACAO]]=9,TED[[#This Row],[SITUACAO]]=18),"ATIVO","AFASTADO")</f>
        <v>ATIVO</v>
      </c>
      <c r="K631" s="12">
        <v>1</v>
      </c>
    </row>
    <row r="632" spans="1:11" x14ac:dyDescent="0.25">
      <c r="A632" s="10">
        <v>5348</v>
      </c>
      <c r="B632" s="9" t="s">
        <v>380</v>
      </c>
      <c r="C632" s="12" t="str">
        <f>IFERROR(VLOOKUP(TED[[#This Row],[CENTRO]],'CENTRO DE CUSTO'!B:E,4,FALSE)," ")</f>
        <v>S/ SUPERVISOR</v>
      </c>
      <c r="D632" s="12">
        <v>87</v>
      </c>
      <c r="E632" s="16">
        <v>87087</v>
      </c>
      <c r="F632" s="10" t="s">
        <v>381</v>
      </c>
      <c r="G632" s="10">
        <v>220</v>
      </c>
      <c r="H632" s="11">
        <v>42156</v>
      </c>
      <c r="I632" s="10" t="s">
        <v>1</v>
      </c>
      <c r="J632" s="12" t="str">
        <f>IF(OR(TED[[#This Row],[SITUACAO]]=1,TED[[#This Row],[SITUACAO]]=9,TED[[#This Row],[SITUACAO]]=18),"ATIVO","AFASTADO")</f>
        <v>ATIVO</v>
      </c>
      <c r="K632" s="12">
        <v>1</v>
      </c>
    </row>
    <row r="633" spans="1:11" x14ac:dyDescent="0.25">
      <c r="A633" s="10">
        <v>33753</v>
      </c>
      <c r="B633" s="9" t="s">
        <v>461</v>
      </c>
      <c r="C633" s="12" t="str">
        <f>IFERROR(VLOOKUP(TED[[#This Row],[CENTRO]],'CENTRO DE CUSTO'!B:E,4,FALSE)," ")</f>
        <v>S/ SUPERVISOR</v>
      </c>
      <c r="D633" s="12">
        <v>87</v>
      </c>
      <c r="E633" s="16">
        <v>87103</v>
      </c>
      <c r="F633" s="10" t="s">
        <v>459</v>
      </c>
      <c r="G633" s="10">
        <v>220</v>
      </c>
      <c r="H633" s="11">
        <v>45541</v>
      </c>
      <c r="I633" s="10" t="s">
        <v>21</v>
      </c>
      <c r="J633" s="12" t="str">
        <f>IF(OR(TED[[#This Row],[SITUACAO]]=1,TED[[#This Row],[SITUACAO]]=9,TED[[#This Row],[SITUACAO]]=18),"ATIVO","AFASTADO")</f>
        <v>ATIVO</v>
      </c>
      <c r="K633" s="12">
        <v>1</v>
      </c>
    </row>
    <row r="634" spans="1:11" x14ac:dyDescent="0.25">
      <c r="A634" s="10">
        <v>5355</v>
      </c>
      <c r="B634" s="9" t="s">
        <v>483</v>
      </c>
      <c r="C634" s="12" t="str">
        <f>IFERROR(VLOOKUP(TED[[#This Row],[CENTRO]],'CENTRO DE CUSTO'!B:E,4,FALSE)," ")</f>
        <v>DÉBORA GOBETTI</v>
      </c>
      <c r="D634" s="12">
        <v>87</v>
      </c>
      <c r="E634" s="16">
        <v>87107</v>
      </c>
      <c r="F634" s="10" t="s">
        <v>484</v>
      </c>
      <c r="G634" s="10">
        <v>220</v>
      </c>
      <c r="H634" s="11">
        <v>42156</v>
      </c>
      <c r="I634" s="10" t="s">
        <v>1</v>
      </c>
      <c r="J634" s="12" t="str">
        <f>IF(OR(TED[[#This Row],[SITUACAO]]=1,TED[[#This Row],[SITUACAO]]=9,TED[[#This Row],[SITUACAO]]=18),"ATIVO","AFASTADO")</f>
        <v>ATIVO</v>
      </c>
      <c r="K634" s="12">
        <v>1</v>
      </c>
    </row>
    <row r="635" spans="1:11" x14ac:dyDescent="0.25">
      <c r="A635" s="10">
        <v>5297</v>
      </c>
      <c r="B635" s="9" t="s">
        <v>548</v>
      </c>
      <c r="C635" s="12" t="str">
        <f>IFERROR(VLOOKUP(TED[[#This Row],[CENTRO]],'CENTRO DE CUSTO'!B:E,4,FALSE)," ")</f>
        <v>S/ SUPERVISOR</v>
      </c>
      <c r="D635" s="12">
        <v>87</v>
      </c>
      <c r="E635" s="16">
        <v>87118</v>
      </c>
      <c r="F635" s="10" t="s">
        <v>544</v>
      </c>
      <c r="G635" s="10">
        <v>220</v>
      </c>
      <c r="H635" s="11">
        <v>42156</v>
      </c>
      <c r="I635" s="10" t="s">
        <v>1</v>
      </c>
      <c r="J635" s="12" t="str">
        <f>IF(OR(TED[[#This Row],[SITUACAO]]=1,TED[[#This Row],[SITUACAO]]=9,TED[[#This Row],[SITUACAO]]=18),"ATIVO","AFASTADO")</f>
        <v>ATIVO</v>
      </c>
      <c r="K635" s="12">
        <v>1</v>
      </c>
    </row>
    <row r="636" spans="1:11" x14ac:dyDescent="0.25">
      <c r="A636" s="10">
        <v>46110</v>
      </c>
      <c r="B636" s="9" t="s">
        <v>2330</v>
      </c>
      <c r="C636" s="12" t="str">
        <f>IFERROR(VLOOKUP(TED[[#This Row],[CENTRO]],'CENTRO DE CUSTO'!B:E,4,FALSE)," ")</f>
        <v>S/ SUPERVISOR</v>
      </c>
      <c r="D636" s="12">
        <v>87</v>
      </c>
      <c r="E636" s="16">
        <v>87036</v>
      </c>
      <c r="F636" s="10" t="s">
        <v>112</v>
      </c>
      <c r="G636" s="10">
        <v>220</v>
      </c>
      <c r="H636" s="11">
        <v>46182</v>
      </c>
      <c r="I636" s="10" t="s">
        <v>21</v>
      </c>
      <c r="J636" s="12" t="str">
        <f>IF(OR(TED[[#This Row],[SITUACAO]]=1,TED[[#This Row],[SITUACAO]]=9,TED[[#This Row],[SITUACAO]]=18),"ATIVO","AFASTADO")</f>
        <v>ATIVO</v>
      </c>
      <c r="K636" s="12">
        <v>1</v>
      </c>
    </row>
    <row r="637" spans="1:11" x14ac:dyDescent="0.25">
      <c r="A637" s="10">
        <v>32728</v>
      </c>
      <c r="B637" s="9" t="s">
        <v>284</v>
      </c>
      <c r="C637" s="12" t="str">
        <f>IFERROR(VLOOKUP(TED[[#This Row],[CENTRO]],'CENTRO DE CUSTO'!B:E,4,FALSE)," ")</f>
        <v>DÉBORA GOBETTI</v>
      </c>
      <c r="D637" s="12">
        <v>87</v>
      </c>
      <c r="E637" s="16">
        <v>87086</v>
      </c>
      <c r="F637" s="10" t="s">
        <v>376</v>
      </c>
      <c r="G637" s="10">
        <v>220</v>
      </c>
      <c r="H637" s="11">
        <v>45446</v>
      </c>
      <c r="I637" s="10" t="s">
        <v>21</v>
      </c>
      <c r="J637" s="12" t="str">
        <f>IF(OR(TED[[#This Row],[SITUACAO]]=1,TED[[#This Row],[SITUACAO]]=9,TED[[#This Row],[SITUACAO]]=18),"ATIVO","AFASTADO")</f>
        <v>ATIVO</v>
      </c>
      <c r="K637" s="12">
        <v>1</v>
      </c>
    </row>
    <row r="638" spans="1:11" x14ac:dyDescent="0.25">
      <c r="A638" s="10">
        <v>5423</v>
      </c>
      <c r="B638" s="9" t="s">
        <v>13</v>
      </c>
      <c r="C638" s="12" t="str">
        <f>IFERROR(VLOOKUP(TED[[#This Row],[CENTRO]],'CENTRO DE CUSTO'!B:E,4,FALSE)," ")</f>
        <v>S/ SUPERVISOR</v>
      </c>
      <c r="D638" s="12">
        <v>87</v>
      </c>
      <c r="E638" s="16">
        <v>87009</v>
      </c>
      <c r="F638" s="10" t="s">
        <v>14</v>
      </c>
      <c r="G638" s="10">
        <v>220</v>
      </c>
      <c r="H638" s="11">
        <v>42156</v>
      </c>
      <c r="I638" s="10" t="s">
        <v>1</v>
      </c>
      <c r="J638" s="12" t="str">
        <f>IF(OR(TED[[#This Row],[SITUACAO]]=1,TED[[#This Row],[SITUACAO]]=9,TED[[#This Row],[SITUACAO]]=18),"ATIVO","AFASTADO")</f>
        <v>ATIVO</v>
      </c>
      <c r="K638" s="12">
        <v>1</v>
      </c>
    </row>
    <row r="639" spans="1:11" x14ac:dyDescent="0.25">
      <c r="A639" s="10">
        <v>43332</v>
      </c>
      <c r="B639" s="9" t="s">
        <v>2059</v>
      </c>
      <c r="C639" s="12" t="str">
        <f>IFERROR(VLOOKUP(TED[[#This Row],[CENTRO]],'CENTRO DE CUSTO'!B:E,4,FALSE)," ")</f>
        <v>JOÃO CLEMENTONI</v>
      </c>
      <c r="D639" s="12">
        <v>87</v>
      </c>
      <c r="E639" s="16">
        <v>87073</v>
      </c>
      <c r="F639" s="10" t="s">
        <v>309</v>
      </c>
      <c r="G639" s="10">
        <v>220</v>
      </c>
      <c r="H639" s="11">
        <v>46043</v>
      </c>
      <c r="I639" s="10" t="s">
        <v>21</v>
      </c>
      <c r="J639" s="12" t="str">
        <f>IF(OR(TED[[#This Row],[SITUACAO]]=1,TED[[#This Row],[SITUACAO]]=9,TED[[#This Row],[SITUACAO]]=18),"ATIVO","AFASTADO")</f>
        <v>ATIVO</v>
      </c>
      <c r="K639" s="12">
        <v>1</v>
      </c>
    </row>
    <row r="640" spans="1:11" x14ac:dyDescent="0.25">
      <c r="A640" s="10">
        <v>20575</v>
      </c>
      <c r="B640" s="9" t="s">
        <v>276</v>
      </c>
      <c r="C640" s="12" t="str">
        <f>IFERROR(VLOOKUP(TED[[#This Row],[CENTRO]],'CENTRO DE CUSTO'!B:E,4,FALSE)," ")</f>
        <v>JOÃO CLEMENTONI</v>
      </c>
      <c r="D640" s="12">
        <v>87</v>
      </c>
      <c r="E640" s="16">
        <v>87066</v>
      </c>
      <c r="F640" s="10" t="s">
        <v>272</v>
      </c>
      <c r="G640" s="10">
        <v>220</v>
      </c>
      <c r="H640" s="11">
        <v>44624</v>
      </c>
      <c r="I640" s="10" t="s">
        <v>21</v>
      </c>
      <c r="J640" s="12" t="str">
        <f>IF(OR(TED[[#This Row],[SITUACAO]]=1,TED[[#This Row],[SITUACAO]]=9,TED[[#This Row],[SITUACAO]]=18),"ATIVO","AFASTADO")</f>
        <v>ATIVO</v>
      </c>
      <c r="K640" s="12">
        <v>1</v>
      </c>
    </row>
    <row r="641" spans="1:11" x14ac:dyDescent="0.25">
      <c r="A641" s="10">
        <v>12281</v>
      </c>
      <c r="B641" s="9" t="s">
        <v>409</v>
      </c>
      <c r="C641" s="12" t="str">
        <f>IFERROR(VLOOKUP(TED[[#This Row],[CENTRO]],'CENTRO DE CUSTO'!B:E,4,FALSE)," ")</f>
        <v>S/ SUPERVISOR</v>
      </c>
      <c r="D641" s="12">
        <v>87</v>
      </c>
      <c r="E641" s="16">
        <v>87092</v>
      </c>
      <c r="F641" s="10" t="s">
        <v>405</v>
      </c>
      <c r="G641" s="10">
        <v>220</v>
      </c>
      <c r="H641" s="11">
        <v>43508</v>
      </c>
      <c r="I641" s="10" t="s">
        <v>1</v>
      </c>
      <c r="J641" s="12" t="str">
        <f>IF(OR(TED[[#This Row],[SITUACAO]]=1,TED[[#This Row],[SITUACAO]]=9,TED[[#This Row],[SITUACAO]]=18),"ATIVO","AFASTADO")</f>
        <v>ATIVO</v>
      </c>
      <c r="K641" s="12">
        <v>1</v>
      </c>
    </row>
    <row r="642" spans="1:11" x14ac:dyDescent="0.25">
      <c r="A642" s="10">
        <v>5097</v>
      </c>
      <c r="B642" s="9" t="s">
        <v>1104</v>
      </c>
      <c r="C642" s="12" t="str">
        <f>IFERROR(VLOOKUP(TED[[#This Row],[CENTRO]],'CENTRO DE CUSTO'!B:E,4,FALSE)," ")</f>
        <v>CONRADO</v>
      </c>
      <c r="D642" s="12">
        <v>92</v>
      </c>
      <c r="E642" s="16">
        <v>92000</v>
      </c>
      <c r="F642" s="10" t="s">
        <v>1900</v>
      </c>
      <c r="G642" s="10">
        <v>220</v>
      </c>
      <c r="H642" s="11">
        <v>42107</v>
      </c>
      <c r="I642" s="10" t="s">
        <v>959</v>
      </c>
      <c r="J642" s="12" t="str">
        <f>IF(OR(TED[[#This Row],[SITUACAO]]=1,TED[[#This Row],[SITUACAO]]=9,TED[[#This Row],[SITUACAO]]=18),"ATIVO","AFASTADO")</f>
        <v>ATIVO</v>
      </c>
      <c r="K642" s="12">
        <v>1</v>
      </c>
    </row>
    <row r="643" spans="1:11" x14ac:dyDescent="0.25">
      <c r="A643" s="10">
        <v>10276</v>
      </c>
      <c r="B643" s="9" t="s">
        <v>1084</v>
      </c>
      <c r="C643" s="12" t="str">
        <f>IFERROR(VLOOKUP(TED[[#This Row],[CENTRO]],'CENTRO DE CUSTO'!B:E,4,FALSE)," ")</f>
        <v>CONRADO</v>
      </c>
      <c r="D643" s="12">
        <v>92</v>
      </c>
      <c r="E643" s="16">
        <v>92000</v>
      </c>
      <c r="F643" s="10" t="s">
        <v>1900</v>
      </c>
      <c r="G643" s="10">
        <v>220</v>
      </c>
      <c r="H643" s="11">
        <v>43160</v>
      </c>
      <c r="I643" s="10" t="s">
        <v>939</v>
      </c>
      <c r="J643" s="12" t="str">
        <f>IF(OR(TED[[#This Row],[SITUACAO]]=1,TED[[#This Row],[SITUACAO]]=9,TED[[#This Row],[SITUACAO]]=18),"ATIVO","AFASTADO")</f>
        <v>ATIVO</v>
      </c>
      <c r="K643" s="12">
        <v>1</v>
      </c>
    </row>
    <row r="644" spans="1:11" x14ac:dyDescent="0.25">
      <c r="A644" s="10">
        <v>5928</v>
      </c>
      <c r="B644" s="9" t="s">
        <v>1114</v>
      </c>
      <c r="C644" s="12" t="str">
        <f>IFERROR(VLOOKUP(TED[[#This Row],[CENTRO]],'CENTRO DE CUSTO'!B:E,4,FALSE)," ")</f>
        <v>CONRADO</v>
      </c>
      <c r="D644" s="12">
        <v>92</v>
      </c>
      <c r="E644" s="16">
        <v>92000</v>
      </c>
      <c r="F644" s="10" t="s">
        <v>1900</v>
      </c>
      <c r="G644" s="10">
        <v>220</v>
      </c>
      <c r="H644" s="11">
        <v>42233</v>
      </c>
      <c r="I644" s="10" t="s">
        <v>1988</v>
      </c>
      <c r="J644" s="12" t="str">
        <f>IF(OR(TED[[#This Row],[SITUACAO]]=1,TED[[#This Row],[SITUACAO]]=9,TED[[#This Row],[SITUACAO]]=18),"ATIVO","AFASTADO")</f>
        <v>ATIVO</v>
      </c>
      <c r="K644" s="12">
        <v>1</v>
      </c>
    </row>
    <row r="645" spans="1:11" x14ac:dyDescent="0.25">
      <c r="A645" s="10">
        <v>6990</v>
      </c>
      <c r="B645" s="9" t="s">
        <v>1095</v>
      </c>
      <c r="C645" s="12" t="str">
        <f>IFERROR(VLOOKUP(TED[[#This Row],[CENTRO]],'CENTRO DE CUSTO'!B:E,4,FALSE)," ")</f>
        <v>CONRADO</v>
      </c>
      <c r="D645" s="12">
        <v>92</v>
      </c>
      <c r="E645" s="16">
        <v>92000</v>
      </c>
      <c r="F645" s="10" t="s">
        <v>1900</v>
      </c>
      <c r="G645" s="10">
        <v>220</v>
      </c>
      <c r="H645" s="11">
        <v>42401</v>
      </c>
      <c r="I645" s="10" t="s">
        <v>1988</v>
      </c>
      <c r="J645" s="12" t="str">
        <f>IF(OR(TED[[#This Row],[SITUACAO]]=1,TED[[#This Row],[SITUACAO]]=9,TED[[#This Row],[SITUACAO]]=18),"ATIVO","AFASTADO")</f>
        <v>ATIVO</v>
      </c>
      <c r="K645" s="12">
        <v>9</v>
      </c>
    </row>
    <row r="646" spans="1:11" x14ac:dyDescent="0.25">
      <c r="A646" s="10">
        <v>41906</v>
      </c>
      <c r="B646" s="9" t="s">
        <v>1085</v>
      </c>
      <c r="C646" s="12" t="str">
        <f>IFERROR(VLOOKUP(TED[[#This Row],[CENTRO]],'CENTRO DE CUSTO'!B:E,4,FALSE)," ")</f>
        <v>CONRADO</v>
      </c>
      <c r="D646" s="12">
        <v>92</v>
      </c>
      <c r="E646" s="16">
        <v>92000</v>
      </c>
      <c r="F646" s="10" t="s">
        <v>1900</v>
      </c>
      <c r="G646" s="10">
        <v>220</v>
      </c>
      <c r="H646" s="11">
        <v>45964</v>
      </c>
      <c r="I646" s="10" t="s">
        <v>935</v>
      </c>
      <c r="J646" s="12" t="str">
        <f>IF(OR(TED[[#This Row],[SITUACAO]]=1,TED[[#This Row],[SITUACAO]]=9,TED[[#This Row],[SITUACAO]]=18),"ATIVO","AFASTADO")</f>
        <v>ATIVO</v>
      </c>
      <c r="K646" s="12">
        <v>9</v>
      </c>
    </row>
    <row r="647" spans="1:11" x14ac:dyDescent="0.25">
      <c r="A647" s="10">
        <v>33938</v>
      </c>
      <c r="B647" s="9" t="s">
        <v>1054</v>
      </c>
      <c r="C647" s="12" t="str">
        <f>IFERROR(VLOOKUP(TED[[#This Row],[CENTRO]],'CENTRO DE CUSTO'!B:E,4,FALSE)," ")</f>
        <v>CONRADO</v>
      </c>
      <c r="D647" s="12">
        <v>92</v>
      </c>
      <c r="E647" s="16">
        <v>92000</v>
      </c>
      <c r="F647" s="10" t="s">
        <v>1900</v>
      </c>
      <c r="G647" s="10">
        <v>220</v>
      </c>
      <c r="H647" s="11">
        <v>45566</v>
      </c>
      <c r="I647" s="10" t="s">
        <v>935</v>
      </c>
      <c r="J647" s="12" t="str">
        <f>IF(OR(TED[[#This Row],[SITUACAO]]=1,TED[[#This Row],[SITUACAO]]=9,TED[[#This Row],[SITUACAO]]=18),"ATIVO","AFASTADO")</f>
        <v>AFASTADO</v>
      </c>
      <c r="K647" s="12">
        <v>16</v>
      </c>
    </row>
    <row r="648" spans="1:11" x14ac:dyDescent="0.25">
      <c r="A648" s="10">
        <v>14975</v>
      </c>
      <c r="B648" s="9" t="s">
        <v>1106</v>
      </c>
      <c r="C648" s="12" t="str">
        <f>IFERROR(VLOOKUP(TED[[#This Row],[CENTRO]],'CENTRO DE CUSTO'!B:E,4,FALSE)," ")</f>
        <v>CONRADO</v>
      </c>
      <c r="D648" s="12">
        <v>92</v>
      </c>
      <c r="E648" s="16">
        <v>92000</v>
      </c>
      <c r="F648" s="10" t="s">
        <v>1900</v>
      </c>
      <c r="G648" s="10">
        <v>220</v>
      </c>
      <c r="H648" s="11">
        <v>44195</v>
      </c>
      <c r="I648" s="10" t="s">
        <v>939</v>
      </c>
      <c r="J648" s="12" t="str">
        <f>IF(OR(TED[[#This Row],[SITUACAO]]=1,TED[[#This Row],[SITUACAO]]=9,TED[[#This Row],[SITUACAO]]=18),"ATIVO","AFASTADO")</f>
        <v>ATIVO</v>
      </c>
      <c r="K648" s="12">
        <v>1</v>
      </c>
    </row>
    <row r="649" spans="1:11" x14ac:dyDescent="0.25">
      <c r="A649" s="10">
        <v>17659</v>
      </c>
      <c r="B649" s="9" t="s">
        <v>1073</v>
      </c>
      <c r="C649" s="12" t="str">
        <f>IFERROR(VLOOKUP(TED[[#This Row],[CENTRO]],'CENTRO DE CUSTO'!B:E,4,FALSE)," ")</f>
        <v>CONRADO</v>
      </c>
      <c r="D649" s="12">
        <v>92</v>
      </c>
      <c r="E649" s="16">
        <v>92000</v>
      </c>
      <c r="F649" s="10" t="s">
        <v>1900</v>
      </c>
      <c r="G649" s="10">
        <v>220</v>
      </c>
      <c r="H649" s="11">
        <v>44470</v>
      </c>
      <c r="I649" s="10" t="s">
        <v>946</v>
      </c>
      <c r="J649" s="12" t="str">
        <f>IF(OR(TED[[#This Row],[SITUACAO]]=1,TED[[#This Row],[SITUACAO]]=9,TED[[#This Row],[SITUACAO]]=18),"ATIVO","AFASTADO")</f>
        <v>ATIVO</v>
      </c>
      <c r="K649" s="12">
        <v>1</v>
      </c>
    </row>
    <row r="650" spans="1:11" x14ac:dyDescent="0.25">
      <c r="A650" s="10">
        <v>6949</v>
      </c>
      <c r="B650" s="9" t="s">
        <v>1126</v>
      </c>
      <c r="C650" s="12" t="str">
        <f>IFERROR(VLOOKUP(TED[[#This Row],[CENTRO]],'CENTRO DE CUSTO'!B:E,4,FALSE)," ")</f>
        <v>CONRADO</v>
      </c>
      <c r="D650" s="12">
        <v>92</v>
      </c>
      <c r="E650" s="16">
        <v>92000</v>
      </c>
      <c r="F650" s="10" t="s">
        <v>1900</v>
      </c>
      <c r="G650" s="10">
        <v>220</v>
      </c>
      <c r="H650" s="11">
        <v>42373</v>
      </c>
      <c r="I650" s="10" t="s">
        <v>959</v>
      </c>
      <c r="J650" s="12" t="str">
        <f>IF(OR(TED[[#This Row],[SITUACAO]]=1,TED[[#This Row],[SITUACAO]]=9,TED[[#This Row],[SITUACAO]]=18),"ATIVO","AFASTADO")</f>
        <v>ATIVO</v>
      </c>
      <c r="K650" s="12">
        <v>1</v>
      </c>
    </row>
    <row r="651" spans="1:11" x14ac:dyDescent="0.25">
      <c r="A651" s="10">
        <v>41430</v>
      </c>
      <c r="B651" s="9" t="s">
        <v>1108</v>
      </c>
      <c r="C651" s="12" t="str">
        <f>IFERROR(VLOOKUP(TED[[#This Row],[CENTRO]],'CENTRO DE CUSTO'!B:E,4,FALSE)," ")</f>
        <v>CONRADO</v>
      </c>
      <c r="D651" s="12">
        <v>92</v>
      </c>
      <c r="E651" s="16">
        <v>92000</v>
      </c>
      <c r="F651" s="10" t="s">
        <v>1900</v>
      </c>
      <c r="G651" s="10">
        <v>220</v>
      </c>
      <c r="H651" s="11">
        <v>45931</v>
      </c>
      <c r="I651" s="10" t="s">
        <v>935</v>
      </c>
      <c r="J651" s="12" t="str">
        <f>IF(OR(TED[[#This Row],[SITUACAO]]=1,TED[[#This Row],[SITUACAO]]=9,TED[[#This Row],[SITUACAO]]=18),"ATIVO","AFASTADO")</f>
        <v>AFASTADO</v>
      </c>
      <c r="K651" s="12">
        <v>12</v>
      </c>
    </row>
    <row r="652" spans="1:11" x14ac:dyDescent="0.25">
      <c r="A652" s="10">
        <v>24293</v>
      </c>
      <c r="B652" s="9" t="s">
        <v>1091</v>
      </c>
      <c r="C652" s="12" t="str">
        <f>IFERROR(VLOOKUP(TED[[#This Row],[CENTRO]],'CENTRO DE CUSTO'!B:E,4,FALSE)," ")</f>
        <v>CONRADO</v>
      </c>
      <c r="D652" s="12">
        <v>92</v>
      </c>
      <c r="E652" s="16">
        <v>92000</v>
      </c>
      <c r="F652" s="10" t="s">
        <v>1900</v>
      </c>
      <c r="G652" s="10">
        <v>220</v>
      </c>
      <c r="H652" s="11">
        <v>44900</v>
      </c>
      <c r="I652" s="10" t="s">
        <v>934</v>
      </c>
      <c r="J652" s="12" t="str">
        <f>IF(OR(TED[[#This Row],[SITUACAO]]=1,TED[[#This Row],[SITUACAO]]=9,TED[[#This Row],[SITUACAO]]=18),"ATIVO","AFASTADO")</f>
        <v>ATIVO</v>
      </c>
      <c r="K652" s="12">
        <v>1</v>
      </c>
    </row>
    <row r="653" spans="1:11" x14ac:dyDescent="0.25">
      <c r="A653" s="10">
        <v>17675</v>
      </c>
      <c r="B653" s="9" t="s">
        <v>1074</v>
      </c>
      <c r="C653" s="12" t="str">
        <f>IFERROR(VLOOKUP(TED[[#This Row],[CENTRO]],'CENTRO DE CUSTO'!B:E,4,FALSE)," ")</f>
        <v>CONRADO</v>
      </c>
      <c r="D653" s="12">
        <v>92</v>
      </c>
      <c r="E653" s="16">
        <v>92000</v>
      </c>
      <c r="F653" s="10" t="s">
        <v>1900</v>
      </c>
      <c r="G653" s="10">
        <v>220</v>
      </c>
      <c r="H653" s="11">
        <v>44470</v>
      </c>
      <c r="I653" s="10" t="s">
        <v>946</v>
      </c>
      <c r="J653" s="12" t="str">
        <f>IF(OR(TED[[#This Row],[SITUACAO]]=1,TED[[#This Row],[SITUACAO]]=9,TED[[#This Row],[SITUACAO]]=18),"ATIVO","AFASTADO")</f>
        <v>ATIVO</v>
      </c>
      <c r="K653" s="12">
        <v>9</v>
      </c>
    </row>
    <row r="654" spans="1:11" x14ac:dyDescent="0.25">
      <c r="A654" s="10">
        <v>6950</v>
      </c>
      <c r="B654" s="9" t="s">
        <v>1070</v>
      </c>
      <c r="C654" s="12" t="str">
        <f>IFERROR(VLOOKUP(TED[[#This Row],[CENTRO]],'CENTRO DE CUSTO'!B:E,4,FALSE)," ")</f>
        <v>CONRADO</v>
      </c>
      <c r="D654" s="12">
        <v>92</v>
      </c>
      <c r="E654" s="16">
        <v>92000</v>
      </c>
      <c r="F654" s="10" t="s">
        <v>1900</v>
      </c>
      <c r="G654" s="10">
        <v>220</v>
      </c>
      <c r="H654" s="11">
        <v>42373</v>
      </c>
      <c r="I654" s="10" t="s">
        <v>959</v>
      </c>
      <c r="J654" s="12" t="str">
        <f>IF(OR(TED[[#This Row],[SITUACAO]]=1,TED[[#This Row],[SITUACAO]]=9,TED[[#This Row],[SITUACAO]]=18),"ATIVO","AFASTADO")</f>
        <v>ATIVO</v>
      </c>
      <c r="K654" s="12">
        <v>1</v>
      </c>
    </row>
    <row r="655" spans="1:11" x14ac:dyDescent="0.25">
      <c r="A655" s="10">
        <v>15958</v>
      </c>
      <c r="B655" s="9" t="s">
        <v>1080</v>
      </c>
      <c r="C655" s="12" t="str">
        <f>IFERROR(VLOOKUP(TED[[#This Row],[CENTRO]],'CENTRO DE CUSTO'!B:E,4,FALSE)," ")</f>
        <v>CONRADO</v>
      </c>
      <c r="D655" s="12">
        <v>92</v>
      </c>
      <c r="E655" s="16">
        <v>92000</v>
      </c>
      <c r="F655" s="10" t="s">
        <v>1900</v>
      </c>
      <c r="G655" s="10">
        <v>220</v>
      </c>
      <c r="H655" s="11">
        <v>44292</v>
      </c>
      <c r="I655" s="10" t="s">
        <v>1989</v>
      </c>
      <c r="J655" s="12" t="str">
        <f>IF(OR(TED[[#This Row],[SITUACAO]]=1,TED[[#This Row],[SITUACAO]]=9,TED[[#This Row],[SITUACAO]]=18),"ATIVO","AFASTADO")</f>
        <v>ATIVO</v>
      </c>
      <c r="K655" s="12">
        <v>1</v>
      </c>
    </row>
    <row r="656" spans="1:11" x14ac:dyDescent="0.25">
      <c r="A656" s="10">
        <v>24036</v>
      </c>
      <c r="B656" s="9" t="s">
        <v>1116</v>
      </c>
      <c r="C656" s="12" t="str">
        <f>IFERROR(VLOOKUP(TED[[#This Row],[CENTRO]],'CENTRO DE CUSTO'!B:E,4,FALSE)," ")</f>
        <v>CONRADO</v>
      </c>
      <c r="D656" s="12">
        <v>92</v>
      </c>
      <c r="E656" s="16">
        <v>92000</v>
      </c>
      <c r="F656" s="10" t="s">
        <v>1900</v>
      </c>
      <c r="G656" s="10">
        <v>220</v>
      </c>
      <c r="H656" s="11">
        <v>44883</v>
      </c>
      <c r="I656" s="10" t="s">
        <v>959</v>
      </c>
      <c r="J656" s="12" t="str">
        <f>IF(OR(TED[[#This Row],[SITUACAO]]=1,TED[[#This Row],[SITUACAO]]=9,TED[[#This Row],[SITUACAO]]=18),"ATIVO","AFASTADO")</f>
        <v>ATIVO</v>
      </c>
      <c r="K656" s="12">
        <v>1</v>
      </c>
    </row>
    <row r="657" spans="1:11" x14ac:dyDescent="0.25">
      <c r="A657" s="10">
        <v>43016</v>
      </c>
      <c r="B657" s="9" t="s">
        <v>1119</v>
      </c>
      <c r="C657" s="12" t="str">
        <f>IFERROR(VLOOKUP(TED[[#This Row],[CENTRO]],'CENTRO DE CUSTO'!B:E,4,FALSE)," ")</f>
        <v>CONRADO</v>
      </c>
      <c r="D657" s="12">
        <v>92</v>
      </c>
      <c r="E657" s="16">
        <v>92000</v>
      </c>
      <c r="F657" s="10" t="s">
        <v>1900</v>
      </c>
      <c r="G657" s="10">
        <v>220</v>
      </c>
      <c r="H657" s="11">
        <v>46000</v>
      </c>
      <c r="I657" s="10" t="s">
        <v>935</v>
      </c>
      <c r="J657" s="12" t="str">
        <f>IF(OR(TED[[#This Row],[SITUACAO]]=1,TED[[#This Row],[SITUACAO]]=9,TED[[#This Row],[SITUACAO]]=18),"ATIVO","AFASTADO")</f>
        <v>ATIVO</v>
      </c>
      <c r="K657" s="12">
        <v>9</v>
      </c>
    </row>
    <row r="658" spans="1:11" x14ac:dyDescent="0.25">
      <c r="A658" s="10">
        <v>45942</v>
      </c>
      <c r="B658" s="9" t="s">
        <v>2331</v>
      </c>
      <c r="C658" s="12" t="str">
        <f>IFERROR(VLOOKUP(TED[[#This Row],[CENTRO]],'CENTRO DE CUSTO'!B:E,4,FALSE)," ")</f>
        <v>CONRADO</v>
      </c>
      <c r="D658" s="12">
        <v>92</v>
      </c>
      <c r="E658" s="16">
        <v>92000</v>
      </c>
      <c r="F658" s="10" t="s">
        <v>1900</v>
      </c>
      <c r="G658" s="10">
        <v>220</v>
      </c>
      <c r="H658" s="11">
        <v>46170</v>
      </c>
      <c r="I658" s="10" t="s">
        <v>959</v>
      </c>
      <c r="J658" s="12" t="str">
        <f>IF(OR(TED[[#This Row],[SITUACAO]]=1,TED[[#This Row],[SITUACAO]]=9,TED[[#This Row],[SITUACAO]]=18),"ATIVO","AFASTADO")</f>
        <v>ATIVO</v>
      </c>
      <c r="K658" s="12">
        <v>1</v>
      </c>
    </row>
    <row r="659" spans="1:11" x14ac:dyDescent="0.25">
      <c r="A659" s="10">
        <v>41247</v>
      </c>
      <c r="B659" s="9" t="s">
        <v>1065</v>
      </c>
      <c r="C659" s="12" t="str">
        <f>IFERROR(VLOOKUP(TED[[#This Row],[CENTRO]],'CENTRO DE CUSTO'!B:E,4,FALSE)," ")</f>
        <v>CONRADO</v>
      </c>
      <c r="D659" s="12">
        <v>92</v>
      </c>
      <c r="E659" s="16">
        <v>92000</v>
      </c>
      <c r="F659" s="10" t="s">
        <v>1900</v>
      </c>
      <c r="G659" s="10">
        <v>220</v>
      </c>
      <c r="H659" s="11">
        <v>45931</v>
      </c>
      <c r="I659" s="10" t="s">
        <v>935</v>
      </c>
      <c r="J659" s="12" t="str">
        <f>IF(OR(TED[[#This Row],[SITUACAO]]=1,TED[[#This Row],[SITUACAO]]=9,TED[[#This Row],[SITUACAO]]=18),"ATIVO","AFASTADO")</f>
        <v>ATIVO</v>
      </c>
      <c r="K659" s="12">
        <v>9</v>
      </c>
    </row>
    <row r="660" spans="1:11" x14ac:dyDescent="0.25">
      <c r="A660" s="10">
        <v>34464</v>
      </c>
      <c r="B660" s="9" t="s">
        <v>1098</v>
      </c>
      <c r="C660" s="12" t="str">
        <f>IFERROR(VLOOKUP(TED[[#This Row],[CENTRO]],'CENTRO DE CUSTO'!B:E,4,FALSE)," ")</f>
        <v>CONRADO</v>
      </c>
      <c r="D660" s="12">
        <v>92</v>
      </c>
      <c r="E660" s="16">
        <v>92000</v>
      </c>
      <c r="F660" s="10" t="s">
        <v>1900</v>
      </c>
      <c r="G660" s="10">
        <v>220</v>
      </c>
      <c r="H660" s="11">
        <v>45597</v>
      </c>
      <c r="I660" s="10" t="s">
        <v>959</v>
      </c>
      <c r="J660" s="12" t="str">
        <f>IF(OR(TED[[#This Row],[SITUACAO]]=1,TED[[#This Row],[SITUACAO]]=9,TED[[#This Row],[SITUACAO]]=18),"ATIVO","AFASTADO")</f>
        <v>ATIVO</v>
      </c>
      <c r="K660" s="12">
        <v>1</v>
      </c>
    </row>
    <row r="661" spans="1:11" x14ac:dyDescent="0.25">
      <c r="A661" s="10">
        <v>12085</v>
      </c>
      <c r="B661" s="9" t="s">
        <v>1089</v>
      </c>
      <c r="C661" s="12" t="str">
        <f>IFERROR(VLOOKUP(TED[[#This Row],[CENTRO]],'CENTRO DE CUSTO'!B:E,4,FALSE)," ")</f>
        <v>CONRADO</v>
      </c>
      <c r="D661" s="12">
        <v>92</v>
      </c>
      <c r="E661" s="16">
        <v>92000</v>
      </c>
      <c r="F661" s="10" t="s">
        <v>1900</v>
      </c>
      <c r="G661" s="10">
        <v>220</v>
      </c>
      <c r="H661" s="11">
        <v>43475</v>
      </c>
      <c r="I661" s="10" t="s">
        <v>958</v>
      </c>
      <c r="J661" s="12" t="str">
        <f>IF(OR(TED[[#This Row],[SITUACAO]]=1,TED[[#This Row],[SITUACAO]]=9,TED[[#This Row],[SITUACAO]]=18),"ATIVO","AFASTADO")</f>
        <v>ATIVO</v>
      </c>
      <c r="K661" s="12">
        <v>1</v>
      </c>
    </row>
    <row r="662" spans="1:11" x14ac:dyDescent="0.25">
      <c r="A662" s="10">
        <v>44254</v>
      </c>
      <c r="B662" s="9" t="s">
        <v>2073</v>
      </c>
      <c r="C662" s="12" t="str">
        <f>IFERROR(VLOOKUP(TED[[#This Row],[CENTRO]],'CENTRO DE CUSTO'!B:E,4,FALSE)," ")</f>
        <v>CONRADO</v>
      </c>
      <c r="D662" s="12">
        <v>92</v>
      </c>
      <c r="E662" s="16">
        <v>92000</v>
      </c>
      <c r="F662" s="10" t="s">
        <v>1900</v>
      </c>
      <c r="G662" s="10">
        <v>220</v>
      </c>
      <c r="H662" s="11">
        <v>46090</v>
      </c>
      <c r="I662" s="10" t="s">
        <v>958</v>
      </c>
      <c r="J662" s="12" t="str">
        <f>IF(OR(TED[[#This Row],[SITUACAO]]=1,TED[[#This Row],[SITUACAO]]=9,TED[[#This Row],[SITUACAO]]=18),"ATIVO","AFASTADO")</f>
        <v>ATIVO</v>
      </c>
      <c r="K662" s="12">
        <v>1</v>
      </c>
    </row>
    <row r="663" spans="1:11" x14ac:dyDescent="0.25">
      <c r="A663" s="10">
        <v>8563</v>
      </c>
      <c r="B663" s="9" t="s">
        <v>1072</v>
      </c>
      <c r="C663" s="12" t="str">
        <f>IFERROR(VLOOKUP(TED[[#This Row],[CENTRO]],'CENTRO DE CUSTO'!B:E,4,FALSE)," ")</f>
        <v>CONRADO</v>
      </c>
      <c r="D663" s="12">
        <v>92</v>
      </c>
      <c r="E663" s="16">
        <v>92000</v>
      </c>
      <c r="F663" s="10" t="s">
        <v>1900</v>
      </c>
      <c r="G663" s="10">
        <v>220</v>
      </c>
      <c r="H663" s="11">
        <v>42773</v>
      </c>
      <c r="I663" s="10" t="s">
        <v>1988</v>
      </c>
      <c r="J663" s="12" t="str">
        <f>IF(OR(TED[[#This Row],[SITUACAO]]=1,TED[[#This Row],[SITUACAO]]=9,TED[[#This Row],[SITUACAO]]=18),"ATIVO","AFASTADO")</f>
        <v>ATIVO</v>
      </c>
      <c r="K663" s="12">
        <v>1</v>
      </c>
    </row>
    <row r="664" spans="1:11" x14ac:dyDescent="0.25">
      <c r="A664" s="10">
        <v>3091</v>
      </c>
      <c r="B664" s="9" t="s">
        <v>1056</v>
      </c>
      <c r="C664" s="12" t="str">
        <f>IFERROR(VLOOKUP(TED[[#This Row],[CENTRO]],'CENTRO DE CUSTO'!B:E,4,FALSE)," ")</f>
        <v>CONRADO</v>
      </c>
      <c r="D664" s="12">
        <v>92</v>
      </c>
      <c r="E664" s="16">
        <v>92000</v>
      </c>
      <c r="F664" s="10" t="s">
        <v>1900</v>
      </c>
      <c r="G664" s="10">
        <v>220</v>
      </c>
      <c r="H664" s="11">
        <v>41589</v>
      </c>
      <c r="I664" s="10" t="s">
        <v>1987</v>
      </c>
      <c r="J664" s="12" t="str">
        <f>IF(OR(TED[[#This Row],[SITUACAO]]=1,TED[[#This Row],[SITUACAO]]=9,TED[[#This Row],[SITUACAO]]=18),"ATIVO","AFASTADO")</f>
        <v>ATIVO</v>
      </c>
      <c r="K664" s="12">
        <v>1</v>
      </c>
    </row>
    <row r="665" spans="1:11" x14ac:dyDescent="0.25">
      <c r="A665" s="10">
        <v>41420</v>
      </c>
      <c r="B665" s="9" t="s">
        <v>1110</v>
      </c>
      <c r="C665" s="12" t="str">
        <f>IFERROR(VLOOKUP(TED[[#This Row],[CENTRO]],'CENTRO DE CUSTO'!B:E,4,FALSE)," ")</f>
        <v>CONRADO</v>
      </c>
      <c r="D665" s="12">
        <v>92</v>
      </c>
      <c r="E665" s="16">
        <v>92000</v>
      </c>
      <c r="F665" s="10" t="s">
        <v>1900</v>
      </c>
      <c r="G665" s="10">
        <v>220</v>
      </c>
      <c r="H665" s="11">
        <v>45931</v>
      </c>
      <c r="I665" s="10" t="s">
        <v>959</v>
      </c>
      <c r="J665" s="12" t="str">
        <f>IF(OR(TED[[#This Row],[SITUACAO]]=1,TED[[#This Row],[SITUACAO]]=9,TED[[#This Row],[SITUACAO]]=18),"ATIVO","AFASTADO")</f>
        <v>ATIVO</v>
      </c>
      <c r="K665" s="12">
        <v>1</v>
      </c>
    </row>
    <row r="666" spans="1:11" x14ac:dyDescent="0.25">
      <c r="A666" s="10">
        <v>41570</v>
      </c>
      <c r="B666" s="9" t="s">
        <v>1123</v>
      </c>
      <c r="C666" s="12" t="str">
        <f>IFERROR(VLOOKUP(TED[[#This Row],[CENTRO]],'CENTRO DE CUSTO'!B:E,4,FALSE)," ")</f>
        <v>CONRADO</v>
      </c>
      <c r="D666" s="12">
        <v>92</v>
      </c>
      <c r="E666" s="16">
        <v>92000</v>
      </c>
      <c r="F666" s="10" t="s">
        <v>1900</v>
      </c>
      <c r="G666" s="10">
        <v>220</v>
      </c>
      <c r="H666" s="11">
        <v>45936</v>
      </c>
      <c r="I666" s="10" t="s">
        <v>934</v>
      </c>
      <c r="J666" s="12" t="str">
        <f>IF(OR(TED[[#This Row],[SITUACAO]]=1,TED[[#This Row],[SITUACAO]]=9,TED[[#This Row],[SITUACAO]]=18),"ATIVO","AFASTADO")</f>
        <v>AFASTADO</v>
      </c>
      <c r="K666" s="12">
        <v>3</v>
      </c>
    </row>
    <row r="667" spans="1:11" x14ac:dyDescent="0.25">
      <c r="A667" s="10">
        <v>13882</v>
      </c>
      <c r="B667" s="9" t="s">
        <v>1076</v>
      </c>
      <c r="C667" s="12" t="str">
        <f>IFERROR(VLOOKUP(TED[[#This Row],[CENTRO]],'CENTRO DE CUSTO'!B:E,4,FALSE)," ")</f>
        <v>CONRADO</v>
      </c>
      <c r="D667" s="12">
        <v>92</v>
      </c>
      <c r="E667" s="16">
        <v>92000</v>
      </c>
      <c r="F667" s="10" t="s">
        <v>1900</v>
      </c>
      <c r="G667" s="10">
        <v>220</v>
      </c>
      <c r="H667" s="11">
        <v>43843</v>
      </c>
      <c r="I667" s="10" t="s">
        <v>957</v>
      </c>
      <c r="J667" s="12" t="str">
        <f>IF(OR(TED[[#This Row],[SITUACAO]]=1,TED[[#This Row],[SITUACAO]]=9,TED[[#This Row],[SITUACAO]]=18),"ATIVO","AFASTADO")</f>
        <v>ATIVO</v>
      </c>
      <c r="K667" s="12">
        <v>1</v>
      </c>
    </row>
    <row r="668" spans="1:11" x14ac:dyDescent="0.25">
      <c r="A668" s="10">
        <v>43157</v>
      </c>
      <c r="B668" s="9" t="s">
        <v>1058</v>
      </c>
      <c r="C668" s="12" t="str">
        <f>IFERROR(VLOOKUP(TED[[#This Row],[CENTRO]],'CENTRO DE CUSTO'!B:E,4,FALSE)," ")</f>
        <v>CONRADO</v>
      </c>
      <c r="D668" s="12">
        <v>92</v>
      </c>
      <c r="E668" s="16">
        <v>92000</v>
      </c>
      <c r="F668" s="10" t="s">
        <v>1900</v>
      </c>
      <c r="G668" s="10">
        <v>220</v>
      </c>
      <c r="H668" s="11">
        <v>46017</v>
      </c>
      <c r="I668" s="10" t="s">
        <v>935</v>
      </c>
      <c r="J668" s="12" t="str">
        <f>IF(OR(TED[[#This Row],[SITUACAO]]=1,TED[[#This Row],[SITUACAO]]=9,TED[[#This Row],[SITUACAO]]=18),"ATIVO","AFASTADO")</f>
        <v>ATIVO</v>
      </c>
      <c r="K668" s="12">
        <v>1</v>
      </c>
    </row>
    <row r="669" spans="1:11" x14ac:dyDescent="0.25">
      <c r="A669" s="10">
        <v>6938</v>
      </c>
      <c r="B669" s="9" t="s">
        <v>1067</v>
      </c>
      <c r="C669" s="12" t="str">
        <f>IFERROR(VLOOKUP(TED[[#This Row],[CENTRO]],'CENTRO DE CUSTO'!B:E,4,FALSE)," ")</f>
        <v>CONRADO</v>
      </c>
      <c r="D669" s="12">
        <v>92</v>
      </c>
      <c r="E669" s="16">
        <v>92000</v>
      </c>
      <c r="F669" s="10" t="s">
        <v>1900</v>
      </c>
      <c r="G669" s="10">
        <v>220</v>
      </c>
      <c r="H669" s="11">
        <v>42373</v>
      </c>
      <c r="I669" s="10" t="s">
        <v>1989</v>
      </c>
      <c r="J669" s="12" t="str">
        <f>IF(OR(TED[[#This Row],[SITUACAO]]=1,TED[[#This Row],[SITUACAO]]=9,TED[[#This Row],[SITUACAO]]=18),"ATIVO","AFASTADO")</f>
        <v>ATIVO</v>
      </c>
      <c r="K669" s="12">
        <v>9</v>
      </c>
    </row>
    <row r="670" spans="1:11" x14ac:dyDescent="0.25">
      <c r="A670" s="10">
        <v>44352</v>
      </c>
      <c r="B670" s="9" t="s">
        <v>2117</v>
      </c>
      <c r="C670" s="12" t="str">
        <f>IFERROR(VLOOKUP(TED[[#This Row],[CENTRO]],'CENTRO DE CUSTO'!B:E,4,FALSE)," ")</f>
        <v>CONRADO</v>
      </c>
      <c r="D670" s="12">
        <v>92</v>
      </c>
      <c r="E670" s="16">
        <v>92000</v>
      </c>
      <c r="F670" s="10" t="s">
        <v>1900</v>
      </c>
      <c r="G670" s="10">
        <v>220</v>
      </c>
      <c r="H670" s="11">
        <v>46087</v>
      </c>
      <c r="I670" s="10" t="s">
        <v>935</v>
      </c>
      <c r="J670" s="12" t="str">
        <f>IF(OR(TED[[#This Row],[SITUACAO]]=1,TED[[#This Row],[SITUACAO]]=9,TED[[#This Row],[SITUACAO]]=18),"ATIVO","AFASTADO")</f>
        <v>ATIVO</v>
      </c>
      <c r="K670" s="12">
        <v>1</v>
      </c>
    </row>
    <row r="671" spans="1:11" x14ac:dyDescent="0.25">
      <c r="A671" s="10">
        <v>11949</v>
      </c>
      <c r="B671" s="9" t="s">
        <v>1083</v>
      </c>
      <c r="C671" s="12" t="str">
        <f>IFERROR(VLOOKUP(TED[[#This Row],[CENTRO]],'CENTRO DE CUSTO'!B:E,4,FALSE)," ")</f>
        <v>CONRADO</v>
      </c>
      <c r="D671" s="12">
        <v>92</v>
      </c>
      <c r="E671" s="16">
        <v>92000</v>
      </c>
      <c r="F671" s="10" t="s">
        <v>1900</v>
      </c>
      <c r="G671" s="10">
        <v>220</v>
      </c>
      <c r="H671" s="11">
        <v>43468</v>
      </c>
      <c r="I671" s="10" t="s">
        <v>934</v>
      </c>
      <c r="J671" s="12" t="str">
        <f>IF(OR(TED[[#This Row],[SITUACAO]]=1,TED[[#This Row],[SITUACAO]]=9,TED[[#This Row],[SITUACAO]]=18),"ATIVO","AFASTADO")</f>
        <v>AFASTADO</v>
      </c>
      <c r="K671" s="12">
        <v>3</v>
      </c>
    </row>
    <row r="672" spans="1:11" x14ac:dyDescent="0.25">
      <c r="A672" s="10">
        <v>41274</v>
      </c>
      <c r="B672" s="9" t="s">
        <v>1077</v>
      </c>
      <c r="C672" s="12" t="str">
        <f>IFERROR(VLOOKUP(TED[[#This Row],[CENTRO]],'CENTRO DE CUSTO'!B:E,4,FALSE)," ")</f>
        <v>CONRADO</v>
      </c>
      <c r="D672" s="12">
        <v>92</v>
      </c>
      <c r="E672" s="16">
        <v>92000</v>
      </c>
      <c r="F672" s="10" t="s">
        <v>1900</v>
      </c>
      <c r="G672" s="10">
        <v>220</v>
      </c>
      <c r="H672" s="11">
        <v>45931</v>
      </c>
      <c r="I672" s="10" t="s">
        <v>935</v>
      </c>
      <c r="J672" s="12" t="str">
        <f>IF(OR(TED[[#This Row],[SITUACAO]]=1,TED[[#This Row],[SITUACAO]]=9,TED[[#This Row],[SITUACAO]]=18),"ATIVO","AFASTADO")</f>
        <v>ATIVO</v>
      </c>
      <c r="K672" s="12">
        <v>1</v>
      </c>
    </row>
    <row r="673" spans="1:11" x14ac:dyDescent="0.25">
      <c r="A673" s="10">
        <v>41669</v>
      </c>
      <c r="B673" s="9" t="s">
        <v>1075</v>
      </c>
      <c r="C673" s="12" t="str">
        <f>IFERROR(VLOOKUP(TED[[#This Row],[CENTRO]],'CENTRO DE CUSTO'!B:E,4,FALSE)," ")</f>
        <v>CONRADO</v>
      </c>
      <c r="D673" s="12">
        <v>92</v>
      </c>
      <c r="E673" s="16">
        <v>92000</v>
      </c>
      <c r="F673" s="10" t="s">
        <v>1900</v>
      </c>
      <c r="G673" s="10">
        <v>220</v>
      </c>
      <c r="H673" s="11">
        <v>45944</v>
      </c>
      <c r="I673" s="10" t="s">
        <v>934</v>
      </c>
      <c r="J673" s="12" t="str">
        <f>IF(OR(TED[[#This Row],[SITUACAO]]=1,TED[[#This Row],[SITUACAO]]=9,TED[[#This Row],[SITUACAO]]=18),"ATIVO","AFASTADO")</f>
        <v>ATIVO</v>
      </c>
      <c r="K673" s="12">
        <v>1</v>
      </c>
    </row>
    <row r="674" spans="1:11" x14ac:dyDescent="0.25">
      <c r="A674" s="10">
        <v>44408</v>
      </c>
      <c r="B674" s="9" t="s">
        <v>2120</v>
      </c>
      <c r="C674" s="12" t="str">
        <f>IFERROR(VLOOKUP(TED[[#This Row],[CENTRO]],'CENTRO DE CUSTO'!B:E,4,FALSE)," ")</f>
        <v>CONRADO</v>
      </c>
      <c r="D674" s="12">
        <v>92</v>
      </c>
      <c r="E674" s="16">
        <v>92000</v>
      </c>
      <c r="F674" s="10" t="s">
        <v>1900</v>
      </c>
      <c r="G674" s="10">
        <v>220</v>
      </c>
      <c r="H674" s="11">
        <v>46090</v>
      </c>
      <c r="I674" s="10" t="s">
        <v>935</v>
      </c>
      <c r="J674" s="12" t="str">
        <f>IF(OR(TED[[#This Row],[SITUACAO]]=1,TED[[#This Row],[SITUACAO]]=9,TED[[#This Row],[SITUACAO]]=18),"ATIVO","AFASTADO")</f>
        <v>ATIVO</v>
      </c>
      <c r="K674" s="12">
        <v>1</v>
      </c>
    </row>
    <row r="675" spans="1:11" x14ac:dyDescent="0.25">
      <c r="A675" s="10">
        <v>13763</v>
      </c>
      <c r="B675" s="9" t="s">
        <v>999</v>
      </c>
      <c r="C675" s="12" t="str">
        <f>IFERROR(VLOOKUP(TED[[#This Row],[CENTRO]],'CENTRO DE CUSTO'!B:E,4,FALSE)," ")</f>
        <v>CONRADO</v>
      </c>
      <c r="D675" s="12">
        <v>92</v>
      </c>
      <c r="E675" s="16">
        <v>92000</v>
      </c>
      <c r="F675" s="10" t="s">
        <v>1900</v>
      </c>
      <c r="G675" s="10">
        <v>220</v>
      </c>
      <c r="H675" s="11">
        <v>43808</v>
      </c>
      <c r="I675" s="10" t="s">
        <v>959</v>
      </c>
      <c r="J675" s="12" t="str">
        <f>IF(OR(TED[[#This Row],[SITUACAO]]=1,TED[[#This Row],[SITUACAO]]=9,TED[[#This Row],[SITUACAO]]=18),"ATIVO","AFASTADO")</f>
        <v>ATIVO</v>
      </c>
      <c r="K675" s="12">
        <v>1</v>
      </c>
    </row>
    <row r="676" spans="1:11" x14ac:dyDescent="0.25">
      <c r="A676" s="10">
        <v>3096</v>
      </c>
      <c r="B676" s="9" t="s">
        <v>997</v>
      </c>
      <c r="C676" s="12" t="str">
        <f>IFERROR(VLOOKUP(TED[[#This Row],[CENTRO]],'CENTRO DE CUSTO'!B:E,4,FALSE)," ")</f>
        <v>CONRADO</v>
      </c>
      <c r="D676" s="12">
        <v>92</v>
      </c>
      <c r="E676" s="16">
        <v>92000</v>
      </c>
      <c r="F676" s="10" t="s">
        <v>1900</v>
      </c>
      <c r="G676" s="10">
        <v>220</v>
      </c>
      <c r="H676" s="11">
        <v>41589</v>
      </c>
      <c r="I676" s="10" t="s">
        <v>959</v>
      </c>
      <c r="J676" s="12" t="str">
        <f>IF(OR(TED[[#This Row],[SITUACAO]]=1,TED[[#This Row],[SITUACAO]]=9,TED[[#This Row],[SITUACAO]]=18),"ATIVO","AFASTADO")</f>
        <v>ATIVO</v>
      </c>
      <c r="K676" s="12">
        <v>1</v>
      </c>
    </row>
    <row r="677" spans="1:11" x14ac:dyDescent="0.25">
      <c r="A677" s="10">
        <v>11945</v>
      </c>
      <c r="B677" s="9" t="s">
        <v>996</v>
      </c>
      <c r="C677" s="12" t="str">
        <f>IFERROR(VLOOKUP(TED[[#This Row],[CENTRO]],'CENTRO DE CUSTO'!B:E,4,FALSE)," ")</f>
        <v>CONRADO</v>
      </c>
      <c r="D677" s="12">
        <v>92</v>
      </c>
      <c r="E677" s="16">
        <v>92000</v>
      </c>
      <c r="F677" s="10" t="s">
        <v>1900</v>
      </c>
      <c r="G677" s="10">
        <v>220</v>
      </c>
      <c r="H677" s="11">
        <v>43468</v>
      </c>
      <c r="I677" s="10" t="s">
        <v>958</v>
      </c>
      <c r="J677" s="12" t="str">
        <f>IF(OR(TED[[#This Row],[SITUACAO]]=1,TED[[#This Row],[SITUACAO]]=9,TED[[#This Row],[SITUACAO]]=18),"ATIVO","AFASTADO")</f>
        <v>ATIVO</v>
      </c>
      <c r="K677" s="12">
        <v>1</v>
      </c>
    </row>
    <row r="678" spans="1:11" x14ac:dyDescent="0.25">
      <c r="A678" s="10">
        <v>13486</v>
      </c>
      <c r="B678" s="9" t="s">
        <v>1109</v>
      </c>
      <c r="C678" s="12" t="str">
        <f>IFERROR(VLOOKUP(TED[[#This Row],[CENTRO]],'CENTRO DE CUSTO'!B:E,4,FALSE)," ")</f>
        <v>CONRADO</v>
      </c>
      <c r="D678" s="12">
        <v>92</v>
      </c>
      <c r="E678" s="16">
        <v>92000</v>
      </c>
      <c r="F678" s="10" t="s">
        <v>1900</v>
      </c>
      <c r="G678" s="10">
        <v>220</v>
      </c>
      <c r="H678" s="11">
        <v>43739</v>
      </c>
      <c r="I678" s="10" t="s">
        <v>946</v>
      </c>
      <c r="J678" s="12" t="str">
        <f>IF(OR(TED[[#This Row],[SITUACAO]]=1,TED[[#This Row],[SITUACAO]]=9,TED[[#This Row],[SITUACAO]]=18),"ATIVO","AFASTADO")</f>
        <v>ATIVO</v>
      </c>
      <c r="K678" s="12">
        <v>1</v>
      </c>
    </row>
    <row r="679" spans="1:11" x14ac:dyDescent="0.25">
      <c r="A679" s="10">
        <v>29093</v>
      </c>
      <c r="B679" s="9" t="s">
        <v>1088</v>
      </c>
      <c r="C679" s="12" t="str">
        <f>IFERROR(VLOOKUP(TED[[#This Row],[CENTRO]],'CENTRO DE CUSTO'!B:E,4,FALSE)," ")</f>
        <v>CONRADO</v>
      </c>
      <c r="D679" s="12">
        <v>92</v>
      </c>
      <c r="E679" s="16">
        <v>92000</v>
      </c>
      <c r="F679" s="10" t="s">
        <v>1900</v>
      </c>
      <c r="G679" s="10">
        <v>220</v>
      </c>
      <c r="H679" s="11">
        <v>45231</v>
      </c>
      <c r="I679" s="10" t="s">
        <v>959</v>
      </c>
      <c r="J679" s="12" t="str">
        <f>IF(OR(TED[[#This Row],[SITUACAO]]=1,TED[[#This Row],[SITUACAO]]=9,TED[[#This Row],[SITUACAO]]=18),"ATIVO","AFASTADO")</f>
        <v>ATIVO</v>
      </c>
      <c r="K679" s="12">
        <v>1</v>
      </c>
    </row>
    <row r="680" spans="1:11" x14ac:dyDescent="0.25">
      <c r="A680" s="10">
        <v>14925</v>
      </c>
      <c r="B680" s="9" t="s">
        <v>1120</v>
      </c>
      <c r="C680" s="12" t="str">
        <f>IFERROR(VLOOKUP(TED[[#This Row],[CENTRO]],'CENTRO DE CUSTO'!B:E,4,FALSE)," ")</f>
        <v>CONRADO</v>
      </c>
      <c r="D680" s="12">
        <v>92</v>
      </c>
      <c r="E680" s="16">
        <v>92000</v>
      </c>
      <c r="F680" s="10" t="s">
        <v>1900</v>
      </c>
      <c r="G680" s="10">
        <v>220</v>
      </c>
      <c r="H680" s="11">
        <v>44169</v>
      </c>
      <c r="I680" s="10" t="s">
        <v>959</v>
      </c>
      <c r="J680" s="12" t="str">
        <f>IF(OR(TED[[#This Row],[SITUACAO]]=1,TED[[#This Row],[SITUACAO]]=9,TED[[#This Row],[SITUACAO]]=18),"ATIVO","AFASTADO")</f>
        <v>ATIVO</v>
      </c>
      <c r="K680" s="12">
        <v>1</v>
      </c>
    </row>
    <row r="681" spans="1:11" x14ac:dyDescent="0.25">
      <c r="A681" s="10">
        <v>2836</v>
      </c>
      <c r="B681" s="9" t="s">
        <v>1066</v>
      </c>
      <c r="C681" s="12" t="str">
        <f>IFERROR(VLOOKUP(TED[[#This Row],[CENTRO]],'CENTRO DE CUSTO'!B:E,4,FALSE)," ")</f>
        <v>CONRADO</v>
      </c>
      <c r="D681" s="12">
        <v>92</v>
      </c>
      <c r="E681" s="16">
        <v>92000</v>
      </c>
      <c r="F681" s="10" t="s">
        <v>1900</v>
      </c>
      <c r="G681" s="10">
        <v>220</v>
      </c>
      <c r="H681" s="11">
        <v>41592</v>
      </c>
      <c r="I681" s="10" t="s">
        <v>958</v>
      </c>
      <c r="J681" s="12" t="str">
        <f>IF(OR(TED[[#This Row],[SITUACAO]]=1,TED[[#This Row],[SITUACAO]]=9,TED[[#This Row],[SITUACAO]]=18),"ATIVO","AFASTADO")</f>
        <v>ATIVO</v>
      </c>
      <c r="K681" s="12">
        <v>1</v>
      </c>
    </row>
    <row r="682" spans="1:11" x14ac:dyDescent="0.25">
      <c r="A682" s="10">
        <v>3092</v>
      </c>
      <c r="B682" s="9" t="s">
        <v>991</v>
      </c>
      <c r="C682" s="12" t="str">
        <f>IFERROR(VLOOKUP(TED[[#This Row],[CENTRO]],'CENTRO DE CUSTO'!B:E,4,FALSE)," ")</f>
        <v>CONRADO</v>
      </c>
      <c r="D682" s="12">
        <v>92</v>
      </c>
      <c r="E682" s="16">
        <v>92000</v>
      </c>
      <c r="F682" s="10" t="s">
        <v>1900</v>
      </c>
      <c r="G682" s="10">
        <v>220</v>
      </c>
      <c r="H682" s="11">
        <v>41592</v>
      </c>
      <c r="I682" s="10" t="s">
        <v>959</v>
      </c>
      <c r="J682" s="12" t="str">
        <f>IF(OR(TED[[#This Row],[SITUACAO]]=1,TED[[#This Row],[SITUACAO]]=9,TED[[#This Row],[SITUACAO]]=18),"ATIVO","AFASTADO")</f>
        <v>ATIVO</v>
      </c>
      <c r="K682" s="12">
        <v>1</v>
      </c>
    </row>
    <row r="683" spans="1:11" x14ac:dyDescent="0.25">
      <c r="A683" s="10">
        <v>33947</v>
      </c>
      <c r="B683" s="9" t="s">
        <v>990</v>
      </c>
      <c r="C683" s="12" t="str">
        <f>IFERROR(VLOOKUP(TED[[#This Row],[CENTRO]],'CENTRO DE CUSTO'!B:E,4,FALSE)," ")</f>
        <v>CONRADO</v>
      </c>
      <c r="D683" s="12">
        <v>92</v>
      </c>
      <c r="E683" s="16">
        <v>92000</v>
      </c>
      <c r="F683" s="10" t="s">
        <v>1900</v>
      </c>
      <c r="G683" s="10">
        <v>220</v>
      </c>
      <c r="H683" s="11">
        <v>45566</v>
      </c>
      <c r="I683" s="10" t="s">
        <v>959</v>
      </c>
      <c r="J683" s="12" t="str">
        <f>IF(OR(TED[[#This Row],[SITUACAO]]=1,TED[[#This Row],[SITUACAO]]=9,TED[[#This Row],[SITUACAO]]=18),"ATIVO","AFASTADO")</f>
        <v>ATIVO</v>
      </c>
      <c r="K683" s="12">
        <v>1</v>
      </c>
    </row>
    <row r="684" spans="1:11" x14ac:dyDescent="0.25">
      <c r="A684" s="10">
        <v>33923</v>
      </c>
      <c r="B684" s="9" t="s">
        <v>989</v>
      </c>
      <c r="C684" s="12" t="str">
        <f>IFERROR(VLOOKUP(TED[[#This Row],[CENTRO]],'CENTRO DE CUSTO'!B:E,4,FALSE)," ")</f>
        <v>CONRADO</v>
      </c>
      <c r="D684" s="12">
        <v>92</v>
      </c>
      <c r="E684" s="16">
        <v>92000</v>
      </c>
      <c r="F684" s="10" t="s">
        <v>1900</v>
      </c>
      <c r="G684" s="10">
        <v>220</v>
      </c>
      <c r="H684" s="11">
        <v>45566</v>
      </c>
      <c r="I684" s="10" t="s">
        <v>959</v>
      </c>
      <c r="J684" s="12" t="str">
        <f>IF(OR(TED[[#This Row],[SITUACAO]]=1,TED[[#This Row],[SITUACAO]]=9,TED[[#This Row],[SITUACAO]]=18),"ATIVO","AFASTADO")</f>
        <v>ATIVO</v>
      </c>
      <c r="K684" s="12">
        <v>1</v>
      </c>
    </row>
    <row r="685" spans="1:11" x14ac:dyDescent="0.25">
      <c r="A685" s="10">
        <v>34516</v>
      </c>
      <c r="B685" s="9" t="s">
        <v>1071</v>
      </c>
      <c r="C685" s="12" t="str">
        <f>IFERROR(VLOOKUP(TED[[#This Row],[CENTRO]],'CENTRO DE CUSTO'!B:E,4,FALSE)," ")</f>
        <v>CONRADO</v>
      </c>
      <c r="D685" s="12">
        <v>92</v>
      </c>
      <c r="E685" s="16">
        <v>92000</v>
      </c>
      <c r="F685" s="10" t="s">
        <v>1900</v>
      </c>
      <c r="G685" s="10">
        <v>220</v>
      </c>
      <c r="H685" s="11">
        <v>45601</v>
      </c>
      <c r="I685" s="10" t="s">
        <v>958</v>
      </c>
      <c r="J685" s="12" t="str">
        <f>IF(OR(TED[[#This Row],[SITUACAO]]=1,TED[[#This Row],[SITUACAO]]=9,TED[[#This Row],[SITUACAO]]=18),"ATIVO","AFASTADO")</f>
        <v>ATIVO</v>
      </c>
      <c r="K685" s="12">
        <v>9</v>
      </c>
    </row>
    <row r="686" spans="1:11" x14ac:dyDescent="0.25">
      <c r="A686" s="10">
        <v>6456</v>
      </c>
      <c r="B686" s="9" t="s">
        <v>1102</v>
      </c>
      <c r="C686" s="12" t="str">
        <f>IFERROR(VLOOKUP(TED[[#This Row],[CENTRO]],'CENTRO DE CUSTO'!B:E,4,FALSE)," ")</f>
        <v>CONRADO</v>
      </c>
      <c r="D686" s="12">
        <v>92</v>
      </c>
      <c r="E686" s="16">
        <v>92000</v>
      </c>
      <c r="F686" s="10" t="s">
        <v>1900</v>
      </c>
      <c r="G686" s="10">
        <v>220</v>
      </c>
      <c r="H686" s="11">
        <v>42325</v>
      </c>
      <c r="I686" s="10" t="s">
        <v>1988</v>
      </c>
      <c r="J686" s="12" t="str">
        <f>IF(OR(TED[[#This Row],[SITUACAO]]=1,TED[[#This Row],[SITUACAO]]=9,TED[[#This Row],[SITUACAO]]=18),"ATIVO","AFASTADO")</f>
        <v>ATIVO</v>
      </c>
      <c r="K686" s="12">
        <v>1</v>
      </c>
    </row>
    <row r="687" spans="1:11" x14ac:dyDescent="0.25">
      <c r="A687" s="10">
        <v>34689</v>
      </c>
      <c r="B687" s="9" t="s">
        <v>1060</v>
      </c>
      <c r="C687" s="12" t="str">
        <f>IFERROR(VLOOKUP(TED[[#This Row],[CENTRO]],'CENTRO DE CUSTO'!B:E,4,FALSE)," ")</f>
        <v>CONRADO</v>
      </c>
      <c r="D687" s="12">
        <v>92</v>
      </c>
      <c r="E687" s="16">
        <v>92000</v>
      </c>
      <c r="F687" s="10" t="s">
        <v>1900</v>
      </c>
      <c r="G687" s="10">
        <v>220</v>
      </c>
      <c r="H687" s="11">
        <v>45628</v>
      </c>
      <c r="I687" s="10" t="s">
        <v>935</v>
      </c>
      <c r="J687" s="12" t="str">
        <f>IF(OR(TED[[#This Row],[SITUACAO]]=1,TED[[#This Row],[SITUACAO]]=9,TED[[#This Row],[SITUACAO]]=18),"ATIVO","AFASTADO")</f>
        <v>ATIVO</v>
      </c>
      <c r="K687" s="12">
        <v>9</v>
      </c>
    </row>
    <row r="688" spans="1:11" x14ac:dyDescent="0.25">
      <c r="A688" s="10">
        <v>44396</v>
      </c>
      <c r="B688" s="9" t="s">
        <v>2116</v>
      </c>
      <c r="C688" s="12" t="str">
        <f>IFERROR(VLOOKUP(TED[[#This Row],[CENTRO]],'CENTRO DE CUSTO'!B:E,4,FALSE)," ")</f>
        <v>CONRADO</v>
      </c>
      <c r="D688" s="12">
        <v>92</v>
      </c>
      <c r="E688" s="16">
        <v>92000</v>
      </c>
      <c r="F688" s="10" t="s">
        <v>1900</v>
      </c>
      <c r="G688" s="10">
        <v>220</v>
      </c>
      <c r="H688" s="11">
        <v>46090</v>
      </c>
      <c r="I688" s="10" t="s">
        <v>958</v>
      </c>
      <c r="J688" s="12" t="str">
        <f>IF(OR(TED[[#This Row],[SITUACAO]]=1,TED[[#This Row],[SITUACAO]]=9,TED[[#This Row],[SITUACAO]]=18),"ATIVO","AFASTADO")</f>
        <v>ATIVO</v>
      </c>
      <c r="K688" s="12">
        <v>1</v>
      </c>
    </row>
    <row r="689" spans="1:11" x14ac:dyDescent="0.25">
      <c r="A689" s="10">
        <v>33924</v>
      </c>
      <c r="B689" s="9" t="s">
        <v>1112</v>
      </c>
      <c r="C689" s="12" t="str">
        <f>IFERROR(VLOOKUP(TED[[#This Row],[CENTRO]],'CENTRO DE CUSTO'!B:E,4,FALSE)," ")</f>
        <v>CONRADO</v>
      </c>
      <c r="D689" s="12">
        <v>92</v>
      </c>
      <c r="E689" s="16">
        <v>92000</v>
      </c>
      <c r="F689" s="10" t="s">
        <v>1900</v>
      </c>
      <c r="G689" s="10">
        <v>220</v>
      </c>
      <c r="H689" s="11">
        <v>45566</v>
      </c>
      <c r="I689" s="10" t="s">
        <v>959</v>
      </c>
      <c r="J689" s="12" t="str">
        <f>IF(OR(TED[[#This Row],[SITUACAO]]=1,TED[[#This Row],[SITUACAO]]=9,TED[[#This Row],[SITUACAO]]=18),"ATIVO","AFASTADO")</f>
        <v>ATIVO</v>
      </c>
      <c r="K689" s="12">
        <v>1</v>
      </c>
    </row>
    <row r="690" spans="1:11" x14ac:dyDescent="0.25">
      <c r="A690" s="10">
        <v>23165</v>
      </c>
      <c r="B690" s="9" t="s">
        <v>1129</v>
      </c>
      <c r="C690" s="12" t="str">
        <f>IFERROR(VLOOKUP(TED[[#This Row],[CENTRO]],'CENTRO DE CUSTO'!B:E,4,FALSE)," ")</f>
        <v>CONRADO</v>
      </c>
      <c r="D690" s="12">
        <v>92</v>
      </c>
      <c r="E690" s="16">
        <v>92000</v>
      </c>
      <c r="F690" s="10" t="s">
        <v>1900</v>
      </c>
      <c r="G690" s="10">
        <v>220</v>
      </c>
      <c r="H690" s="11">
        <v>44835</v>
      </c>
      <c r="I690" s="10" t="s">
        <v>939</v>
      </c>
      <c r="J690" s="12" t="str">
        <f>IF(OR(TED[[#This Row],[SITUACAO]]=1,TED[[#This Row],[SITUACAO]]=9,TED[[#This Row],[SITUACAO]]=18),"ATIVO","AFASTADO")</f>
        <v>ATIVO</v>
      </c>
      <c r="K690" s="12">
        <v>1</v>
      </c>
    </row>
    <row r="691" spans="1:11" x14ac:dyDescent="0.25">
      <c r="A691" s="10">
        <v>8555</v>
      </c>
      <c r="B691" s="9" t="s">
        <v>986</v>
      </c>
      <c r="C691" s="12" t="str">
        <f>IFERROR(VLOOKUP(TED[[#This Row],[CENTRO]],'CENTRO DE CUSTO'!B:E,4,FALSE)," ")</f>
        <v>CONRADO</v>
      </c>
      <c r="D691" s="12">
        <v>92</v>
      </c>
      <c r="E691" s="16">
        <v>92000</v>
      </c>
      <c r="F691" s="10" t="s">
        <v>1900</v>
      </c>
      <c r="G691" s="10">
        <v>220</v>
      </c>
      <c r="H691" s="11">
        <v>42753</v>
      </c>
      <c r="I691" s="10" t="s">
        <v>959</v>
      </c>
      <c r="J691" s="12" t="str">
        <f>IF(OR(TED[[#This Row],[SITUACAO]]=1,TED[[#This Row],[SITUACAO]]=9,TED[[#This Row],[SITUACAO]]=18),"ATIVO","AFASTADO")</f>
        <v>ATIVO</v>
      </c>
      <c r="K691" s="12">
        <v>1</v>
      </c>
    </row>
    <row r="692" spans="1:11" x14ac:dyDescent="0.25">
      <c r="A692" s="10">
        <v>2822</v>
      </c>
      <c r="B692" s="9" t="s">
        <v>1121</v>
      </c>
      <c r="C692" s="12" t="str">
        <f>IFERROR(VLOOKUP(TED[[#This Row],[CENTRO]],'CENTRO DE CUSTO'!B:E,4,FALSE)," ")</f>
        <v>CONRADO</v>
      </c>
      <c r="D692" s="12">
        <v>92</v>
      </c>
      <c r="E692" s="16">
        <v>92000</v>
      </c>
      <c r="F692" s="10" t="s">
        <v>1900</v>
      </c>
      <c r="G692" s="10">
        <v>220</v>
      </c>
      <c r="H692" s="11">
        <v>41589</v>
      </c>
      <c r="I692" s="10" t="s">
        <v>959</v>
      </c>
      <c r="J692" s="12" t="str">
        <f>IF(OR(TED[[#This Row],[SITUACAO]]=1,TED[[#This Row],[SITUACAO]]=9,TED[[#This Row],[SITUACAO]]=18),"ATIVO","AFASTADO")</f>
        <v>ATIVO</v>
      </c>
      <c r="K692" s="12">
        <v>9</v>
      </c>
    </row>
    <row r="693" spans="1:11" x14ac:dyDescent="0.25">
      <c r="A693" s="10">
        <v>41981</v>
      </c>
      <c r="B693" s="9" t="s">
        <v>1087</v>
      </c>
      <c r="C693" s="12" t="str">
        <f>IFERROR(VLOOKUP(TED[[#This Row],[CENTRO]],'CENTRO DE CUSTO'!B:E,4,FALSE)," ")</f>
        <v>CONRADO</v>
      </c>
      <c r="D693" s="12">
        <v>92</v>
      </c>
      <c r="E693" s="16">
        <v>92000</v>
      </c>
      <c r="F693" s="10" t="s">
        <v>1900</v>
      </c>
      <c r="G693" s="10">
        <v>220</v>
      </c>
      <c r="H693" s="11">
        <v>45965</v>
      </c>
      <c r="I693" s="10" t="s">
        <v>935</v>
      </c>
      <c r="J693" s="12" t="str">
        <f>IF(OR(TED[[#This Row],[SITUACAO]]=1,TED[[#This Row],[SITUACAO]]=9,TED[[#This Row],[SITUACAO]]=18),"ATIVO","AFASTADO")</f>
        <v>ATIVO</v>
      </c>
      <c r="K693" s="12">
        <v>9</v>
      </c>
    </row>
    <row r="694" spans="1:11" x14ac:dyDescent="0.25">
      <c r="A694" s="10">
        <v>43178</v>
      </c>
      <c r="B694" s="9" t="s">
        <v>1117</v>
      </c>
      <c r="C694" s="12" t="str">
        <f>IFERROR(VLOOKUP(TED[[#This Row],[CENTRO]],'CENTRO DE CUSTO'!B:E,4,FALSE)," ")</f>
        <v>CONRADO</v>
      </c>
      <c r="D694" s="12">
        <v>92</v>
      </c>
      <c r="E694" s="16">
        <v>92000</v>
      </c>
      <c r="F694" s="10" t="s">
        <v>1900</v>
      </c>
      <c r="G694" s="10">
        <v>220</v>
      </c>
      <c r="H694" s="11">
        <v>46027</v>
      </c>
      <c r="I694" s="10" t="s">
        <v>935</v>
      </c>
      <c r="J694" s="12" t="str">
        <f>IF(OR(TED[[#This Row],[SITUACAO]]=1,TED[[#This Row],[SITUACAO]]=9,TED[[#This Row],[SITUACAO]]=18),"ATIVO","AFASTADO")</f>
        <v>ATIVO</v>
      </c>
      <c r="K694" s="12">
        <v>1</v>
      </c>
    </row>
    <row r="695" spans="1:11" x14ac:dyDescent="0.25">
      <c r="A695" s="10">
        <v>41528</v>
      </c>
      <c r="B695" s="9" t="s">
        <v>1061</v>
      </c>
      <c r="C695" s="12" t="str">
        <f>IFERROR(VLOOKUP(TED[[#This Row],[CENTRO]],'CENTRO DE CUSTO'!B:E,4,FALSE)," ")</f>
        <v>CONRADO</v>
      </c>
      <c r="D695" s="12">
        <v>92</v>
      </c>
      <c r="E695" s="16">
        <v>92000</v>
      </c>
      <c r="F695" s="10" t="s">
        <v>1900</v>
      </c>
      <c r="G695" s="10">
        <v>220</v>
      </c>
      <c r="H695" s="11">
        <v>45932</v>
      </c>
      <c r="I695" s="10" t="s">
        <v>935</v>
      </c>
      <c r="J695" s="12" t="str">
        <f>IF(OR(TED[[#This Row],[SITUACAO]]=1,TED[[#This Row],[SITUACAO]]=9,TED[[#This Row],[SITUACAO]]=18),"ATIVO","AFASTADO")</f>
        <v>ATIVO</v>
      </c>
      <c r="K695" s="12">
        <v>9</v>
      </c>
    </row>
    <row r="696" spans="1:11" x14ac:dyDescent="0.25">
      <c r="A696" s="10">
        <v>43182</v>
      </c>
      <c r="B696" s="9" t="s">
        <v>1068</v>
      </c>
      <c r="C696" s="12" t="str">
        <f>IFERROR(VLOOKUP(TED[[#This Row],[CENTRO]],'CENTRO DE CUSTO'!B:E,4,FALSE)," ")</f>
        <v>CONRADO</v>
      </c>
      <c r="D696" s="12">
        <v>92</v>
      </c>
      <c r="E696" s="16">
        <v>92000</v>
      </c>
      <c r="F696" s="10" t="s">
        <v>1900</v>
      </c>
      <c r="G696" s="10">
        <v>220</v>
      </c>
      <c r="H696" s="11">
        <v>46027</v>
      </c>
      <c r="I696" s="10" t="s">
        <v>958</v>
      </c>
      <c r="J696" s="12" t="str">
        <f>IF(OR(TED[[#This Row],[SITUACAO]]=1,TED[[#This Row],[SITUACAO]]=9,TED[[#This Row],[SITUACAO]]=18),"ATIVO","AFASTADO")</f>
        <v>ATIVO</v>
      </c>
      <c r="K696" s="12">
        <v>1</v>
      </c>
    </row>
    <row r="697" spans="1:11" x14ac:dyDescent="0.25">
      <c r="A697" s="10">
        <v>12043</v>
      </c>
      <c r="B697" s="9" t="s">
        <v>1118</v>
      </c>
      <c r="C697" s="12" t="str">
        <f>IFERROR(VLOOKUP(TED[[#This Row],[CENTRO]],'CENTRO DE CUSTO'!B:E,4,FALSE)," ")</f>
        <v>CONRADO</v>
      </c>
      <c r="D697" s="12">
        <v>92</v>
      </c>
      <c r="E697" s="16">
        <v>92000</v>
      </c>
      <c r="F697" s="10" t="s">
        <v>1900</v>
      </c>
      <c r="G697" s="10">
        <v>220</v>
      </c>
      <c r="H697" s="11">
        <v>43500</v>
      </c>
      <c r="I697" s="10" t="s">
        <v>935</v>
      </c>
      <c r="J697" s="12" t="str">
        <f>IF(OR(TED[[#This Row],[SITUACAO]]=1,TED[[#This Row],[SITUACAO]]=9,TED[[#This Row],[SITUACAO]]=18),"ATIVO","AFASTADO")</f>
        <v>ATIVO</v>
      </c>
      <c r="K697" s="12">
        <v>1</v>
      </c>
    </row>
    <row r="698" spans="1:11" x14ac:dyDescent="0.25">
      <c r="A698" s="10">
        <v>5958</v>
      </c>
      <c r="B698" s="9" t="s">
        <v>1090</v>
      </c>
      <c r="C698" s="12" t="str">
        <f>IFERROR(VLOOKUP(TED[[#This Row],[CENTRO]],'CENTRO DE CUSTO'!B:E,4,FALSE)," ")</f>
        <v>CONRADO</v>
      </c>
      <c r="D698" s="12">
        <v>92</v>
      </c>
      <c r="E698" s="16">
        <v>92000</v>
      </c>
      <c r="F698" s="10" t="s">
        <v>1900</v>
      </c>
      <c r="G698" s="10">
        <v>220</v>
      </c>
      <c r="H698" s="11">
        <v>42233</v>
      </c>
      <c r="I698" s="10" t="s">
        <v>959</v>
      </c>
      <c r="J698" s="12" t="str">
        <f>IF(OR(TED[[#This Row],[SITUACAO]]=1,TED[[#This Row],[SITUACAO]]=9,TED[[#This Row],[SITUACAO]]=18),"ATIVO","AFASTADO")</f>
        <v>ATIVO</v>
      </c>
      <c r="K698" s="12">
        <v>9</v>
      </c>
    </row>
    <row r="699" spans="1:11" x14ac:dyDescent="0.25">
      <c r="A699" s="10">
        <v>9833</v>
      </c>
      <c r="B699" s="9" t="s">
        <v>979</v>
      </c>
      <c r="C699" s="12" t="str">
        <f>IFERROR(VLOOKUP(TED[[#This Row],[CENTRO]],'CENTRO DE CUSTO'!B:E,4,FALSE)," ")</f>
        <v>CONRADO</v>
      </c>
      <c r="D699" s="12">
        <v>92</v>
      </c>
      <c r="E699" s="16">
        <v>92000</v>
      </c>
      <c r="F699" s="10" t="s">
        <v>1900</v>
      </c>
      <c r="G699" s="10">
        <v>220</v>
      </c>
      <c r="H699" s="11">
        <v>43048</v>
      </c>
      <c r="I699" s="10" t="s">
        <v>959</v>
      </c>
      <c r="J699" s="12" t="str">
        <f>IF(OR(TED[[#This Row],[SITUACAO]]=1,TED[[#This Row],[SITUACAO]]=9,TED[[#This Row],[SITUACAO]]=18),"ATIVO","AFASTADO")</f>
        <v>ATIVO</v>
      </c>
      <c r="K699" s="12">
        <v>9</v>
      </c>
    </row>
    <row r="700" spans="1:11" x14ac:dyDescent="0.25">
      <c r="A700" s="10">
        <v>29530</v>
      </c>
      <c r="B700" s="9" t="s">
        <v>1100</v>
      </c>
      <c r="C700" s="12" t="str">
        <f>IFERROR(VLOOKUP(TED[[#This Row],[CENTRO]],'CENTRO DE CUSTO'!B:E,4,FALSE)," ")</f>
        <v>CONRADO</v>
      </c>
      <c r="D700" s="12">
        <v>92</v>
      </c>
      <c r="E700" s="16">
        <v>92000</v>
      </c>
      <c r="F700" s="10" t="s">
        <v>1900</v>
      </c>
      <c r="G700" s="10">
        <v>220</v>
      </c>
      <c r="H700" s="11">
        <v>45273</v>
      </c>
      <c r="I700" s="10" t="s">
        <v>959</v>
      </c>
      <c r="J700" s="12" t="str">
        <f>IF(OR(TED[[#This Row],[SITUACAO]]=1,TED[[#This Row],[SITUACAO]]=9,TED[[#This Row],[SITUACAO]]=18),"ATIVO","AFASTADO")</f>
        <v>ATIVO</v>
      </c>
      <c r="K700" s="12">
        <v>9</v>
      </c>
    </row>
    <row r="701" spans="1:11" x14ac:dyDescent="0.25">
      <c r="A701" s="10">
        <v>44453</v>
      </c>
      <c r="B701" s="9" t="s">
        <v>2119</v>
      </c>
      <c r="C701" s="12" t="str">
        <f>IFERROR(VLOOKUP(TED[[#This Row],[CENTRO]],'CENTRO DE CUSTO'!B:E,4,FALSE)," ")</f>
        <v>CONRADO</v>
      </c>
      <c r="D701" s="12">
        <v>92</v>
      </c>
      <c r="E701" s="16">
        <v>92000</v>
      </c>
      <c r="F701" s="10" t="s">
        <v>1900</v>
      </c>
      <c r="G701" s="10">
        <v>220</v>
      </c>
      <c r="H701" s="11">
        <v>46091</v>
      </c>
      <c r="I701" s="10" t="s">
        <v>939</v>
      </c>
      <c r="J701" s="12" t="str">
        <f>IF(OR(TED[[#This Row],[SITUACAO]]=1,TED[[#This Row],[SITUACAO]]=9,TED[[#This Row],[SITUACAO]]=18),"ATIVO","AFASTADO")</f>
        <v>ATIVO</v>
      </c>
      <c r="K701" s="12">
        <v>1</v>
      </c>
    </row>
    <row r="702" spans="1:11" x14ac:dyDescent="0.25">
      <c r="A702" s="10">
        <v>12042</v>
      </c>
      <c r="B702" s="9" t="s">
        <v>1092</v>
      </c>
      <c r="C702" s="12" t="str">
        <f>IFERROR(VLOOKUP(TED[[#This Row],[CENTRO]],'CENTRO DE CUSTO'!B:E,4,FALSE)," ")</f>
        <v>CONRADO</v>
      </c>
      <c r="D702" s="12">
        <v>92</v>
      </c>
      <c r="E702" s="16">
        <v>92000</v>
      </c>
      <c r="F702" s="10" t="s">
        <v>1900</v>
      </c>
      <c r="G702" s="10">
        <v>220</v>
      </c>
      <c r="H702" s="11">
        <v>43500</v>
      </c>
      <c r="I702" s="10" t="s">
        <v>1988</v>
      </c>
      <c r="J702" s="12" t="str">
        <f>IF(OR(TED[[#This Row],[SITUACAO]]=1,TED[[#This Row],[SITUACAO]]=9,TED[[#This Row],[SITUACAO]]=18),"ATIVO","AFASTADO")</f>
        <v>ATIVO</v>
      </c>
      <c r="K702" s="12">
        <v>1</v>
      </c>
    </row>
    <row r="703" spans="1:11" x14ac:dyDescent="0.25">
      <c r="A703" s="10">
        <v>44252</v>
      </c>
      <c r="B703" s="9" t="s">
        <v>2072</v>
      </c>
      <c r="C703" s="12" t="str">
        <f>IFERROR(VLOOKUP(TED[[#This Row],[CENTRO]],'CENTRO DE CUSTO'!B:E,4,FALSE)," ")</f>
        <v>CONRADO</v>
      </c>
      <c r="D703" s="12">
        <v>92</v>
      </c>
      <c r="E703" s="16">
        <v>92000</v>
      </c>
      <c r="F703" s="10" t="s">
        <v>1900</v>
      </c>
      <c r="G703" s="10">
        <v>220</v>
      </c>
      <c r="H703" s="11">
        <v>46090</v>
      </c>
      <c r="I703" s="10" t="s">
        <v>959</v>
      </c>
      <c r="J703" s="12" t="str">
        <f>IF(OR(TED[[#This Row],[SITUACAO]]=1,TED[[#This Row],[SITUACAO]]=9,TED[[#This Row],[SITUACAO]]=18),"ATIVO","AFASTADO")</f>
        <v>ATIVO</v>
      </c>
      <c r="K703" s="12">
        <v>1</v>
      </c>
    </row>
    <row r="704" spans="1:11" x14ac:dyDescent="0.25">
      <c r="A704" s="10">
        <v>33937</v>
      </c>
      <c r="B704" s="9" t="s">
        <v>1086</v>
      </c>
      <c r="C704" s="12" t="str">
        <f>IFERROR(VLOOKUP(TED[[#This Row],[CENTRO]],'CENTRO DE CUSTO'!B:E,4,FALSE)," ")</f>
        <v>CONRADO</v>
      </c>
      <c r="D704" s="12">
        <v>92</v>
      </c>
      <c r="E704" s="16">
        <v>92000</v>
      </c>
      <c r="F704" s="10" t="s">
        <v>1900</v>
      </c>
      <c r="G704" s="10">
        <v>220</v>
      </c>
      <c r="H704" s="11">
        <v>45566</v>
      </c>
      <c r="I704" s="10" t="s">
        <v>1988</v>
      </c>
      <c r="J704" s="12" t="str">
        <f>IF(OR(TED[[#This Row],[SITUACAO]]=1,TED[[#This Row],[SITUACAO]]=9,TED[[#This Row],[SITUACAO]]=18),"ATIVO","AFASTADO")</f>
        <v>ATIVO</v>
      </c>
      <c r="K704" s="12">
        <v>1</v>
      </c>
    </row>
    <row r="705" spans="1:11" x14ac:dyDescent="0.25">
      <c r="A705" s="10">
        <v>33935</v>
      </c>
      <c r="B705" s="9" t="s">
        <v>972</v>
      </c>
      <c r="C705" s="12" t="str">
        <f>IFERROR(VLOOKUP(TED[[#This Row],[CENTRO]],'CENTRO DE CUSTO'!B:E,4,FALSE)," ")</f>
        <v>CONRADO</v>
      </c>
      <c r="D705" s="12">
        <v>92</v>
      </c>
      <c r="E705" s="16">
        <v>92000</v>
      </c>
      <c r="F705" s="10" t="s">
        <v>1900</v>
      </c>
      <c r="G705" s="10">
        <v>220</v>
      </c>
      <c r="H705" s="11">
        <v>45566</v>
      </c>
      <c r="I705" s="10" t="s">
        <v>939</v>
      </c>
      <c r="J705" s="12" t="str">
        <f>IF(OR(TED[[#This Row],[SITUACAO]]=1,TED[[#This Row],[SITUACAO]]=9,TED[[#This Row],[SITUACAO]]=18),"ATIVO","AFASTADO")</f>
        <v>ATIVO</v>
      </c>
      <c r="K705" s="12">
        <v>1</v>
      </c>
    </row>
    <row r="706" spans="1:11" x14ac:dyDescent="0.25">
      <c r="A706" s="10">
        <v>4095</v>
      </c>
      <c r="B706" s="9" t="s">
        <v>1122</v>
      </c>
      <c r="C706" s="12" t="str">
        <f>IFERROR(VLOOKUP(TED[[#This Row],[CENTRO]],'CENTRO DE CUSTO'!B:E,4,FALSE)," ")</f>
        <v>CONRADO</v>
      </c>
      <c r="D706" s="12">
        <v>92</v>
      </c>
      <c r="E706" s="16">
        <v>92000</v>
      </c>
      <c r="F706" s="10" t="s">
        <v>1900</v>
      </c>
      <c r="G706" s="10">
        <v>220</v>
      </c>
      <c r="H706" s="11">
        <v>41795</v>
      </c>
      <c r="I706" s="10" t="s">
        <v>958</v>
      </c>
      <c r="J706" s="12" t="str">
        <f>IF(OR(TED[[#This Row],[SITUACAO]]=1,TED[[#This Row],[SITUACAO]]=9,TED[[#This Row],[SITUACAO]]=18),"ATIVO","AFASTADO")</f>
        <v>ATIVO</v>
      </c>
      <c r="K706" s="12">
        <v>1</v>
      </c>
    </row>
    <row r="707" spans="1:11" x14ac:dyDescent="0.25">
      <c r="A707" s="10">
        <v>4266</v>
      </c>
      <c r="B707" s="9" t="s">
        <v>1057</v>
      </c>
      <c r="C707" s="12" t="str">
        <f>IFERROR(VLOOKUP(TED[[#This Row],[CENTRO]],'CENTRO DE CUSTO'!B:E,4,FALSE)," ")</f>
        <v>CONRADO</v>
      </c>
      <c r="D707" s="12">
        <v>92</v>
      </c>
      <c r="E707" s="16">
        <v>92000</v>
      </c>
      <c r="F707" s="10" t="s">
        <v>1900</v>
      </c>
      <c r="G707" s="10">
        <v>220</v>
      </c>
      <c r="H707" s="11">
        <v>41821</v>
      </c>
      <c r="I707" s="10" t="s">
        <v>612</v>
      </c>
      <c r="J707" s="12" t="str">
        <f>IF(OR(TED[[#This Row],[SITUACAO]]=1,TED[[#This Row],[SITUACAO]]=9,TED[[#This Row],[SITUACAO]]=18),"ATIVO","AFASTADO")</f>
        <v>ATIVO</v>
      </c>
      <c r="K707" s="12">
        <v>9</v>
      </c>
    </row>
    <row r="708" spans="1:11" x14ac:dyDescent="0.25">
      <c r="A708" s="10">
        <v>11956</v>
      </c>
      <c r="B708" s="9" t="s">
        <v>1079</v>
      </c>
      <c r="C708" s="12" t="str">
        <f>IFERROR(VLOOKUP(TED[[#This Row],[CENTRO]],'CENTRO DE CUSTO'!B:E,4,FALSE)," ")</f>
        <v>CONRADO</v>
      </c>
      <c r="D708" s="12">
        <v>92</v>
      </c>
      <c r="E708" s="16">
        <v>92000</v>
      </c>
      <c r="F708" s="10" t="s">
        <v>1900</v>
      </c>
      <c r="G708" s="10">
        <v>220</v>
      </c>
      <c r="H708" s="11">
        <v>43469</v>
      </c>
      <c r="I708" s="10" t="s">
        <v>939</v>
      </c>
      <c r="J708" s="12" t="str">
        <f>IF(OR(TED[[#This Row],[SITUACAO]]=1,TED[[#This Row],[SITUACAO]]=9,TED[[#This Row],[SITUACAO]]=18),"ATIVO","AFASTADO")</f>
        <v>ATIVO</v>
      </c>
      <c r="K708" s="12">
        <v>9</v>
      </c>
    </row>
    <row r="709" spans="1:11" x14ac:dyDescent="0.25">
      <c r="A709" s="10">
        <v>29511</v>
      </c>
      <c r="B709" s="9" t="s">
        <v>1053</v>
      </c>
      <c r="C709" s="12" t="str">
        <f>IFERROR(VLOOKUP(TED[[#This Row],[CENTRO]],'CENTRO DE CUSTO'!B:E,4,FALSE)," ")</f>
        <v>CONRADO</v>
      </c>
      <c r="D709" s="12">
        <v>92</v>
      </c>
      <c r="E709" s="16">
        <v>92000</v>
      </c>
      <c r="F709" s="10" t="s">
        <v>1900</v>
      </c>
      <c r="G709" s="10">
        <v>220</v>
      </c>
      <c r="H709" s="11">
        <v>45272</v>
      </c>
      <c r="I709" s="10" t="s">
        <v>935</v>
      </c>
      <c r="J709" s="12" t="str">
        <f>IF(OR(TED[[#This Row],[SITUACAO]]=1,TED[[#This Row],[SITUACAO]]=9,TED[[#This Row],[SITUACAO]]=18),"ATIVO","AFASTADO")</f>
        <v>AFASTADO</v>
      </c>
      <c r="K709" s="12">
        <v>12</v>
      </c>
    </row>
    <row r="710" spans="1:11" x14ac:dyDescent="0.25">
      <c r="A710" s="10">
        <v>23119</v>
      </c>
      <c r="B710" s="9" t="s">
        <v>1081</v>
      </c>
      <c r="C710" s="12" t="str">
        <f>IFERROR(VLOOKUP(TED[[#This Row],[CENTRO]],'CENTRO DE CUSTO'!B:E,4,FALSE)," ")</f>
        <v>CONRADO</v>
      </c>
      <c r="D710" s="12">
        <v>92</v>
      </c>
      <c r="E710" s="16">
        <v>92000</v>
      </c>
      <c r="F710" s="10" t="s">
        <v>1900</v>
      </c>
      <c r="G710" s="10">
        <v>220</v>
      </c>
      <c r="H710" s="11">
        <v>44835</v>
      </c>
      <c r="I710" s="10" t="s">
        <v>934</v>
      </c>
      <c r="J710" s="12" t="str">
        <f>IF(OR(TED[[#This Row],[SITUACAO]]=1,TED[[#This Row],[SITUACAO]]=9,TED[[#This Row],[SITUACAO]]=18),"ATIVO","AFASTADO")</f>
        <v>ATIVO</v>
      </c>
      <c r="K710" s="12">
        <v>9</v>
      </c>
    </row>
    <row r="711" spans="1:11" x14ac:dyDescent="0.25">
      <c r="A711" s="10">
        <v>12069</v>
      </c>
      <c r="B711" s="9" t="s">
        <v>1096</v>
      </c>
      <c r="C711" s="12" t="str">
        <f>IFERROR(VLOOKUP(TED[[#This Row],[CENTRO]],'CENTRO DE CUSTO'!B:E,4,FALSE)," ")</f>
        <v>CONRADO</v>
      </c>
      <c r="D711" s="12">
        <v>92</v>
      </c>
      <c r="E711" s="16">
        <v>92000</v>
      </c>
      <c r="F711" s="10" t="s">
        <v>1900</v>
      </c>
      <c r="G711" s="10">
        <v>220</v>
      </c>
      <c r="H711" s="11">
        <v>43469</v>
      </c>
      <c r="I711" s="10" t="s">
        <v>959</v>
      </c>
      <c r="J711" s="12" t="str">
        <f>IF(OR(TED[[#This Row],[SITUACAO]]=1,TED[[#This Row],[SITUACAO]]=9,TED[[#This Row],[SITUACAO]]=18),"ATIVO","AFASTADO")</f>
        <v>ATIVO</v>
      </c>
      <c r="K711" s="12">
        <v>9</v>
      </c>
    </row>
    <row r="712" spans="1:11" x14ac:dyDescent="0.25">
      <c r="A712" s="10">
        <v>41487</v>
      </c>
      <c r="B712" s="9" t="s">
        <v>1094</v>
      </c>
      <c r="C712" s="12" t="str">
        <f>IFERROR(VLOOKUP(TED[[#This Row],[CENTRO]],'CENTRO DE CUSTO'!B:E,4,FALSE)," ")</f>
        <v>CONRADO</v>
      </c>
      <c r="D712" s="12">
        <v>92</v>
      </c>
      <c r="E712" s="16">
        <v>92000</v>
      </c>
      <c r="F712" s="10" t="s">
        <v>1900</v>
      </c>
      <c r="G712" s="10">
        <v>220</v>
      </c>
      <c r="H712" s="11">
        <v>45931</v>
      </c>
      <c r="I712" s="10" t="s">
        <v>939</v>
      </c>
      <c r="J712" s="12" t="str">
        <f>IF(OR(TED[[#This Row],[SITUACAO]]=1,TED[[#This Row],[SITUACAO]]=9,TED[[#This Row],[SITUACAO]]=18),"ATIVO","AFASTADO")</f>
        <v>ATIVO</v>
      </c>
      <c r="K712" s="12">
        <v>1</v>
      </c>
    </row>
    <row r="713" spans="1:11" x14ac:dyDescent="0.25">
      <c r="A713" s="10">
        <v>5911</v>
      </c>
      <c r="B713" s="9" t="s">
        <v>1111</v>
      </c>
      <c r="C713" s="12" t="str">
        <f>IFERROR(VLOOKUP(TED[[#This Row],[CENTRO]],'CENTRO DE CUSTO'!B:E,4,FALSE)," ")</f>
        <v>CONRADO</v>
      </c>
      <c r="D713" s="12">
        <v>92</v>
      </c>
      <c r="E713" s="16">
        <v>92000</v>
      </c>
      <c r="F713" s="10" t="s">
        <v>1900</v>
      </c>
      <c r="G713" s="10">
        <v>220</v>
      </c>
      <c r="H713" s="11">
        <v>42233</v>
      </c>
      <c r="I713" s="10" t="s">
        <v>1989</v>
      </c>
      <c r="J713" s="12" t="str">
        <f>IF(OR(TED[[#This Row],[SITUACAO]]=1,TED[[#This Row],[SITUACAO]]=9,TED[[#This Row],[SITUACAO]]=18),"ATIVO","AFASTADO")</f>
        <v>ATIVO</v>
      </c>
      <c r="K713" s="12">
        <v>1</v>
      </c>
    </row>
    <row r="714" spans="1:11" x14ac:dyDescent="0.25">
      <c r="A714" s="10">
        <v>29198</v>
      </c>
      <c r="B714" s="9" t="s">
        <v>1113</v>
      </c>
      <c r="C714" s="12" t="str">
        <f>IFERROR(VLOOKUP(TED[[#This Row],[CENTRO]],'CENTRO DE CUSTO'!B:E,4,FALSE)," ")</f>
        <v>CONRADO</v>
      </c>
      <c r="D714" s="12">
        <v>92</v>
      </c>
      <c r="E714" s="16">
        <v>92000</v>
      </c>
      <c r="F714" s="10" t="s">
        <v>1900</v>
      </c>
      <c r="G714" s="10">
        <v>220</v>
      </c>
      <c r="H714" s="11">
        <v>45240</v>
      </c>
      <c r="I714" s="10" t="s">
        <v>939</v>
      </c>
      <c r="J714" s="12" t="str">
        <f>IF(OR(TED[[#This Row],[SITUACAO]]=1,TED[[#This Row],[SITUACAO]]=9,TED[[#This Row],[SITUACAO]]=18),"ATIVO","AFASTADO")</f>
        <v>ATIVO</v>
      </c>
      <c r="K714" s="12">
        <v>9</v>
      </c>
    </row>
    <row r="715" spans="1:11" x14ac:dyDescent="0.25">
      <c r="A715" s="10">
        <v>46010</v>
      </c>
      <c r="B715" s="9" t="s">
        <v>2332</v>
      </c>
      <c r="C715" s="12" t="str">
        <f>IFERROR(VLOOKUP(TED[[#This Row],[CENTRO]],'CENTRO DE CUSTO'!B:E,4,FALSE)," ")</f>
        <v>CONRADO</v>
      </c>
      <c r="D715" s="12">
        <v>92</v>
      </c>
      <c r="E715" s="16">
        <v>92000</v>
      </c>
      <c r="F715" s="10" t="s">
        <v>1900</v>
      </c>
      <c r="G715" s="10">
        <v>220</v>
      </c>
      <c r="H715" s="11">
        <v>46181</v>
      </c>
      <c r="I715" s="10" t="s">
        <v>935</v>
      </c>
      <c r="J715" s="12" t="str">
        <f>IF(OR(TED[[#This Row],[SITUACAO]]=1,TED[[#This Row],[SITUACAO]]=9,TED[[#This Row],[SITUACAO]]=18),"ATIVO","AFASTADO")</f>
        <v>ATIVO</v>
      </c>
      <c r="K715" s="12">
        <v>1</v>
      </c>
    </row>
    <row r="716" spans="1:11" x14ac:dyDescent="0.25">
      <c r="A716" s="10">
        <v>23072</v>
      </c>
      <c r="B716" s="9" t="s">
        <v>1099</v>
      </c>
      <c r="C716" s="12" t="str">
        <f>IFERROR(VLOOKUP(TED[[#This Row],[CENTRO]],'CENTRO DE CUSTO'!B:E,4,FALSE)," ")</f>
        <v>CONRADO</v>
      </c>
      <c r="D716" s="12">
        <v>92</v>
      </c>
      <c r="E716" s="16">
        <v>92000</v>
      </c>
      <c r="F716" s="10" t="s">
        <v>1900</v>
      </c>
      <c r="G716" s="10">
        <v>220</v>
      </c>
      <c r="H716" s="11">
        <v>44823</v>
      </c>
      <c r="I716" s="10" t="s">
        <v>958</v>
      </c>
      <c r="J716" s="12" t="str">
        <f>IF(OR(TED[[#This Row],[SITUACAO]]=1,TED[[#This Row],[SITUACAO]]=9,TED[[#This Row],[SITUACAO]]=18),"ATIVO","AFASTADO")</f>
        <v>ATIVO</v>
      </c>
      <c r="K716" s="12">
        <v>1</v>
      </c>
    </row>
    <row r="717" spans="1:11" x14ac:dyDescent="0.25">
      <c r="A717" s="10">
        <v>44573</v>
      </c>
      <c r="B717" s="9" t="s">
        <v>2128</v>
      </c>
      <c r="C717" s="12" t="str">
        <f>IFERROR(VLOOKUP(TED[[#This Row],[CENTRO]],'CENTRO DE CUSTO'!B:E,4,FALSE)," ")</f>
        <v>CONRADO</v>
      </c>
      <c r="D717" s="12">
        <v>92</v>
      </c>
      <c r="E717" s="16">
        <v>92000</v>
      </c>
      <c r="F717" s="10" t="s">
        <v>1900</v>
      </c>
      <c r="G717" s="10">
        <v>220</v>
      </c>
      <c r="H717" s="11">
        <v>46098</v>
      </c>
      <c r="I717" s="10" t="s">
        <v>935</v>
      </c>
      <c r="J717" s="12" t="str">
        <f>IF(OR(TED[[#This Row],[SITUACAO]]=1,TED[[#This Row],[SITUACAO]]=9,TED[[#This Row],[SITUACAO]]=18),"ATIVO","AFASTADO")</f>
        <v>ATIVO</v>
      </c>
      <c r="K717" s="12">
        <v>1</v>
      </c>
    </row>
    <row r="718" spans="1:11" x14ac:dyDescent="0.25">
      <c r="A718" s="10">
        <v>34243</v>
      </c>
      <c r="B718" s="9" t="s">
        <v>1124</v>
      </c>
      <c r="C718" s="12" t="str">
        <f>IFERROR(VLOOKUP(TED[[#This Row],[CENTRO]],'CENTRO DE CUSTO'!B:E,4,FALSE)," ")</f>
        <v>CONRADO</v>
      </c>
      <c r="D718" s="12">
        <v>92</v>
      </c>
      <c r="E718" s="16">
        <v>92000</v>
      </c>
      <c r="F718" s="10" t="s">
        <v>1900</v>
      </c>
      <c r="G718" s="10">
        <v>220</v>
      </c>
      <c r="H718" s="11">
        <v>45579</v>
      </c>
      <c r="I718" s="10" t="s">
        <v>939</v>
      </c>
      <c r="J718" s="12" t="str">
        <f>IF(OR(TED[[#This Row],[SITUACAO]]=1,TED[[#This Row],[SITUACAO]]=9,TED[[#This Row],[SITUACAO]]=18),"ATIVO","AFASTADO")</f>
        <v>ATIVO</v>
      </c>
      <c r="K718" s="12">
        <v>1</v>
      </c>
    </row>
    <row r="719" spans="1:11" x14ac:dyDescent="0.25">
      <c r="A719" s="10">
        <v>11955</v>
      </c>
      <c r="B719" s="9" t="s">
        <v>1055</v>
      </c>
      <c r="C719" s="12" t="str">
        <f>IFERROR(VLOOKUP(TED[[#This Row],[CENTRO]],'CENTRO DE CUSTO'!B:E,4,FALSE)," ")</f>
        <v>CONRADO</v>
      </c>
      <c r="D719" s="12">
        <v>92</v>
      </c>
      <c r="E719" s="16">
        <v>92000</v>
      </c>
      <c r="F719" s="10" t="s">
        <v>1900</v>
      </c>
      <c r="G719" s="10">
        <v>220</v>
      </c>
      <c r="H719" s="11">
        <v>43469</v>
      </c>
      <c r="I719" s="10" t="s">
        <v>939</v>
      </c>
      <c r="J719" s="12" t="str">
        <f>IF(OR(TED[[#This Row],[SITUACAO]]=1,TED[[#This Row],[SITUACAO]]=9,TED[[#This Row],[SITUACAO]]=18),"ATIVO","AFASTADO")</f>
        <v>ATIVO</v>
      </c>
      <c r="K719" s="12">
        <v>1</v>
      </c>
    </row>
    <row r="720" spans="1:11" x14ac:dyDescent="0.25">
      <c r="A720" s="10">
        <v>42872</v>
      </c>
      <c r="B720" s="9" t="s">
        <v>1063</v>
      </c>
      <c r="C720" s="12" t="str">
        <f>IFERROR(VLOOKUP(TED[[#This Row],[CENTRO]],'CENTRO DE CUSTO'!B:E,4,FALSE)," ")</f>
        <v>CONRADO</v>
      </c>
      <c r="D720" s="12">
        <v>92</v>
      </c>
      <c r="E720" s="16">
        <v>92000</v>
      </c>
      <c r="F720" s="10" t="s">
        <v>1900</v>
      </c>
      <c r="G720" s="10">
        <v>220</v>
      </c>
      <c r="H720" s="11">
        <v>45989</v>
      </c>
      <c r="I720" s="10" t="s">
        <v>935</v>
      </c>
      <c r="J720" s="12" t="str">
        <f>IF(OR(TED[[#This Row],[SITUACAO]]=1,TED[[#This Row],[SITUACAO]]=9,TED[[#This Row],[SITUACAO]]=18),"ATIVO","AFASTADO")</f>
        <v>ATIVO</v>
      </c>
      <c r="K720" s="12">
        <v>1</v>
      </c>
    </row>
    <row r="721" spans="1:11" x14ac:dyDescent="0.25">
      <c r="A721" s="10">
        <v>3097</v>
      </c>
      <c r="B721" s="9" t="s">
        <v>960</v>
      </c>
      <c r="C721" s="12" t="str">
        <f>IFERROR(VLOOKUP(TED[[#This Row],[CENTRO]],'CENTRO DE CUSTO'!B:E,4,FALSE)," ")</f>
        <v>CONRADO</v>
      </c>
      <c r="D721" s="12">
        <v>92</v>
      </c>
      <c r="E721" s="16">
        <v>92000</v>
      </c>
      <c r="F721" s="10" t="s">
        <v>1900</v>
      </c>
      <c r="G721" s="10">
        <v>220</v>
      </c>
      <c r="H721" s="11">
        <v>41589</v>
      </c>
      <c r="I721" s="10" t="s">
        <v>959</v>
      </c>
      <c r="J721" s="12" t="str">
        <f>IF(OR(TED[[#This Row],[SITUACAO]]=1,TED[[#This Row],[SITUACAO]]=9,TED[[#This Row],[SITUACAO]]=18),"ATIVO","AFASTADO")</f>
        <v>ATIVO</v>
      </c>
      <c r="K721" s="12">
        <v>1</v>
      </c>
    </row>
    <row r="722" spans="1:11" x14ac:dyDescent="0.25">
      <c r="A722" s="10">
        <v>17655</v>
      </c>
      <c r="B722" s="9" t="s">
        <v>1107</v>
      </c>
      <c r="C722" s="12" t="str">
        <f>IFERROR(VLOOKUP(TED[[#This Row],[CENTRO]],'CENTRO DE CUSTO'!B:E,4,FALSE)," ")</f>
        <v>CONRADO</v>
      </c>
      <c r="D722" s="12">
        <v>92</v>
      </c>
      <c r="E722" s="16">
        <v>92000</v>
      </c>
      <c r="F722" s="10" t="s">
        <v>1900</v>
      </c>
      <c r="G722" s="10">
        <v>220</v>
      </c>
      <c r="H722" s="11">
        <v>44470</v>
      </c>
      <c r="I722" s="10" t="s">
        <v>1989</v>
      </c>
      <c r="J722" s="12" t="str">
        <f>IF(OR(TED[[#This Row],[SITUACAO]]=1,TED[[#This Row],[SITUACAO]]=9,TED[[#This Row],[SITUACAO]]=18),"ATIVO","AFASTADO")</f>
        <v>ATIVO</v>
      </c>
      <c r="K722" s="12">
        <v>1</v>
      </c>
    </row>
    <row r="723" spans="1:11" x14ac:dyDescent="0.25">
      <c r="A723" s="10">
        <v>7522</v>
      </c>
      <c r="B723" s="9" t="s">
        <v>1082</v>
      </c>
      <c r="C723" s="12" t="str">
        <f>IFERROR(VLOOKUP(TED[[#This Row],[CENTRO]],'CENTRO DE CUSTO'!B:E,4,FALSE)," ")</f>
        <v>CONRADO</v>
      </c>
      <c r="D723" s="12">
        <v>92</v>
      </c>
      <c r="E723" s="16">
        <v>92000</v>
      </c>
      <c r="F723" s="10" t="s">
        <v>1900</v>
      </c>
      <c r="G723" s="10">
        <v>220</v>
      </c>
      <c r="H723" s="11">
        <v>42496</v>
      </c>
      <c r="I723" s="10" t="s">
        <v>934</v>
      </c>
      <c r="J723" s="12" t="str">
        <f>IF(OR(TED[[#This Row],[SITUACAO]]=1,TED[[#This Row],[SITUACAO]]=9,TED[[#This Row],[SITUACAO]]=18),"ATIVO","AFASTADO")</f>
        <v>ATIVO</v>
      </c>
      <c r="K723" s="12">
        <v>1</v>
      </c>
    </row>
    <row r="724" spans="1:11" x14ac:dyDescent="0.25">
      <c r="A724" s="10">
        <v>43159</v>
      </c>
      <c r="B724" s="9" t="s">
        <v>1093</v>
      </c>
      <c r="C724" s="12" t="str">
        <f>IFERROR(VLOOKUP(TED[[#This Row],[CENTRO]],'CENTRO DE CUSTO'!B:E,4,FALSE)," ")</f>
        <v>CONRADO</v>
      </c>
      <c r="D724" s="12">
        <v>92</v>
      </c>
      <c r="E724" s="16">
        <v>92000</v>
      </c>
      <c r="F724" s="10" t="s">
        <v>1900</v>
      </c>
      <c r="G724" s="10">
        <v>220</v>
      </c>
      <c r="H724" s="11">
        <v>46017</v>
      </c>
      <c r="I724" s="10" t="s">
        <v>935</v>
      </c>
      <c r="J724" s="12" t="str">
        <f>IF(OR(TED[[#This Row],[SITUACAO]]=1,TED[[#This Row],[SITUACAO]]=9,TED[[#This Row],[SITUACAO]]=18),"ATIVO","AFASTADO")</f>
        <v>ATIVO</v>
      </c>
      <c r="K724" s="12">
        <v>1</v>
      </c>
    </row>
    <row r="725" spans="1:11" x14ac:dyDescent="0.25">
      <c r="A725" s="10">
        <v>18325</v>
      </c>
      <c r="B725" s="9" t="s">
        <v>1078</v>
      </c>
      <c r="C725" s="12" t="str">
        <f>IFERROR(VLOOKUP(TED[[#This Row],[CENTRO]],'CENTRO DE CUSTO'!B:E,4,FALSE)," ")</f>
        <v>CONRADO</v>
      </c>
      <c r="D725" s="12">
        <v>92</v>
      </c>
      <c r="E725" s="16">
        <v>92000</v>
      </c>
      <c r="F725" s="10" t="s">
        <v>1900</v>
      </c>
      <c r="G725" s="10">
        <v>220</v>
      </c>
      <c r="H725" s="11">
        <v>44571</v>
      </c>
      <c r="I725" s="10" t="s">
        <v>946</v>
      </c>
      <c r="J725" s="12" t="str">
        <f>IF(OR(TED[[#This Row],[SITUACAO]]=1,TED[[#This Row],[SITUACAO]]=9,TED[[#This Row],[SITUACAO]]=18),"ATIVO","AFASTADO")</f>
        <v>ATIVO</v>
      </c>
      <c r="K725" s="12">
        <v>1</v>
      </c>
    </row>
    <row r="726" spans="1:11" x14ac:dyDescent="0.25">
      <c r="A726" s="10">
        <v>20390</v>
      </c>
      <c r="B726" s="9" t="s">
        <v>1127</v>
      </c>
      <c r="C726" s="12" t="str">
        <f>IFERROR(VLOOKUP(TED[[#This Row],[CENTRO]],'CENTRO DE CUSTO'!B:E,4,FALSE)," ")</f>
        <v>CONRADO</v>
      </c>
      <c r="D726" s="12">
        <v>92</v>
      </c>
      <c r="E726" s="16">
        <v>92000</v>
      </c>
      <c r="F726" s="10" t="s">
        <v>1900</v>
      </c>
      <c r="G726" s="10">
        <v>220</v>
      </c>
      <c r="H726" s="11">
        <v>44608</v>
      </c>
      <c r="I726" s="10" t="s">
        <v>959</v>
      </c>
      <c r="J726" s="12" t="str">
        <f>IF(OR(TED[[#This Row],[SITUACAO]]=1,TED[[#This Row],[SITUACAO]]=9,TED[[#This Row],[SITUACAO]]=18),"ATIVO","AFASTADO")</f>
        <v>AFASTADO</v>
      </c>
      <c r="K726" s="12">
        <v>14</v>
      </c>
    </row>
    <row r="727" spans="1:11" x14ac:dyDescent="0.25">
      <c r="A727" s="10">
        <v>9034</v>
      </c>
      <c r="B727" s="9" t="s">
        <v>1097</v>
      </c>
      <c r="C727" s="12" t="str">
        <f>IFERROR(VLOOKUP(TED[[#This Row],[CENTRO]],'CENTRO DE CUSTO'!B:E,4,FALSE)," ")</f>
        <v>CONRADO</v>
      </c>
      <c r="D727" s="12">
        <v>92</v>
      </c>
      <c r="E727" s="16">
        <v>92000</v>
      </c>
      <c r="F727" s="10" t="s">
        <v>1900</v>
      </c>
      <c r="G727" s="10">
        <v>220</v>
      </c>
      <c r="H727" s="11">
        <v>42843</v>
      </c>
      <c r="I727" s="10" t="s">
        <v>935</v>
      </c>
      <c r="J727" s="12" t="str">
        <f>IF(OR(TED[[#This Row],[SITUACAO]]=1,TED[[#This Row],[SITUACAO]]=9,TED[[#This Row],[SITUACAO]]=18),"ATIVO","AFASTADO")</f>
        <v>ATIVO</v>
      </c>
      <c r="K727" s="12">
        <v>1</v>
      </c>
    </row>
    <row r="728" spans="1:11" x14ac:dyDescent="0.25">
      <c r="A728" s="10">
        <v>15919</v>
      </c>
      <c r="B728" s="9" t="s">
        <v>1115</v>
      </c>
      <c r="C728" s="12" t="str">
        <f>IFERROR(VLOOKUP(TED[[#This Row],[CENTRO]],'CENTRO DE CUSTO'!B:E,4,FALSE)," ")</f>
        <v>CONRADO</v>
      </c>
      <c r="D728" s="12">
        <v>92</v>
      </c>
      <c r="E728" s="16">
        <v>92000</v>
      </c>
      <c r="F728" s="10" t="s">
        <v>1900</v>
      </c>
      <c r="G728" s="10">
        <v>220</v>
      </c>
      <c r="H728" s="11">
        <v>44285</v>
      </c>
      <c r="I728" s="10" t="s">
        <v>959</v>
      </c>
      <c r="J728" s="12" t="str">
        <f>IF(OR(TED[[#This Row],[SITUACAO]]=1,TED[[#This Row],[SITUACAO]]=9,TED[[#This Row],[SITUACAO]]=18),"ATIVO","AFASTADO")</f>
        <v>ATIVO</v>
      </c>
      <c r="K728" s="12">
        <v>9</v>
      </c>
    </row>
    <row r="729" spans="1:11" x14ac:dyDescent="0.25">
      <c r="A729" s="10">
        <v>45976</v>
      </c>
      <c r="B729" s="9" t="s">
        <v>2333</v>
      </c>
      <c r="C729" s="12" t="str">
        <f>IFERROR(VLOOKUP(TED[[#This Row],[CENTRO]],'CENTRO DE CUSTO'!B:E,4,FALSE)," ")</f>
        <v>CONRADO</v>
      </c>
      <c r="D729" s="12">
        <v>92</v>
      </c>
      <c r="E729" s="16">
        <v>92000</v>
      </c>
      <c r="F729" s="10" t="s">
        <v>1900</v>
      </c>
      <c r="G729" s="10">
        <v>220</v>
      </c>
      <c r="H729" s="11">
        <v>46174</v>
      </c>
      <c r="I729" s="10" t="s">
        <v>935</v>
      </c>
      <c r="J729" s="12" t="str">
        <f>IF(OR(TED[[#This Row],[SITUACAO]]=1,TED[[#This Row],[SITUACAO]]=9,TED[[#This Row],[SITUACAO]]=18),"ATIVO","AFASTADO")</f>
        <v>ATIVO</v>
      </c>
      <c r="K729" s="12">
        <v>1</v>
      </c>
    </row>
    <row r="730" spans="1:11" x14ac:dyDescent="0.25">
      <c r="A730" s="10">
        <v>31326</v>
      </c>
      <c r="B730" s="9" t="s">
        <v>1125</v>
      </c>
      <c r="C730" s="12" t="str">
        <f>IFERROR(VLOOKUP(TED[[#This Row],[CENTRO]],'CENTRO DE CUSTO'!B:E,4,FALSE)," ")</f>
        <v>CONRADO</v>
      </c>
      <c r="D730" s="12">
        <v>92</v>
      </c>
      <c r="E730" s="16">
        <v>92000</v>
      </c>
      <c r="F730" s="10" t="s">
        <v>1900</v>
      </c>
      <c r="G730" s="10">
        <v>220</v>
      </c>
      <c r="H730" s="11">
        <v>45348</v>
      </c>
      <c r="I730" s="10" t="s">
        <v>935</v>
      </c>
      <c r="J730" s="12" t="str">
        <f>IF(OR(TED[[#This Row],[SITUACAO]]=1,TED[[#This Row],[SITUACAO]]=9,TED[[#This Row],[SITUACAO]]=18),"ATIVO","AFASTADO")</f>
        <v>AFASTADO</v>
      </c>
      <c r="K730" s="12">
        <v>12</v>
      </c>
    </row>
    <row r="731" spans="1:11" x14ac:dyDescent="0.25">
      <c r="A731" s="10">
        <v>23113</v>
      </c>
      <c r="B731" s="9" t="s">
        <v>1062</v>
      </c>
      <c r="C731" s="12" t="str">
        <f>IFERROR(VLOOKUP(TED[[#This Row],[CENTRO]],'CENTRO DE CUSTO'!B:E,4,FALSE)," ")</f>
        <v>CONRADO</v>
      </c>
      <c r="D731" s="12">
        <v>92</v>
      </c>
      <c r="E731" s="16">
        <v>92000</v>
      </c>
      <c r="F731" s="10" t="s">
        <v>1900</v>
      </c>
      <c r="G731" s="10">
        <v>220</v>
      </c>
      <c r="H731" s="11">
        <v>44835</v>
      </c>
      <c r="I731" s="10" t="s">
        <v>612</v>
      </c>
      <c r="J731" s="12" t="str">
        <f>IF(OR(TED[[#This Row],[SITUACAO]]=1,TED[[#This Row],[SITUACAO]]=9,TED[[#This Row],[SITUACAO]]=18),"ATIVO","AFASTADO")</f>
        <v>ATIVO</v>
      </c>
      <c r="K731" s="12">
        <v>1</v>
      </c>
    </row>
    <row r="732" spans="1:11" x14ac:dyDescent="0.25">
      <c r="A732" s="10">
        <v>4998</v>
      </c>
      <c r="B732" s="9" t="s">
        <v>1064</v>
      </c>
      <c r="C732" s="12" t="str">
        <f>IFERROR(VLOOKUP(TED[[#This Row],[CENTRO]],'CENTRO DE CUSTO'!B:E,4,FALSE)," ")</f>
        <v>CONRADO</v>
      </c>
      <c r="D732" s="12">
        <v>92</v>
      </c>
      <c r="E732" s="16">
        <v>92000</v>
      </c>
      <c r="F732" s="10" t="s">
        <v>1900</v>
      </c>
      <c r="G732" s="10">
        <v>220</v>
      </c>
      <c r="H732" s="11">
        <v>42096</v>
      </c>
      <c r="I732" s="10" t="s">
        <v>957</v>
      </c>
      <c r="J732" s="12" t="str">
        <f>IF(OR(TED[[#This Row],[SITUACAO]]=1,TED[[#This Row],[SITUACAO]]=9,TED[[#This Row],[SITUACAO]]=18),"ATIVO","AFASTADO")</f>
        <v>ATIVO</v>
      </c>
      <c r="K732" s="12">
        <v>9</v>
      </c>
    </row>
    <row r="733" spans="1:11" x14ac:dyDescent="0.25">
      <c r="A733" s="10">
        <v>33934</v>
      </c>
      <c r="B733" s="9" t="s">
        <v>1101</v>
      </c>
      <c r="C733" s="12" t="str">
        <f>IFERROR(VLOOKUP(TED[[#This Row],[CENTRO]],'CENTRO DE CUSTO'!B:E,4,FALSE)," ")</f>
        <v>CONRADO</v>
      </c>
      <c r="D733" s="12">
        <v>92</v>
      </c>
      <c r="E733" s="16">
        <v>92000</v>
      </c>
      <c r="F733" s="10" t="s">
        <v>1900</v>
      </c>
      <c r="G733" s="10">
        <v>220</v>
      </c>
      <c r="H733" s="11">
        <v>45566</v>
      </c>
      <c r="I733" s="10" t="s">
        <v>959</v>
      </c>
      <c r="J733" s="12" t="str">
        <f>IF(OR(TED[[#This Row],[SITUACAO]]=1,TED[[#This Row],[SITUACAO]]=9,TED[[#This Row],[SITUACAO]]=18),"ATIVO","AFASTADO")</f>
        <v>ATIVO</v>
      </c>
      <c r="K733" s="12">
        <v>1</v>
      </c>
    </row>
    <row r="734" spans="1:11" x14ac:dyDescent="0.25">
      <c r="A734" s="10">
        <v>15920</v>
      </c>
      <c r="B734" s="9" t="s">
        <v>1059</v>
      </c>
      <c r="C734" s="12" t="str">
        <f>IFERROR(VLOOKUP(TED[[#This Row],[CENTRO]],'CENTRO DE CUSTO'!B:E,4,FALSE)," ")</f>
        <v>CONRADO</v>
      </c>
      <c r="D734" s="12">
        <v>92</v>
      </c>
      <c r="E734" s="16">
        <v>92000</v>
      </c>
      <c r="F734" s="10" t="s">
        <v>1900</v>
      </c>
      <c r="G734" s="10">
        <v>220</v>
      </c>
      <c r="H734" s="11">
        <v>44285</v>
      </c>
      <c r="I734" s="10" t="s">
        <v>1988</v>
      </c>
      <c r="J734" s="12" t="str">
        <f>IF(OR(TED[[#This Row],[SITUACAO]]=1,TED[[#This Row],[SITUACAO]]=9,TED[[#This Row],[SITUACAO]]=18),"ATIVO","AFASTADO")</f>
        <v>ATIVO</v>
      </c>
      <c r="K734" s="12">
        <v>1</v>
      </c>
    </row>
    <row r="735" spans="1:11" x14ac:dyDescent="0.25">
      <c r="A735" s="10">
        <v>43173</v>
      </c>
      <c r="B735" s="9" t="s">
        <v>1105</v>
      </c>
      <c r="C735" s="12" t="str">
        <f>IFERROR(VLOOKUP(TED[[#This Row],[CENTRO]],'CENTRO DE CUSTO'!B:E,4,FALSE)," ")</f>
        <v>CONRADO</v>
      </c>
      <c r="D735" s="12">
        <v>92</v>
      </c>
      <c r="E735" s="16">
        <v>92000</v>
      </c>
      <c r="F735" s="10" t="s">
        <v>1900</v>
      </c>
      <c r="G735" s="10">
        <v>220</v>
      </c>
      <c r="H735" s="11">
        <v>46027</v>
      </c>
      <c r="I735" s="10" t="s">
        <v>935</v>
      </c>
      <c r="J735" s="12" t="str">
        <f>IF(OR(TED[[#This Row],[SITUACAO]]=1,TED[[#This Row],[SITUACAO]]=9,TED[[#This Row],[SITUACAO]]=18),"ATIVO","AFASTADO")</f>
        <v>ATIVO</v>
      </c>
      <c r="K735" s="12">
        <v>1</v>
      </c>
    </row>
    <row r="736" spans="1:11" x14ac:dyDescent="0.25">
      <c r="A736" s="10">
        <v>2819</v>
      </c>
      <c r="B736" s="9" t="s">
        <v>945</v>
      </c>
      <c r="C736" s="12" t="str">
        <f>IFERROR(VLOOKUP(TED[[#This Row],[CENTRO]],'CENTRO DE CUSTO'!B:E,4,FALSE)," ")</f>
        <v>CONRADO</v>
      </c>
      <c r="D736" s="12">
        <v>92</v>
      </c>
      <c r="E736" s="16">
        <v>92000</v>
      </c>
      <c r="F736" s="10" t="s">
        <v>1900</v>
      </c>
      <c r="G736" s="10">
        <v>220</v>
      </c>
      <c r="H736" s="11">
        <v>41589</v>
      </c>
      <c r="I736" s="10" t="s">
        <v>939</v>
      </c>
      <c r="J736" s="12" t="str">
        <f>IF(OR(TED[[#This Row],[SITUACAO]]=1,TED[[#This Row],[SITUACAO]]=9,TED[[#This Row],[SITUACAO]]=18),"ATIVO","AFASTADO")</f>
        <v>ATIVO</v>
      </c>
      <c r="K736" s="12">
        <v>1</v>
      </c>
    </row>
    <row r="737" spans="1:11" x14ac:dyDescent="0.25">
      <c r="A737" s="10">
        <v>23127</v>
      </c>
      <c r="B737" s="9" t="s">
        <v>1103</v>
      </c>
      <c r="C737" s="12" t="str">
        <f>IFERROR(VLOOKUP(TED[[#This Row],[CENTRO]],'CENTRO DE CUSTO'!B:E,4,FALSE)," ")</f>
        <v>CONRADO</v>
      </c>
      <c r="D737" s="12">
        <v>92</v>
      </c>
      <c r="E737" s="16">
        <v>92000</v>
      </c>
      <c r="F737" s="10" t="s">
        <v>1900</v>
      </c>
      <c r="G737" s="10">
        <v>220</v>
      </c>
      <c r="H737" s="11">
        <v>44835</v>
      </c>
      <c r="I737" s="10" t="s">
        <v>939</v>
      </c>
      <c r="J737" s="12" t="str">
        <f>IF(OR(TED[[#This Row],[SITUACAO]]=1,TED[[#This Row],[SITUACAO]]=9,TED[[#This Row],[SITUACAO]]=18),"ATIVO","AFASTADO")</f>
        <v>ATIVO</v>
      </c>
      <c r="K737" s="12">
        <v>1</v>
      </c>
    </row>
    <row r="738" spans="1:11" x14ac:dyDescent="0.25">
      <c r="A738" s="10">
        <v>32673</v>
      </c>
      <c r="B738" s="9" t="s">
        <v>940</v>
      </c>
      <c r="C738" s="12" t="str">
        <f>IFERROR(VLOOKUP(TED[[#This Row],[CENTRO]],'CENTRO DE CUSTO'!B:E,4,FALSE)," ")</f>
        <v>CONRADO</v>
      </c>
      <c r="D738" s="12">
        <v>92</v>
      </c>
      <c r="E738" s="16">
        <v>92000</v>
      </c>
      <c r="F738" s="10" t="s">
        <v>1900</v>
      </c>
      <c r="G738" s="10">
        <v>220</v>
      </c>
      <c r="H738" s="11">
        <v>45436</v>
      </c>
      <c r="I738" s="10" t="s">
        <v>939</v>
      </c>
      <c r="J738" s="12" t="str">
        <f>IF(OR(TED[[#This Row],[SITUACAO]]=1,TED[[#This Row],[SITUACAO]]=9,TED[[#This Row],[SITUACAO]]=18),"ATIVO","AFASTADO")</f>
        <v>ATIVO</v>
      </c>
      <c r="K738" s="12">
        <v>1</v>
      </c>
    </row>
    <row r="739" spans="1:11" x14ac:dyDescent="0.25">
      <c r="A739" s="10">
        <v>44393</v>
      </c>
      <c r="B739" s="9" t="s">
        <v>2118</v>
      </c>
      <c r="C739" s="12" t="str">
        <f>IFERROR(VLOOKUP(TED[[#This Row],[CENTRO]],'CENTRO DE CUSTO'!B:E,4,FALSE)," ")</f>
        <v>CONRADO</v>
      </c>
      <c r="D739" s="12">
        <v>92</v>
      </c>
      <c r="E739" s="16">
        <v>92000</v>
      </c>
      <c r="F739" s="10" t="s">
        <v>1900</v>
      </c>
      <c r="G739" s="10">
        <v>220</v>
      </c>
      <c r="H739" s="11">
        <v>46090</v>
      </c>
      <c r="I739" s="10" t="s">
        <v>959</v>
      </c>
      <c r="J739" s="12" t="str">
        <f>IF(OR(TED[[#This Row],[SITUACAO]]=1,TED[[#This Row],[SITUACAO]]=9,TED[[#This Row],[SITUACAO]]=18),"ATIVO","AFASTADO")</f>
        <v>ATIVO</v>
      </c>
      <c r="K739" s="12">
        <v>1</v>
      </c>
    </row>
    <row r="740" spans="1:11" x14ac:dyDescent="0.25">
      <c r="A740" s="10">
        <v>3273</v>
      </c>
      <c r="B740" s="9" t="s">
        <v>936</v>
      </c>
      <c r="C740" s="12" t="str">
        <f>IFERROR(VLOOKUP(TED[[#This Row],[CENTRO]],'CENTRO DE CUSTO'!B:E,4,FALSE)," ")</f>
        <v>CONRADO</v>
      </c>
      <c r="D740" s="12">
        <v>92</v>
      </c>
      <c r="E740" s="16">
        <v>92000</v>
      </c>
      <c r="F740" s="10" t="s">
        <v>1900</v>
      </c>
      <c r="G740" s="10">
        <v>220</v>
      </c>
      <c r="H740" s="11">
        <v>41661</v>
      </c>
      <c r="I740" s="10" t="s">
        <v>935</v>
      </c>
      <c r="J740" s="12" t="str">
        <f>IF(OR(TED[[#This Row],[SITUACAO]]=1,TED[[#This Row],[SITUACAO]]=9,TED[[#This Row],[SITUACAO]]=18),"ATIVO","AFASTADO")</f>
        <v>ATIVO</v>
      </c>
      <c r="K740" s="12">
        <v>1</v>
      </c>
    </row>
    <row r="741" spans="1:11" x14ac:dyDescent="0.25">
      <c r="A741" s="10">
        <v>44569</v>
      </c>
      <c r="B741" s="9" t="s">
        <v>2129</v>
      </c>
      <c r="C741" s="12" t="str">
        <f>IFERROR(VLOOKUP(TED[[#This Row],[CENTRO]],'CENTRO DE CUSTO'!B:E,4,FALSE)," ")</f>
        <v>CONRADO</v>
      </c>
      <c r="D741" s="12">
        <v>92</v>
      </c>
      <c r="E741" s="16">
        <v>92000</v>
      </c>
      <c r="F741" s="10" t="s">
        <v>1900</v>
      </c>
      <c r="G741" s="10">
        <v>220</v>
      </c>
      <c r="H741" s="11">
        <v>46097</v>
      </c>
      <c r="I741" s="10" t="s">
        <v>935</v>
      </c>
      <c r="J741" s="12" t="str">
        <f>IF(OR(TED[[#This Row],[SITUACAO]]=1,TED[[#This Row],[SITUACAO]]=9,TED[[#This Row],[SITUACAO]]=18),"ATIVO","AFASTADO")</f>
        <v>ATIVO</v>
      </c>
      <c r="K741" s="12">
        <v>1</v>
      </c>
    </row>
    <row r="742" spans="1:11" x14ac:dyDescent="0.25">
      <c r="A742" s="10">
        <v>41271</v>
      </c>
      <c r="B742" s="9" t="s">
        <v>1069</v>
      </c>
      <c r="C742" s="12" t="str">
        <f>IFERROR(VLOOKUP(TED[[#This Row],[CENTRO]],'CENTRO DE CUSTO'!B:E,4,FALSE)," ")</f>
        <v>CONRADO</v>
      </c>
      <c r="D742" s="12">
        <v>92</v>
      </c>
      <c r="E742" s="16">
        <v>92000</v>
      </c>
      <c r="F742" s="10" t="s">
        <v>1900</v>
      </c>
      <c r="G742" s="10">
        <v>220</v>
      </c>
      <c r="H742" s="11">
        <v>45931</v>
      </c>
      <c r="I742" s="10" t="s">
        <v>935</v>
      </c>
      <c r="J742" s="12" t="str">
        <f>IF(OR(TED[[#This Row],[SITUACAO]]=1,TED[[#This Row],[SITUACAO]]=9,TED[[#This Row],[SITUACAO]]=18),"ATIVO","AFASTADO")</f>
        <v>ATIVO</v>
      </c>
      <c r="K742" s="12">
        <v>9</v>
      </c>
    </row>
    <row r="743" spans="1:11" x14ac:dyDescent="0.25">
      <c r="A743" s="10">
        <v>3264</v>
      </c>
      <c r="B743" s="9" t="s">
        <v>1128</v>
      </c>
      <c r="C743" s="12" t="str">
        <f>IFERROR(VLOOKUP(TED[[#This Row],[CENTRO]],'CENTRO DE CUSTO'!B:E,4,FALSE)," ")</f>
        <v>CONRADO</v>
      </c>
      <c r="D743" s="12">
        <v>92</v>
      </c>
      <c r="E743" s="16">
        <v>92000</v>
      </c>
      <c r="F743" s="10" t="s">
        <v>1900</v>
      </c>
      <c r="G743" s="10">
        <v>220</v>
      </c>
      <c r="H743" s="11">
        <v>41619</v>
      </c>
      <c r="I743" s="10" t="s">
        <v>959</v>
      </c>
      <c r="J743" s="12" t="str">
        <f>IF(OR(TED[[#This Row],[SITUACAO]]=1,TED[[#This Row],[SITUACAO]]=9,TED[[#This Row],[SITUACAO]]=18),"ATIVO","AFASTADO")</f>
        <v>ATIVO</v>
      </c>
      <c r="K743" s="12">
        <v>1</v>
      </c>
    </row>
    <row r="744" spans="1:11" x14ac:dyDescent="0.25">
      <c r="A744" s="10">
        <v>7025</v>
      </c>
      <c r="B744" s="9" t="s">
        <v>1157</v>
      </c>
      <c r="C744" s="12" t="str">
        <f>IFERROR(VLOOKUP(TED[[#This Row],[CENTRO]],'CENTRO DE CUSTO'!B:E,4,FALSE)," ")</f>
        <v>EDER</v>
      </c>
      <c r="D744" s="12">
        <v>96</v>
      </c>
      <c r="E744" s="16">
        <v>96000</v>
      </c>
      <c r="F744" s="10" t="s">
        <v>1901</v>
      </c>
      <c r="G744" s="10">
        <v>220</v>
      </c>
      <c r="H744" s="11">
        <v>42380</v>
      </c>
      <c r="I744" s="10" t="s">
        <v>958</v>
      </c>
      <c r="J744" s="12" t="str">
        <f>IF(OR(TED[[#This Row],[SITUACAO]]=1,TED[[#This Row],[SITUACAO]]=9,TED[[#This Row],[SITUACAO]]=18),"ATIVO","AFASTADO")</f>
        <v>ATIVO</v>
      </c>
      <c r="K744" s="12">
        <v>1</v>
      </c>
    </row>
    <row r="745" spans="1:11" x14ac:dyDescent="0.25">
      <c r="A745" s="10">
        <v>12038</v>
      </c>
      <c r="B745" s="9" t="s">
        <v>1132</v>
      </c>
      <c r="C745" s="12" t="str">
        <f>IFERROR(VLOOKUP(TED[[#This Row],[CENTRO]],'CENTRO DE CUSTO'!B:E,4,FALSE)," ")</f>
        <v>EDER</v>
      </c>
      <c r="D745" s="12">
        <v>96</v>
      </c>
      <c r="E745" s="16">
        <v>96000</v>
      </c>
      <c r="F745" s="10" t="s">
        <v>1901</v>
      </c>
      <c r="G745" s="10">
        <v>220</v>
      </c>
      <c r="H745" s="11">
        <v>43510</v>
      </c>
      <c r="I745" s="10" t="s">
        <v>958</v>
      </c>
      <c r="J745" s="12" t="str">
        <f>IF(OR(TED[[#This Row],[SITUACAO]]=1,TED[[#This Row],[SITUACAO]]=9,TED[[#This Row],[SITUACAO]]=18),"ATIVO","AFASTADO")</f>
        <v>ATIVO</v>
      </c>
      <c r="K745" s="12">
        <v>1</v>
      </c>
    </row>
    <row r="746" spans="1:11" x14ac:dyDescent="0.25">
      <c r="A746" s="10">
        <v>8153</v>
      </c>
      <c r="B746" s="9" t="s">
        <v>1162</v>
      </c>
      <c r="C746" s="12" t="str">
        <f>IFERROR(VLOOKUP(TED[[#This Row],[CENTRO]],'CENTRO DE CUSTO'!B:E,4,FALSE)," ")</f>
        <v>EDER</v>
      </c>
      <c r="D746" s="12">
        <v>96</v>
      </c>
      <c r="E746" s="16">
        <v>96000</v>
      </c>
      <c r="F746" s="10" t="s">
        <v>1901</v>
      </c>
      <c r="G746" s="10">
        <v>220</v>
      </c>
      <c r="H746" s="11">
        <v>42717</v>
      </c>
      <c r="I746" s="10" t="s">
        <v>958</v>
      </c>
      <c r="J746" s="12" t="str">
        <f>IF(OR(TED[[#This Row],[SITUACAO]]=1,TED[[#This Row],[SITUACAO]]=9,TED[[#This Row],[SITUACAO]]=18),"ATIVO","AFASTADO")</f>
        <v>ATIVO</v>
      </c>
      <c r="K746" s="12">
        <v>1</v>
      </c>
    </row>
    <row r="747" spans="1:11" x14ac:dyDescent="0.25">
      <c r="A747" s="10">
        <v>18205</v>
      </c>
      <c r="B747" s="9" t="s">
        <v>1159</v>
      </c>
      <c r="C747" s="12" t="str">
        <f>IFERROR(VLOOKUP(TED[[#This Row],[CENTRO]],'CENTRO DE CUSTO'!B:E,4,FALSE)," ")</f>
        <v>EDER</v>
      </c>
      <c r="D747" s="12">
        <v>96</v>
      </c>
      <c r="E747" s="16">
        <v>96000</v>
      </c>
      <c r="F747" s="10" t="s">
        <v>1901</v>
      </c>
      <c r="G747" s="10">
        <v>220</v>
      </c>
      <c r="H747" s="11">
        <v>44558</v>
      </c>
      <c r="I747" s="10" t="s">
        <v>958</v>
      </c>
      <c r="J747" s="12" t="str">
        <f>IF(OR(TED[[#This Row],[SITUACAO]]=1,TED[[#This Row],[SITUACAO]]=9,TED[[#This Row],[SITUACAO]]=18),"ATIVO","AFASTADO")</f>
        <v>ATIVO</v>
      </c>
      <c r="K747" s="12">
        <v>1</v>
      </c>
    </row>
    <row r="748" spans="1:11" x14ac:dyDescent="0.25">
      <c r="A748" s="10">
        <v>45421</v>
      </c>
      <c r="B748" s="9" t="s">
        <v>2226</v>
      </c>
      <c r="C748" s="12" t="str">
        <f>IFERROR(VLOOKUP(TED[[#This Row],[CENTRO]],'CENTRO DE CUSTO'!B:E,4,FALSE)," ")</f>
        <v>EDER</v>
      </c>
      <c r="D748" s="12">
        <v>96</v>
      </c>
      <c r="E748" s="16">
        <v>96000</v>
      </c>
      <c r="F748" s="10" t="s">
        <v>1901</v>
      </c>
      <c r="G748" s="10">
        <v>220</v>
      </c>
      <c r="H748" s="11">
        <v>46147</v>
      </c>
      <c r="I748" s="10" t="s">
        <v>958</v>
      </c>
      <c r="J748" s="12" t="str">
        <f>IF(OR(TED[[#This Row],[SITUACAO]]=1,TED[[#This Row],[SITUACAO]]=9,TED[[#This Row],[SITUACAO]]=18),"ATIVO","AFASTADO")</f>
        <v>ATIVO</v>
      </c>
      <c r="K748" s="12">
        <v>1</v>
      </c>
    </row>
    <row r="749" spans="1:11" x14ac:dyDescent="0.25">
      <c r="A749" s="10">
        <v>37323</v>
      </c>
      <c r="B749" s="9" t="s">
        <v>1169</v>
      </c>
      <c r="C749" s="12" t="str">
        <f>IFERROR(VLOOKUP(TED[[#This Row],[CENTRO]],'CENTRO DE CUSTO'!B:E,4,FALSE)," ")</f>
        <v>EDER</v>
      </c>
      <c r="D749" s="12">
        <v>96</v>
      </c>
      <c r="E749" s="16">
        <v>96000</v>
      </c>
      <c r="F749" s="10" t="s">
        <v>1901</v>
      </c>
      <c r="G749" s="10">
        <v>220</v>
      </c>
      <c r="H749" s="11">
        <v>45714</v>
      </c>
      <c r="I749" s="10" t="s">
        <v>958</v>
      </c>
      <c r="J749" s="12" t="str">
        <f>IF(OR(TED[[#This Row],[SITUACAO]]=1,TED[[#This Row],[SITUACAO]]=9,TED[[#This Row],[SITUACAO]]=18),"ATIVO","AFASTADO")</f>
        <v>ATIVO</v>
      </c>
      <c r="K749" s="12">
        <v>1</v>
      </c>
    </row>
    <row r="750" spans="1:11" x14ac:dyDescent="0.25">
      <c r="A750" s="10">
        <v>41244</v>
      </c>
      <c r="B750" s="9" t="s">
        <v>1151</v>
      </c>
      <c r="C750" s="12" t="str">
        <f>IFERROR(VLOOKUP(TED[[#This Row],[CENTRO]],'CENTRO DE CUSTO'!B:E,4,FALSE)," ")</f>
        <v>EDER</v>
      </c>
      <c r="D750" s="12">
        <v>96</v>
      </c>
      <c r="E750" s="16">
        <v>96000</v>
      </c>
      <c r="F750" s="10" t="s">
        <v>1901</v>
      </c>
      <c r="G750" s="10">
        <v>220</v>
      </c>
      <c r="H750" s="11">
        <v>45920</v>
      </c>
      <c r="I750" s="10" t="s">
        <v>958</v>
      </c>
      <c r="J750" s="12" t="str">
        <f>IF(OR(TED[[#This Row],[SITUACAO]]=1,TED[[#This Row],[SITUACAO]]=9,TED[[#This Row],[SITUACAO]]=18),"ATIVO","AFASTADO")</f>
        <v>ATIVO</v>
      </c>
      <c r="K750" s="12">
        <v>1</v>
      </c>
    </row>
    <row r="751" spans="1:11" x14ac:dyDescent="0.25">
      <c r="A751" s="10">
        <v>17972</v>
      </c>
      <c r="B751" s="9" t="s">
        <v>1139</v>
      </c>
      <c r="C751" s="12" t="str">
        <f>IFERROR(VLOOKUP(TED[[#This Row],[CENTRO]],'CENTRO DE CUSTO'!B:E,4,FALSE)," ")</f>
        <v>EDER</v>
      </c>
      <c r="D751" s="12">
        <v>96</v>
      </c>
      <c r="E751" s="16">
        <v>96000</v>
      </c>
      <c r="F751" s="10" t="s">
        <v>1901</v>
      </c>
      <c r="G751" s="10">
        <v>220</v>
      </c>
      <c r="H751" s="11">
        <v>44504</v>
      </c>
      <c r="I751" s="10" t="s">
        <v>934</v>
      </c>
      <c r="J751" s="12" t="str">
        <f>IF(OR(TED[[#This Row],[SITUACAO]]=1,TED[[#This Row],[SITUACAO]]=9,TED[[#This Row],[SITUACAO]]=18),"ATIVO","AFASTADO")</f>
        <v>ATIVO</v>
      </c>
      <c r="K751" s="12">
        <v>1</v>
      </c>
    </row>
    <row r="752" spans="1:11" x14ac:dyDescent="0.25">
      <c r="A752" s="10">
        <v>34622</v>
      </c>
      <c r="B752" s="9" t="s">
        <v>1163</v>
      </c>
      <c r="C752" s="12" t="str">
        <f>IFERROR(VLOOKUP(TED[[#This Row],[CENTRO]],'CENTRO DE CUSTO'!B:E,4,FALSE)," ")</f>
        <v>EDER</v>
      </c>
      <c r="D752" s="12">
        <v>96</v>
      </c>
      <c r="E752" s="16">
        <v>96000</v>
      </c>
      <c r="F752" s="10" t="s">
        <v>1901</v>
      </c>
      <c r="G752" s="10">
        <v>220</v>
      </c>
      <c r="H752" s="11">
        <v>45610</v>
      </c>
      <c r="I752" s="10" t="s">
        <v>958</v>
      </c>
      <c r="J752" s="12" t="str">
        <f>IF(OR(TED[[#This Row],[SITUACAO]]=1,TED[[#This Row],[SITUACAO]]=9,TED[[#This Row],[SITUACAO]]=18),"ATIVO","AFASTADO")</f>
        <v>ATIVO</v>
      </c>
      <c r="K752" s="12">
        <v>1</v>
      </c>
    </row>
    <row r="753" spans="1:11" x14ac:dyDescent="0.25">
      <c r="A753" s="10">
        <v>13500</v>
      </c>
      <c r="B753" s="9" t="s">
        <v>1173</v>
      </c>
      <c r="C753" s="12" t="str">
        <f>IFERROR(VLOOKUP(TED[[#This Row],[CENTRO]],'CENTRO DE CUSTO'!B:E,4,FALSE)," ")</f>
        <v>EDER</v>
      </c>
      <c r="D753" s="12">
        <v>96</v>
      </c>
      <c r="E753" s="16">
        <v>96000</v>
      </c>
      <c r="F753" s="10" t="s">
        <v>1901</v>
      </c>
      <c r="G753" s="10">
        <v>220</v>
      </c>
      <c r="H753" s="11">
        <v>43734</v>
      </c>
      <c r="I753" s="10" t="s">
        <v>934</v>
      </c>
      <c r="J753" s="12" t="str">
        <f>IF(OR(TED[[#This Row],[SITUACAO]]=1,TED[[#This Row],[SITUACAO]]=9,TED[[#This Row],[SITUACAO]]=18),"ATIVO","AFASTADO")</f>
        <v>ATIVO</v>
      </c>
      <c r="K753" s="12">
        <v>1</v>
      </c>
    </row>
    <row r="754" spans="1:11" x14ac:dyDescent="0.25">
      <c r="A754" s="10">
        <v>6523</v>
      </c>
      <c r="B754" s="9" t="s">
        <v>1148</v>
      </c>
      <c r="C754" s="12" t="str">
        <f>IFERROR(VLOOKUP(TED[[#This Row],[CENTRO]],'CENTRO DE CUSTO'!B:E,4,FALSE)," ")</f>
        <v>EDER</v>
      </c>
      <c r="D754" s="12">
        <v>96</v>
      </c>
      <c r="E754" s="16">
        <v>96000</v>
      </c>
      <c r="F754" s="10" t="s">
        <v>1901</v>
      </c>
      <c r="G754" s="10">
        <v>220</v>
      </c>
      <c r="H754" s="11">
        <v>42332</v>
      </c>
      <c r="I754" s="10" t="s">
        <v>612</v>
      </c>
      <c r="J754" s="12" t="str">
        <f>IF(OR(TED[[#This Row],[SITUACAO]]=1,TED[[#This Row],[SITUACAO]]=9,TED[[#This Row],[SITUACAO]]=18),"ATIVO","AFASTADO")</f>
        <v>ATIVO</v>
      </c>
      <c r="K754" s="12">
        <v>1</v>
      </c>
    </row>
    <row r="755" spans="1:11" x14ac:dyDescent="0.25">
      <c r="A755" s="10">
        <v>6614</v>
      </c>
      <c r="B755" s="9" t="s">
        <v>1130</v>
      </c>
      <c r="C755" s="12" t="str">
        <f>IFERROR(VLOOKUP(TED[[#This Row],[CENTRO]],'CENTRO DE CUSTO'!B:E,4,FALSE)," ")</f>
        <v>EDER</v>
      </c>
      <c r="D755" s="12">
        <v>96</v>
      </c>
      <c r="E755" s="16">
        <v>96000</v>
      </c>
      <c r="F755" s="10" t="s">
        <v>1901</v>
      </c>
      <c r="G755" s="10">
        <v>220</v>
      </c>
      <c r="H755" s="11">
        <v>42332</v>
      </c>
      <c r="I755" s="10" t="s">
        <v>958</v>
      </c>
      <c r="J755" s="12" t="str">
        <f>IF(OR(TED[[#This Row],[SITUACAO]]=1,TED[[#This Row],[SITUACAO]]=9,TED[[#This Row],[SITUACAO]]=18),"ATIVO","AFASTADO")</f>
        <v>ATIVO</v>
      </c>
      <c r="K755" s="12">
        <v>1</v>
      </c>
    </row>
    <row r="756" spans="1:11" x14ac:dyDescent="0.25">
      <c r="A756" s="10">
        <v>11062</v>
      </c>
      <c r="B756" s="9" t="s">
        <v>1170</v>
      </c>
      <c r="C756" s="12" t="str">
        <f>IFERROR(VLOOKUP(TED[[#This Row],[CENTRO]],'CENTRO DE CUSTO'!B:E,4,FALSE)," ")</f>
        <v>EDER</v>
      </c>
      <c r="D756" s="12">
        <v>96</v>
      </c>
      <c r="E756" s="16">
        <v>96000</v>
      </c>
      <c r="F756" s="10" t="s">
        <v>1901</v>
      </c>
      <c r="G756" s="10">
        <v>220</v>
      </c>
      <c r="H756" s="11">
        <v>43346</v>
      </c>
      <c r="I756" s="10" t="s">
        <v>934</v>
      </c>
      <c r="J756" s="12" t="str">
        <f>IF(OR(TED[[#This Row],[SITUACAO]]=1,TED[[#This Row],[SITUACAO]]=9,TED[[#This Row],[SITUACAO]]=18),"ATIVO","AFASTADO")</f>
        <v>ATIVO</v>
      </c>
      <c r="K756" s="12">
        <v>1</v>
      </c>
    </row>
    <row r="757" spans="1:11" x14ac:dyDescent="0.25">
      <c r="A757" s="10">
        <v>18003</v>
      </c>
      <c r="B757" s="9" t="s">
        <v>1143</v>
      </c>
      <c r="C757" s="12" t="str">
        <f>IFERROR(VLOOKUP(TED[[#This Row],[CENTRO]],'CENTRO DE CUSTO'!B:E,4,FALSE)," ")</f>
        <v>EDER</v>
      </c>
      <c r="D757" s="12">
        <v>96</v>
      </c>
      <c r="E757" s="16">
        <v>96000</v>
      </c>
      <c r="F757" s="10" t="s">
        <v>1901</v>
      </c>
      <c r="G757" s="10">
        <v>220</v>
      </c>
      <c r="H757" s="11">
        <v>44503</v>
      </c>
      <c r="I757" s="10" t="s">
        <v>934</v>
      </c>
      <c r="J757" s="12" t="str">
        <f>IF(OR(TED[[#This Row],[SITUACAO]]=1,TED[[#This Row],[SITUACAO]]=9,TED[[#This Row],[SITUACAO]]=18),"ATIVO","AFASTADO")</f>
        <v>ATIVO</v>
      </c>
      <c r="K757" s="12">
        <v>1</v>
      </c>
    </row>
    <row r="758" spans="1:11" x14ac:dyDescent="0.25">
      <c r="A758" s="10">
        <v>23117</v>
      </c>
      <c r="B758" s="9" t="s">
        <v>1136</v>
      </c>
      <c r="C758" s="12" t="str">
        <f>IFERROR(VLOOKUP(TED[[#This Row],[CENTRO]],'CENTRO DE CUSTO'!B:E,4,FALSE)," ")</f>
        <v>EDER</v>
      </c>
      <c r="D758" s="12">
        <v>96</v>
      </c>
      <c r="E758" s="16">
        <v>96000</v>
      </c>
      <c r="F758" s="10" t="s">
        <v>1901</v>
      </c>
      <c r="G758" s="10">
        <v>220</v>
      </c>
      <c r="H758" s="11">
        <v>44830</v>
      </c>
      <c r="I758" s="10" t="s">
        <v>958</v>
      </c>
      <c r="J758" s="12" t="str">
        <f>IF(OR(TED[[#This Row],[SITUACAO]]=1,TED[[#This Row],[SITUACAO]]=9,TED[[#This Row],[SITUACAO]]=18),"ATIVO","AFASTADO")</f>
        <v>ATIVO</v>
      </c>
      <c r="K758" s="12">
        <v>9</v>
      </c>
    </row>
    <row r="759" spans="1:11" x14ac:dyDescent="0.25">
      <c r="A759" s="10">
        <v>17781</v>
      </c>
      <c r="B759" s="9" t="s">
        <v>1160</v>
      </c>
      <c r="C759" s="12" t="str">
        <f>IFERROR(VLOOKUP(TED[[#This Row],[CENTRO]],'CENTRO DE CUSTO'!B:E,4,FALSE)," ")</f>
        <v>EDER</v>
      </c>
      <c r="D759" s="12">
        <v>96</v>
      </c>
      <c r="E759" s="16">
        <v>96000</v>
      </c>
      <c r="F759" s="10" t="s">
        <v>1901</v>
      </c>
      <c r="G759" s="10">
        <v>220</v>
      </c>
      <c r="H759" s="11">
        <v>44484</v>
      </c>
      <c r="I759" s="10" t="s">
        <v>958</v>
      </c>
      <c r="J759" s="12" t="str">
        <f>IF(OR(TED[[#This Row],[SITUACAO]]=1,TED[[#This Row],[SITUACAO]]=9,TED[[#This Row],[SITUACAO]]=18),"ATIVO","AFASTADO")</f>
        <v>ATIVO</v>
      </c>
      <c r="K759" s="12">
        <v>1</v>
      </c>
    </row>
    <row r="760" spans="1:11" x14ac:dyDescent="0.25">
      <c r="A760" s="10">
        <v>12380</v>
      </c>
      <c r="B760" s="9" t="s">
        <v>1140</v>
      </c>
      <c r="C760" s="12" t="str">
        <f>IFERROR(VLOOKUP(TED[[#This Row],[CENTRO]],'CENTRO DE CUSTO'!B:E,4,FALSE)," ")</f>
        <v>EDER</v>
      </c>
      <c r="D760" s="12">
        <v>96</v>
      </c>
      <c r="E760" s="16">
        <v>96000</v>
      </c>
      <c r="F760" s="10" t="s">
        <v>1901</v>
      </c>
      <c r="G760" s="10">
        <v>220</v>
      </c>
      <c r="H760" s="11">
        <v>43550</v>
      </c>
      <c r="I760" s="10" t="s">
        <v>958</v>
      </c>
      <c r="J760" s="12" t="str">
        <f>IF(OR(TED[[#This Row],[SITUACAO]]=1,TED[[#This Row],[SITUACAO]]=9,TED[[#This Row],[SITUACAO]]=18),"ATIVO","AFASTADO")</f>
        <v>ATIVO</v>
      </c>
      <c r="K760" s="12">
        <v>1</v>
      </c>
    </row>
    <row r="761" spans="1:11" x14ac:dyDescent="0.25">
      <c r="A761" s="10">
        <v>15877</v>
      </c>
      <c r="B761" s="9" t="s">
        <v>1167</v>
      </c>
      <c r="C761" s="12" t="str">
        <f>IFERROR(VLOOKUP(TED[[#This Row],[CENTRO]],'CENTRO DE CUSTO'!B:E,4,FALSE)," ")</f>
        <v>EDER</v>
      </c>
      <c r="D761" s="12">
        <v>96</v>
      </c>
      <c r="E761" s="16">
        <v>96000</v>
      </c>
      <c r="F761" s="10" t="s">
        <v>1901</v>
      </c>
      <c r="G761" s="10">
        <v>220</v>
      </c>
      <c r="H761" s="11">
        <v>44273</v>
      </c>
      <c r="I761" s="10" t="s">
        <v>958</v>
      </c>
      <c r="J761" s="12" t="str">
        <f>IF(OR(TED[[#This Row],[SITUACAO]]=1,TED[[#This Row],[SITUACAO]]=9,TED[[#This Row],[SITUACAO]]=18),"ATIVO","AFASTADO")</f>
        <v>ATIVO</v>
      </c>
      <c r="K761" s="12">
        <v>1</v>
      </c>
    </row>
    <row r="762" spans="1:11" x14ac:dyDescent="0.25">
      <c r="A762" s="10">
        <v>37816</v>
      </c>
      <c r="B762" s="9" t="s">
        <v>1141</v>
      </c>
      <c r="C762" s="12" t="str">
        <f>IFERROR(VLOOKUP(TED[[#This Row],[CENTRO]],'CENTRO DE CUSTO'!B:E,4,FALSE)," ")</f>
        <v>EDER</v>
      </c>
      <c r="D762" s="12">
        <v>96</v>
      </c>
      <c r="E762" s="16">
        <v>96000</v>
      </c>
      <c r="F762" s="10" t="s">
        <v>1901</v>
      </c>
      <c r="G762" s="10">
        <v>220</v>
      </c>
      <c r="H762" s="11">
        <v>45736</v>
      </c>
      <c r="I762" s="10" t="s">
        <v>958</v>
      </c>
      <c r="J762" s="12" t="str">
        <f>IF(OR(TED[[#This Row],[SITUACAO]]=1,TED[[#This Row],[SITUACAO]]=9,TED[[#This Row],[SITUACAO]]=18),"ATIVO","AFASTADO")</f>
        <v>ATIVO</v>
      </c>
      <c r="K762" s="12">
        <v>1</v>
      </c>
    </row>
    <row r="763" spans="1:11" x14ac:dyDescent="0.25">
      <c r="A763" s="10">
        <v>6513</v>
      </c>
      <c r="B763" s="9" t="s">
        <v>987</v>
      </c>
      <c r="C763" s="12" t="str">
        <f>IFERROR(VLOOKUP(TED[[#This Row],[CENTRO]],'CENTRO DE CUSTO'!B:E,4,FALSE)," ")</f>
        <v>EDER</v>
      </c>
      <c r="D763" s="12">
        <v>96</v>
      </c>
      <c r="E763" s="16">
        <v>96000</v>
      </c>
      <c r="F763" s="10" t="s">
        <v>1901</v>
      </c>
      <c r="G763" s="10">
        <v>220</v>
      </c>
      <c r="H763" s="11">
        <v>42332</v>
      </c>
      <c r="I763" s="10" t="s">
        <v>958</v>
      </c>
      <c r="J763" s="12" t="str">
        <f>IF(OR(TED[[#This Row],[SITUACAO]]=1,TED[[#This Row],[SITUACAO]]=9,TED[[#This Row],[SITUACAO]]=18),"ATIVO","AFASTADO")</f>
        <v>ATIVO</v>
      </c>
      <c r="K763" s="12">
        <v>1</v>
      </c>
    </row>
    <row r="764" spans="1:11" x14ac:dyDescent="0.25">
      <c r="A764" s="10">
        <v>33231</v>
      </c>
      <c r="B764" s="9" t="s">
        <v>1168</v>
      </c>
      <c r="C764" s="12" t="str">
        <f>IFERROR(VLOOKUP(TED[[#This Row],[CENTRO]],'CENTRO DE CUSTO'!B:E,4,FALSE)," ")</f>
        <v>EDER</v>
      </c>
      <c r="D764" s="12">
        <v>96</v>
      </c>
      <c r="E764" s="16">
        <v>96000</v>
      </c>
      <c r="F764" s="10" t="s">
        <v>1901</v>
      </c>
      <c r="G764" s="10">
        <v>220</v>
      </c>
      <c r="H764" s="11">
        <v>45488</v>
      </c>
      <c r="I764" s="10" t="s">
        <v>934</v>
      </c>
      <c r="J764" s="12" t="str">
        <f>IF(OR(TED[[#This Row],[SITUACAO]]=1,TED[[#This Row],[SITUACAO]]=9,TED[[#This Row],[SITUACAO]]=18),"ATIVO","AFASTADO")</f>
        <v>ATIVO</v>
      </c>
      <c r="K764" s="12">
        <v>1</v>
      </c>
    </row>
    <row r="765" spans="1:11" x14ac:dyDescent="0.25">
      <c r="A765" s="10">
        <v>11359</v>
      </c>
      <c r="B765" s="9" t="s">
        <v>1137</v>
      </c>
      <c r="C765" s="12" t="str">
        <f>IFERROR(VLOOKUP(TED[[#This Row],[CENTRO]],'CENTRO DE CUSTO'!B:E,4,FALSE)," ")</f>
        <v>EDER</v>
      </c>
      <c r="D765" s="12">
        <v>96</v>
      </c>
      <c r="E765" s="16">
        <v>96000</v>
      </c>
      <c r="F765" s="10" t="s">
        <v>1901</v>
      </c>
      <c r="G765" s="10">
        <v>220</v>
      </c>
      <c r="H765" s="11">
        <v>43384</v>
      </c>
      <c r="I765" s="10" t="s">
        <v>934</v>
      </c>
      <c r="J765" s="12" t="str">
        <f>IF(OR(TED[[#This Row],[SITUACAO]]=1,TED[[#This Row],[SITUACAO]]=9,TED[[#This Row],[SITUACAO]]=18),"ATIVO","AFASTADO")</f>
        <v>ATIVO</v>
      </c>
      <c r="K765" s="12">
        <v>1</v>
      </c>
    </row>
    <row r="766" spans="1:11" x14ac:dyDescent="0.25">
      <c r="A766" s="10">
        <v>15328</v>
      </c>
      <c r="B766" s="9" t="s">
        <v>1161</v>
      </c>
      <c r="C766" s="12" t="str">
        <f>IFERROR(VLOOKUP(TED[[#This Row],[CENTRO]],'CENTRO DE CUSTO'!B:E,4,FALSE)," ")</f>
        <v>EDER</v>
      </c>
      <c r="D766" s="12">
        <v>96</v>
      </c>
      <c r="E766" s="16">
        <v>96000</v>
      </c>
      <c r="F766" s="10" t="s">
        <v>1901</v>
      </c>
      <c r="G766" s="10">
        <v>220</v>
      </c>
      <c r="H766" s="11">
        <v>44245</v>
      </c>
      <c r="I766" s="10" t="s">
        <v>958</v>
      </c>
      <c r="J766" s="12" t="str">
        <f>IF(OR(TED[[#This Row],[SITUACAO]]=1,TED[[#This Row],[SITUACAO]]=9,TED[[#This Row],[SITUACAO]]=18),"ATIVO","AFASTADO")</f>
        <v>ATIVO</v>
      </c>
      <c r="K766" s="12">
        <v>1</v>
      </c>
    </row>
    <row r="767" spans="1:11" x14ac:dyDescent="0.25">
      <c r="A767" s="10">
        <v>28088</v>
      </c>
      <c r="B767" s="9" t="s">
        <v>983</v>
      </c>
      <c r="C767" s="12" t="str">
        <f>IFERROR(VLOOKUP(TED[[#This Row],[CENTRO]],'CENTRO DE CUSTO'!B:E,4,FALSE)," ")</f>
        <v>EDER</v>
      </c>
      <c r="D767" s="12">
        <v>96</v>
      </c>
      <c r="E767" s="16">
        <v>96000</v>
      </c>
      <c r="F767" s="10" t="s">
        <v>1901</v>
      </c>
      <c r="G767" s="10">
        <v>220</v>
      </c>
      <c r="H767" s="11">
        <v>45141</v>
      </c>
      <c r="I767" s="10" t="s">
        <v>958</v>
      </c>
      <c r="J767" s="12" t="str">
        <f>IF(OR(TED[[#This Row],[SITUACAO]]=1,TED[[#This Row],[SITUACAO]]=9,TED[[#This Row],[SITUACAO]]=18),"ATIVO","AFASTADO")</f>
        <v>ATIVO</v>
      </c>
      <c r="K767" s="12">
        <v>1</v>
      </c>
    </row>
    <row r="768" spans="1:11" x14ac:dyDescent="0.25">
      <c r="A768" s="10">
        <v>6518</v>
      </c>
      <c r="B768" s="9" t="s">
        <v>982</v>
      </c>
      <c r="C768" s="12" t="str">
        <f>IFERROR(VLOOKUP(TED[[#This Row],[CENTRO]],'CENTRO DE CUSTO'!B:E,4,FALSE)," ")</f>
        <v>EDER</v>
      </c>
      <c r="D768" s="12">
        <v>96</v>
      </c>
      <c r="E768" s="16">
        <v>96000</v>
      </c>
      <c r="F768" s="10" t="s">
        <v>1901</v>
      </c>
      <c r="G768" s="10">
        <v>220</v>
      </c>
      <c r="H768" s="11">
        <v>42332</v>
      </c>
      <c r="I768" s="10" t="s">
        <v>958</v>
      </c>
      <c r="J768" s="12" t="str">
        <f>IF(OR(TED[[#This Row],[SITUACAO]]=1,TED[[#This Row],[SITUACAO]]=9,TED[[#This Row],[SITUACAO]]=18),"ATIVO","AFASTADO")</f>
        <v>ATIVO</v>
      </c>
      <c r="K768" s="12">
        <v>1</v>
      </c>
    </row>
    <row r="769" spans="1:11" x14ac:dyDescent="0.25">
      <c r="A769" s="10">
        <v>13661</v>
      </c>
      <c r="B769" s="9" t="s">
        <v>981</v>
      </c>
      <c r="C769" s="12" t="str">
        <f>IFERROR(VLOOKUP(TED[[#This Row],[CENTRO]],'CENTRO DE CUSTO'!B:E,4,FALSE)," ")</f>
        <v>EDER</v>
      </c>
      <c r="D769" s="12">
        <v>96</v>
      </c>
      <c r="E769" s="16">
        <v>96000</v>
      </c>
      <c r="F769" s="10" t="s">
        <v>1901</v>
      </c>
      <c r="G769" s="10">
        <v>220</v>
      </c>
      <c r="H769" s="11">
        <v>43775</v>
      </c>
      <c r="I769" s="10" t="s">
        <v>958</v>
      </c>
      <c r="J769" s="12" t="str">
        <f>IF(OR(TED[[#This Row],[SITUACAO]]=1,TED[[#This Row],[SITUACAO]]=9,TED[[#This Row],[SITUACAO]]=18),"ATIVO","AFASTADO")</f>
        <v>ATIVO</v>
      </c>
      <c r="K769" s="12">
        <v>1</v>
      </c>
    </row>
    <row r="770" spans="1:11" x14ac:dyDescent="0.25">
      <c r="A770" s="10">
        <v>25011</v>
      </c>
      <c r="B770" s="9" t="s">
        <v>1147</v>
      </c>
      <c r="C770" s="12" t="str">
        <f>IFERROR(VLOOKUP(TED[[#This Row],[CENTRO]],'CENTRO DE CUSTO'!B:E,4,FALSE)," ")</f>
        <v>EDER</v>
      </c>
      <c r="D770" s="12">
        <v>96</v>
      </c>
      <c r="E770" s="16">
        <v>96000</v>
      </c>
      <c r="F770" s="10" t="s">
        <v>1901</v>
      </c>
      <c r="G770" s="10">
        <v>220</v>
      </c>
      <c r="H770" s="11">
        <v>44953</v>
      </c>
      <c r="I770" s="10" t="s">
        <v>958</v>
      </c>
      <c r="J770" s="12" t="str">
        <f>IF(OR(TED[[#This Row],[SITUACAO]]=1,TED[[#This Row],[SITUACAO]]=9,TED[[#This Row],[SITUACAO]]=18),"ATIVO","AFASTADO")</f>
        <v>ATIVO</v>
      </c>
      <c r="K770" s="12">
        <v>1</v>
      </c>
    </row>
    <row r="771" spans="1:11" x14ac:dyDescent="0.25">
      <c r="A771" s="10">
        <v>29778</v>
      </c>
      <c r="B771" s="9" t="s">
        <v>1146</v>
      </c>
      <c r="C771" s="12" t="str">
        <f>IFERROR(VLOOKUP(TED[[#This Row],[CENTRO]],'CENTRO DE CUSTO'!B:E,4,FALSE)," ")</f>
        <v>EDER</v>
      </c>
      <c r="D771" s="12">
        <v>96</v>
      </c>
      <c r="E771" s="16">
        <v>96000</v>
      </c>
      <c r="F771" s="10" t="s">
        <v>1901</v>
      </c>
      <c r="G771" s="10">
        <v>220</v>
      </c>
      <c r="H771" s="11">
        <v>45309</v>
      </c>
      <c r="I771" s="10" t="s">
        <v>958</v>
      </c>
      <c r="J771" s="12" t="str">
        <f>IF(OR(TED[[#This Row],[SITUACAO]]=1,TED[[#This Row],[SITUACAO]]=9,TED[[#This Row],[SITUACAO]]=18),"ATIVO","AFASTADO")</f>
        <v>AFASTADO</v>
      </c>
      <c r="K771" s="12">
        <v>12</v>
      </c>
    </row>
    <row r="772" spans="1:11" x14ac:dyDescent="0.25">
      <c r="A772" s="10">
        <v>29258</v>
      </c>
      <c r="B772" s="9" t="s">
        <v>1135</v>
      </c>
      <c r="C772" s="12" t="str">
        <f>IFERROR(VLOOKUP(TED[[#This Row],[CENTRO]],'CENTRO DE CUSTO'!B:E,4,FALSE)," ")</f>
        <v>EDER</v>
      </c>
      <c r="D772" s="12">
        <v>96</v>
      </c>
      <c r="E772" s="16">
        <v>96000</v>
      </c>
      <c r="F772" s="10" t="s">
        <v>1901</v>
      </c>
      <c r="G772" s="10">
        <v>220</v>
      </c>
      <c r="H772" s="11">
        <v>45246</v>
      </c>
      <c r="I772" s="10" t="s">
        <v>958</v>
      </c>
      <c r="J772" s="12" t="str">
        <f>IF(OR(TED[[#This Row],[SITUACAO]]=1,TED[[#This Row],[SITUACAO]]=9,TED[[#This Row],[SITUACAO]]=18),"ATIVO","AFASTADO")</f>
        <v>ATIVO</v>
      </c>
      <c r="K772" s="12">
        <v>1</v>
      </c>
    </row>
    <row r="773" spans="1:11" x14ac:dyDescent="0.25">
      <c r="A773" s="10">
        <v>38396</v>
      </c>
      <c r="B773" s="9" t="s">
        <v>1131</v>
      </c>
      <c r="C773" s="12" t="str">
        <f>IFERROR(VLOOKUP(TED[[#This Row],[CENTRO]],'CENTRO DE CUSTO'!B:E,4,FALSE)," ")</f>
        <v>EDER</v>
      </c>
      <c r="D773" s="12">
        <v>96</v>
      </c>
      <c r="E773" s="16">
        <v>96000</v>
      </c>
      <c r="F773" s="10" t="s">
        <v>1901</v>
      </c>
      <c r="G773" s="10">
        <v>220</v>
      </c>
      <c r="H773" s="11">
        <v>45765</v>
      </c>
      <c r="I773" s="10" t="s">
        <v>958</v>
      </c>
      <c r="J773" s="12" t="str">
        <f>IF(OR(TED[[#This Row],[SITUACAO]]=1,TED[[#This Row],[SITUACAO]]=9,TED[[#This Row],[SITUACAO]]=18),"ATIVO","AFASTADO")</f>
        <v>ATIVO</v>
      </c>
      <c r="K773" s="12">
        <v>1</v>
      </c>
    </row>
    <row r="774" spans="1:11" x14ac:dyDescent="0.25">
      <c r="A774" s="10">
        <v>9902</v>
      </c>
      <c r="B774" s="9" t="s">
        <v>1138</v>
      </c>
      <c r="C774" s="12" t="str">
        <f>IFERROR(VLOOKUP(TED[[#This Row],[CENTRO]],'CENTRO DE CUSTO'!B:E,4,FALSE)," ")</f>
        <v>EDER</v>
      </c>
      <c r="D774" s="12">
        <v>96</v>
      </c>
      <c r="E774" s="16">
        <v>96000</v>
      </c>
      <c r="F774" s="10" t="s">
        <v>1901</v>
      </c>
      <c r="G774" s="10">
        <v>220</v>
      </c>
      <c r="H774" s="11">
        <v>43108</v>
      </c>
      <c r="I774" s="10" t="s">
        <v>958</v>
      </c>
      <c r="J774" s="12" t="str">
        <f>IF(OR(TED[[#This Row],[SITUACAO]]=1,TED[[#This Row],[SITUACAO]]=9,TED[[#This Row],[SITUACAO]]=18),"ATIVO","AFASTADO")</f>
        <v>ATIVO</v>
      </c>
      <c r="K774" s="12">
        <v>1</v>
      </c>
    </row>
    <row r="775" spans="1:11" x14ac:dyDescent="0.25">
      <c r="A775" s="10">
        <v>18532</v>
      </c>
      <c r="B775" s="9" t="s">
        <v>1158</v>
      </c>
      <c r="C775" s="12" t="str">
        <f>IFERROR(VLOOKUP(TED[[#This Row],[CENTRO]],'CENTRO DE CUSTO'!B:E,4,FALSE)," ")</f>
        <v>EDER</v>
      </c>
      <c r="D775" s="12">
        <v>96</v>
      </c>
      <c r="E775" s="16">
        <v>96000</v>
      </c>
      <c r="F775" s="10" t="s">
        <v>1901</v>
      </c>
      <c r="G775" s="10">
        <v>220</v>
      </c>
      <c r="H775" s="11">
        <v>44578</v>
      </c>
      <c r="I775" s="10" t="s">
        <v>934</v>
      </c>
      <c r="J775" s="12" t="str">
        <f>IF(OR(TED[[#This Row],[SITUACAO]]=1,TED[[#This Row],[SITUACAO]]=9,TED[[#This Row],[SITUACAO]]=18),"ATIVO","AFASTADO")</f>
        <v>ATIVO</v>
      </c>
      <c r="K775" s="12">
        <v>1</v>
      </c>
    </row>
    <row r="776" spans="1:11" x14ac:dyDescent="0.25">
      <c r="A776" s="10">
        <v>6613</v>
      </c>
      <c r="B776" s="9" t="s">
        <v>964</v>
      </c>
      <c r="C776" s="12" t="str">
        <f>IFERROR(VLOOKUP(TED[[#This Row],[CENTRO]],'CENTRO DE CUSTO'!B:E,4,FALSE)," ")</f>
        <v>EDER</v>
      </c>
      <c r="D776" s="12">
        <v>96</v>
      </c>
      <c r="E776" s="16">
        <v>96000</v>
      </c>
      <c r="F776" s="10" t="s">
        <v>1901</v>
      </c>
      <c r="G776" s="10">
        <v>220</v>
      </c>
      <c r="H776" s="11">
        <v>42332</v>
      </c>
      <c r="I776" s="10" t="s">
        <v>958</v>
      </c>
      <c r="J776" s="12" t="str">
        <f>IF(OR(TED[[#This Row],[SITUACAO]]=1,TED[[#This Row],[SITUACAO]]=9,TED[[#This Row],[SITUACAO]]=18),"ATIVO","AFASTADO")</f>
        <v>ATIVO</v>
      </c>
      <c r="K776" s="12">
        <v>1</v>
      </c>
    </row>
    <row r="777" spans="1:11" x14ac:dyDescent="0.25">
      <c r="A777" s="10">
        <v>6529</v>
      </c>
      <c r="B777" s="9" t="s">
        <v>1154</v>
      </c>
      <c r="C777" s="12" t="str">
        <f>IFERROR(VLOOKUP(TED[[#This Row],[CENTRO]],'CENTRO DE CUSTO'!B:E,4,FALSE)," ")</f>
        <v>EDER</v>
      </c>
      <c r="D777" s="12">
        <v>96</v>
      </c>
      <c r="E777" s="16">
        <v>96000</v>
      </c>
      <c r="F777" s="10" t="s">
        <v>1901</v>
      </c>
      <c r="G777" s="10">
        <v>220</v>
      </c>
      <c r="H777" s="11">
        <v>42332</v>
      </c>
      <c r="I777" s="10" t="s">
        <v>958</v>
      </c>
      <c r="J777" s="12" t="str">
        <f>IF(OR(TED[[#This Row],[SITUACAO]]=1,TED[[#This Row],[SITUACAO]]=9,TED[[#This Row],[SITUACAO]]=18),"ATIVO","AFASTADO")</f>
        <v>ATIVO</v>
      </c>
      <c r="K777" s="12">
        <v>9</v>
      </c>
    </row>
    <row r="778" spans="1:11" x14ac:dyDescent="0.25">
      <c r="A778" s="10">
        <v>15670</v>
      </c>
      <c r="B778" s="9" t="s">
        <v>1144</v>
      </c>
      <c r="C778" s="12" t="str">
        <f>IFERROR(VLOOKUP(TED[[#This Row],[CENTRO]],'CENTRO DE CUSTO'!B:E,4,FALSE)," ")</f>
        <v>EDER</v>
      </c>
      <c r="D778" s="12">
        <v>96</v>
      </c>
      <c r="E778" s="16">
        <v>96000</v>
      </c>
      <c r="F778" s="10" t="s">
        <v>1901</v>
      </c>
      <c r="G778" s="10">
        <v>220</v>
      </c>
      <c r="H778" s="11">
        <v>44250</v>
      </c>
      <c r="I778" s="10" t="s">
        <v>958</v>
      </c>
      <c r="J778" s="12" t="str">
        <f>IF(OR(TED[[#This Row],[SITUACAO]]=1,TED[[#This Row],[SITUACAO]]=9,TED[[#This Row],[SITUACAO]]=18),"ATIVO","AFASTADO")</f>
        <v>ATIVO</v>
      </c>
      <c r="K778" s="12">
        <v>1</v>
      </c>
    </row>
    <row r="779" spans="1:11" x14ac:dyDescent="0.25">
      <c r="A779" s="10">
        <v>47194</v>
      </c>
      <c r="B779" s="9" t="s">
        <v>2334</v>
      </c>
      <c r="C779" s="12" t="str">
        <f>IFERROR(VLOOKUP(TED[[#This Row],[CENTRO]],'CENTRO DE CUSTO'!B:E,4,FALSE)," ")</f>
        <v>EDER</v>
      </c>
      <c r="D779" s="12">
        <v>96</v>
      </c>
      <c r="E779" s="16">
        <v>96000</v>
      </c>
      <c r="F779" s="10" t="s">
        <v>1901</v>
      </c>
      <c r="G779" s="10">
        <v>220</v>
      </c>
      <c r="H779" s="11">
        <v>46198</v>
      </c>
      <c r="I779" s="10" t="s">
        <v>958</v>
      </c>
      <c r="J779" s="12" t="str">
        <f>IF(OR(TED[[#This Row],[SITUACAO]]=1,TED[[#This Row],[SITUACAO]]=9,TED[[#This Row],[SITUACAO]]=18),"ATIVO","AFASTADO")</f>
        <v>ATIVO</v>
      </c>
      <c r="K779" s="12">
        <v>1</v>
      </c>
    </row>
    <row r="780" spans="1:11" x14ac:dyDescent="0.25">
      <c r="A780" s="10">
        <v>40072</v>
      </c>
      <c r="B780" s="9" t="s">
        <v>1133</v>
      </c>
      <c r="C780" s="12" t="str">
        <f>IFERROR(VLOOKUP(TED[[#This Row],[CENTRO]],'CENTRO DE CUSTO'!B:E,4,FALSE)," ")</f>
        <v>EDER</v>
      </c>
      <c r="D780" s="12">
        <v>96</v>
      </c>
      <c r="E780" s="16">
        <v>96000</v>
      </c>
      <c r="F780" s="10" t="s">
        <v>1901</v>
      </c>
      <c r="G780" s="10">
        <v>220</v>
      </c>
      <c r="H780" s="11">
        <v>45891</v>
      </c>
      <c r="I780" s="10" t="s">
        <v>958</v>
      </c>
      <c r="J780" s="12" t="str">
        <f>IF(OR(TED[[#This Row],[SITUACAO]]=1,TED[[#This Row],[SITUACAO]]=9,TED[[#This Row],[SITUACAO]]=18),"ATIVO","AFASTADO")</f>
        <v>ATIVO</v>
      </c>
      <c r="K780" s="12">
        <v>1</v>
      </c>
    </row>
    <row r="781" spans="1:11" x14ac:dyDescent="0.25">
      <c r="A781" s="10">
        <v>39651</v>
      </c>
      <c r="B781" s="9" t="s">
        <v>1020</v>
      </c>
      <c r="C781" s="12" t="str">
        <f>IFERROR(VLOOKUP(TED[[#This Row],[CENTRO]],'CENTRO DE CUSTO'!B:E,4,FALSE)," ")</f>
        <v>EDER</v>
      </c>
      <c r="D781" s="12">
        <v>96</v>
      </c>
      <c r="E781" s="16">
        <v>96000</v>
      </c>
      <c r="F781" s="10" t="s">
        <v>1901</v>
      </c>
      <c r="G781" s="10">
        <v>220</v>
      </c>
      <c r="H781" s="11">
        <v>45855</v>
      </c>
      <c r="I781" s="10" t="s">
        <v>958</v>
      </c>
      <c r="J781" s="12" t="str">
        <f>IF(OR(TED[[#This Row],[SITUACAO]]=1,TED[[#This Row],[SITUACAO]]=9,TED[[#This Row],[SITUACAO]]=18),"ATIVO","AFASTADO")</f>
        <v>ATIVO</v>
      </c>
      <c r="K781" s="12">
        <v>1</v>
      </c>
    </row>
    <row r="782" spans="1:11" x14ac:dyDescent="0.25">
      <c r="A782" s="10">
        <v>18181</v>
      </c>
      <c r="B782" s="9" t="s">
        <v>1155</v>
      </c>
      <c r="C782" s="12" t="str">
        <f>IFERROR(VLOOKUP(TED[[#This Row],[CENTRO]],'CENTRO DE CUSTO'!B:E,4,FALSE)," ")</f>
        <v>EDER</v>
      </c>
      <c r="D782" s="12">
        <v>96</v>
      </c>
      <c r="E782" s="16">
        <v>96000</v>
      </c>
      <c r="F782" s="10" t="s">
        <v>1901</v>
      </c>
      <c r="G782" s="10">
        <v>220</v>
      </c>
      <c r="H782" s="11">
        <v>44547</v>
      </c>
      <c r="I782" s="10" t="s">
        <v>934</v>
      </c>
      <c r="J782" s="12" t="str">
        <f>IF(OR(TED[[#This Row],[SITUACAO]]=1,TED[[#This Row],[SITUACAO]]=9,TED[[#This Row],[SITUACAO]]=18),"ATIVO","AFASTADO")</f>
        <v>ATIVO</v>
      </c>
      <c r="K782" s="12">
        <v>1</v>
      </c>
    </row>
    <row r="783" spans="1:11" x14ac:dyDescent="0.25">
      <c r="A783" s="10">
        <v>8773</v>
      </c>
      <c r="B783" s="9" t="s">
        <v>1150</v>
      </c>
      <c r="C783" s="12" t="str">
        <f>IFERROR(VLOOKUP(TED[[#This Row],[CENTRO]],'CENTRO DE CUSTO'!B:E,4,FALSE)," ")</f>
        <v>EDER</v>
      </c>
      <c r="D783" s="12">
        <v>96</v>
      </c>
      <c r="E783" s="16">
        <v>96000</v>
      </c>
      <c r="F783" s="10" t="s">
        <v>1901</v>
      </c>
      <c r="G783" s="10">
        <v>220</v>
      </c>
      <c r="H783" s="11">
        <v>42775</v>
      </c>
      <c r="I783" s="10" t="s">
        <v>934</v>
      </c>
      <c r="J783" s="12" t="str">
        <f>IF(OR(TED[[#This Row],[SITUACAO]]=1,TED[[#This Row],[SITUACAO]]=9,TED[[#This Row],[SITUACAO]]=18),"ATIVO","AFASTADO")</f>
        <v>ATIVO</v>
      </c>
      <c r="K783" s="12">
        <v>1</v>
      </c>
    </row>
    <row r="784" spans="1:11" x14ac:dyDescent="0.25">
      <c r="A784" s="10">
        <v>16503</v>
      </c>
      <c r="B784" s="9" t="s">
        <v>1145</v>
      </c>
      <c r="C784" s="12" t="str">
        <f>IFERROR(VLOOKUP(TED[[#This Row],[CENTRO]],'CENTRO DE CUSTO'!B:E,4,FALSE)," ")</f>
        <v>EDER</v>
      </c>
      <c r="D784" s="12">
        <v>96</v>
      </c>
      <c r="E784" s="16">
        <v>96000</v>
      </c>
      <c r="F784" s="10" t="s">
        <v>1901</v>
      </c>
      <c r="G784" s="10">
        <v>220</v>
      </c>
      <c r="H784" s="11">
        <v>44358</v>
      </c>
      <c r="I784" s="10" t="s">
        <v>958</v>
      </c>
      <c r="J784" s="12" t="str">
        <f>IF(OR(TED[[#This Row],[SITUACAO]]=1,TED[[#This Row],[SITUACAO]]=9,TED[[#This Row],[SITUACAO]]=18),"ATIVO","AFASTADO")</f>
        <v>ATIVO</v>
      </c>
      <c r="K784" s="12">
        <v>1</v>
      </c>
    </row>
    <row r="785" spans="1:11" x14ac:dyDescent="0.25">
      <c r="A785" s="10">
        <v>18002</v>
      </c>
      <c r="B785" s="9" t="s">
        <v>1172</v>
      </c>
      <c r="C785" s="12" t="str">
        <f>IFERROR(VLOOKUP(TED[[#This Row],[CENTRO]],'CENTRO DE CUSTO'!B:E,4,FALSE)," ")</f>
        <v>EDER</v>
      </c>
      <c r="D785" s="12">
        <v>96</v>
      </c>
      <c r="E785" s="16">
        <v>96000</v>
      </c>
      <c r="F785" s="10" t="s">
        <v>1901</v>
      </c>
      <c r="G785" s="10">
        <v>220</v>
      </c>
      <c r="H785" s="11">
        <v>44503</v>
      </c>
      <c r="I785" s="10" t="s">
        <v>934</v>
      </c>
      <c r="J785" s="12" t="str">
        <f>IF(OR(TED[[#This Row],[SITUACAO]]=1,TED[[#This Row],[SITUACAO]]=9,TED[[#This Row],[SITUACAO]]=18),"ATIVO","AFASTADO")</f>
        <v>ATIVO</v>
      </c>
      <c r="K785" s="12">
        <v>9</v>
      </c>
    </row>
    <row r="786" spans="1:11" x14ac:dyDescent="0.25">
      <c r="A786" s="10">
        <v>9363</v>
      </c>
      <c r="B786" s="9" t="s">
        <v>1164</v>
      </c>
      <c r="C786" s="12" t="str">
        <f>IFERROR(VLOOKUP(TED[[#This Row],[CENTRO]],'CENTRO DE CUSTO'!B:E,4,FALSE)," ")</f>
        <v>EDER</v>
      </c>
      <c r="D786" s="12">
        <v>96</v>
      </c>
      <c r="E786" s="16">
        <v>96000</v>
      </c>
      <c r="F786" s="10" t="s">
        <v>1901</v>
      </c>
      <c r="G786" s="10">
        <v>220</v>
      </c>
      <c r="H786" s="11">
        <v>42906</v>
      </c>
      <c r="I786" s="10" t="s">
        <v>958</v>
      </c>
      <c r="J786" s="12" t="str">
        <f>IF(OR(TED[[#This Row],[SITUACAO]]=1,TED[[#This Row],[SITUACAO]]=9,TED[[#This Row],[SITUACAO]]=18),"ATIVO","AFASTADO")</f>
        <v>ATIVO</v>
      </c>
      <c r="K786" s="12">
        <v>1</v>
      </c>
    </row>
    <row r="787" spans="1:11" x14ac:dyDescent="0.25">
      <c r="A787" s="10">
        <v>31619</v>
      </c>
      <c r="B787" s="9" t="s">
        <v>1134</v>
      </c>
      <c r="C787" s="12" t="str">
        <f>IFERROR(VLOOKUP(TED[[#This Row],[CENTRO]],'CENTRO DE CUSTO'!B:E,4,FALSE)," ")</f>
        <v>EDER</v>
      </c>
      <c r="D787" s="12">
        <v>96</v>
      </c>
      <c r="E787" s="16">
        <v>96000</v>
      </c>
      <c r="F787" s="10" t="s">
        <v>1901</v>
      </c>
      <c r="G787" s="10">
        <v>220</v>
      </c>
      <c r="H787" s="11">
        <v>45364</v>
      </c>
      <c r="I787" s="10" t="s">
        <v>958</v>
      </c>
      <c r="J787" s="12" t="str">
        <f>IF(OR(TED[[#This Row],[SITUACAO]]=1,TED[[#This Row],[SITUACAO]]=9,TED[[#This Row],[SITUACAO]]=18),"ATIVO","AFASTADO")</f>
        <v>ATIVO</v>
      </c>
      <c r="K787" s="12">
        <v>1</v>
      </c>
    </row>
    <row r="788" spans="1:11" x14ac:dyDescent="0.25">
      <c r="A788" s="10">
        <v>8772</v>
      </c>
      <c r="B788" s="9" t="s">
        <v>1166</v>
      </c>
      <c r="C788" s="12" t="str">
        <f>IFERROR(VLOOKUP(TED[[#This Row],[CENTRO]],'CENTRO DE CUSTO'!B:E,4,FALSE)," ")</f>
        <v>EDER</v>
      </c>
      <c r="D788" s="12">
        <v>96</v>
      </c>
      <c r="E788" s="16">
        <v>96000</v>
      </c>
      <c r="F788" s="10" t="s">
        <v>1901</v>
      </c>
      <c r="G788" s="10">
        <v>220</v>
      </c>
      <c r="H788" s="11">
        <v>42774</v>
      </c>
      <c r="I788" s="10" t="s">
        <v>958</v>
      </c>
      <c r="J788" s="12" t="str">
        <f>IF(OR(TED[[#This Row],[SITUACAO]]=1,TED[[#This Row],[SITUACAO]]=9,TED[[#This Row],[SITUACAO]]=18),"ATIVO","AFASTADO")</f>
        <v>ATIVO</v>
      </c>
      <c r="K788" s="12">
        <v>1</v>
      </c>
    </row>
    <row r="789" spans="1:11" x14ac:dyDescent="0.25">
      <c r="A789" s="10">
        <v>45683</v>
      </c>
      <c r="B789" s="9" t="s">
        <v>2225</v>
      </c>
      <c r="C789" s="12" t="str">
        <f>IFERROR(VLOOKUP(TED[[#This Row],[CENTRO]],'CENTRO DE CUSTO'!B:E,4,FALSE)," ")</f>
        <v>EDER</v>
      </c>
      <c r="D789" s="12">
        <v>96</v>
      </c>
      <c r="E789" s="16">
        <v>96000</v>
      </c>
      <c r="F789" s="10" t="s">
        <v>1901</v>
      </c>
      <c r="G789" s="10">
        <v>220</v>
      </c>
      <c r="H789" s="11">
        <v>46160</v>
      </c>
      <c r="I789" s="10" t="s">
        <v>958</v>
      </c>
      <c r="J789" s="12" t="str">
        <f>IF(OR(TED[[#This Row],[SITUACAO]]=1,TED[[#This Row],[SITUACAO]]=9,TED[[#This Row],[SITUACAO]]=18),"ATIVO","AFASTADO")</f>
        <v>ATIVO</v>
      </c>
      <c r="K789" s="12">
        <v>1</v>
      </c>
    </row>
    <row r="790" spans="1:11" x14ac:dyDescent="0.25">
      <c r="A790" s="10">
        <v>20706</v>
      </c>
      <c r="B790" s="9" t="s">
        <v>1156</v>
      </c>
      <c r="C790" s="12" t="str">
        <f>IFERROR(VLOOKUP(TED[[#This Row],[CENTRO]],'CENTRO DE CUSTO'!B:E,4,FALSE)," ")</f>
        <v>EDER</v>
      </c>
      <c r="D790" s="12">
        <v>96</v>
      </c>
      <c r="E790" s="16">
        <v>96000</v>
      </c>
      <c r="F790" s="10" t="s">
        <v>1901</v>
      </c>
      <c r="G790" s="10">
        <v>220</v>
      </c>
      <c r="H790" s="11">
        <v>44628</v>
      </c>
      <c r="I790" s="10" t="s">
        <v>1990</v>
      </c>
      <c r="J790" s="12" t="str">
        <f>IF(OR(TED[[#This Row],[SITUACAO]]=1,TED[[#This Row],[SITUACAO]]=9,TED[[#This Row],[SITUACAO]]=18),"ATIVO","AFASTADO")</f>
        <v>ATIVO</v>
      </c>
      <c r="K790" s="12">
        <v>1</v>
      </c>
    </row>
    <row r="791" spans="1:11" x14ac:dyDescent="0.25">
      <c r="A791" s="10">
        <v>6524</v>
      </c>
      <c r="B791" s="9" t="s">
        <v>1152</v>
      </c>
      <c r="C791" s="12" t="str">
        <f>IFERROR(VLOOKUP(TED[[#This Row],[CENTRO]],'CENTRO DE CUSTO'!B:E,4,FALSE)," ")</f>
        <v>EDER</v>
      </c>
      <c r="D791" s="12">
        <v>96</v>
      </c>
      <c r="E791" s="16">
        <v>96000</v>
      </c>
      <c r="F791" s="10" t="s">
        <v>1901</v>
      </c>
      <c r="G791" s="10">
        <v>220</v>
      </c>
      <c r="H791" s="11">
        <v>42332</v>
      </c>
      <c r="I791" s="10" t="s">
        <v>934</v>
      </c>
      <c r="J791" s="12" t="str">
        <f>IF(OR(TED[[#This Row],[SITUACAO]]=1,TED[[#This Row],[SITUACAO]]=9,TED[[#This Row],[SITUACAO]]=18),"ATIVO","AFASTADO")</f>
        <v>ATIVO</v>
      </c>
      <c r="K791" s="12">
        <v>1</v>
      </c>
    </row>
    <row r="792" spans="1:11" x14ac:dyDescent="0.25">
      <c r="A792" s="10">
        <v>8359</v>
      </c>
      <c r="B792" s="9" t="s">
        <v>1165</v>
      </c>
      <c r="C792" s="12" t="str">
        <f>IFERROR(VLOOKUP(TED[[#This Row],[CENTRO]],'CENTRO DE CUSTO'!B:E,4,FALSE)," ")</f>
        <v>EDER</v>
      </c>
      <c r="D792" s="12">
        <v>96</v>
      </c>
      <c r="E792" s="16">
        <v>96000</v>
      </c>
      <c r="F792" s="10" t="s">
        <v>1901</v>
      </c>
      <c r="G792" s="10">
        <v>220</v>
      </c>
      <c r="H792" s="11">
        <v>42768</v>
      </c>
      <c r="I792" s="10" t="s">
        <v>958</v>
      </c>
      <c r="J792" s="12" t="str">
        <f>IF(OR(TED[[#This Row],[SITUACAO]]=1,TED[[#This Row],[SITUACAO]]=9,TED[[#This Row],[SITUACAO]]=18),"ATIVO","AFASTADO")</f>
        <v>ATIVO</v>
      </c>
      <c r="K792" s="12">
        <v>1</v>
      </c>
    </row>
    <row r="793" spans="1:11" x14ac:dyDescent="0.25">
      <c r="A793" s="10">
        <v>18529</v>
      </c>
      <c r="B793" s="9" t="s">
        <v>1142</v>
      </c>
      <c r="C793" s="12" t="str">
        <f>IFERROR(VLOOKUP(TED[[#This Row],[CENTRO]],'CENTRO DE CUSTO'!B:E,4,FALSE)," ")</f>
        <v>EDER</v>
      </c>
      <c r="D793" s="12">
        <v>96</v>
      </c>
      <c r="E793" s="16">
        <v>96000</v>
      </c>
      <c r="F793" s="10" t="s">
        <v>1901</v>
      </c>
      <c r="G793" s="10">
        <v>220</v>
      </c>
      <c r="H793" s="11">
        <v>44578</v>
      </c>
      <c r="I793" s="10" t="s">
        <v>958</v>
      </c>
      <c r="J793" s="12" t="str">
        <f>IF(OR(TED[[#This Row],[SITUACAO]]=1,TED[[#This Row],[SITUACAO]]=9,TED[[#This Row],[SITUACAO]]=18),"ATIVO","AFASTADO")</f>
        <v>ATIVO</v>
      </c>
      <c r="K793" s="12">
        <v>1</v>
      </c>
    </row>
    <row r="794" spans="1:11" x14ac:dyDescent="0.25">
      <c r="A794" s="10">
        <v>9364</v>
      </c>
      <c r="B794" s="9" t="s">
        <v>1149</v>
      </c>
      <c r="C794" s="12" t="str">
        <f>IFERROR(VLOOKUP(TED[[#This Row],[CENTRO]],'CENTRO DE CUSTO'!B:E,4,FALSE)," ")</f>
        <v>EDER</v>
      </c>
      <c r="D794" s="12">
        <v>96</v>
      </c>
      <c r="E794" s="16">
        <v>96000</v>
      </c>
      <c r="F794" s="10" t="s">
        <v>1901</v>
      </c>
      <c r="G794" s="10">
        <v>220</v>
      </c>
      <c r="H794" s="11">
        <v>42913</v>
      </c>
      <c r="I794" s="10" t="s">
        <v>934</v>
      </c>
      <c r="J794" s="12" t="str">
        <f>IF(OR(TED[[#This Row],[SITUACAO]]=1,TED[[#This Row],[SITUACAO]]=9,TED[[#This Row],[SITUACAO]]=18),"ATIVO","AFASTADO")</f>
        <v>ATIVO</v>
      </c>
      <c r="K794" s="12">
        <v>1</v>
      </c>
    </row>
    <row r="795" spans="1:11" x14ac:dyDescent="0.25">
      <c r="A795" s="10">
        <v>38404</v>
      </c>
      <c r="B795" s="9" t="s">
        <v>1171</v>
      </c>
      <c r="C795" s="12" t="str">
        <f>IFERROR(VLOOKUP(TED[[#This Row],[CENTRO]],'CENTRO DE CUSTO'!B:E,4,FALSE)," ")</f>
        <v>EDER</v>
      </c>
      <c r="D795" s="12">
        <v>96</v>
      </c>
      <c r="E795" s="16">
        <v>96000</v>
      </c>
      <c r="F795" s="10" t="s">
        <v>1901</v>
      </c>
      <c r="G795" s="10">
        <v>220</v>
      </c>
      <c r="H795" s="11">
        <v>45765</v>
      </c>
      <c r="I795" s="10" t="s">
        <v>958</v>
      </c>
      <c r="J795" s="12" t="str">
        <f>IF(OR(TED[[#This Row],[SITUACAO]]=1,TED[[#This Row],[SITUACAO]]=9,TED[[#This Row],[SITUACAO]]=18),"ATIVO","AFASTADO")</f>
        <v>ATIVO</v>
      </c>
      <c r="K795" s="12">
        <v>1</v>
      </c>
    </row>
    <row r="796" spans="1:11" x14ac:dyDescent="0.25">
      <c r="A796" s="10">
        <v>37975</v>
      </c>
      <c r="B796" s="9" t="s">
        <v>1014</v>
      </c>
      <c r="C796" s="12" t="str">
        <f>IFERROR(VLOOKUP(TED[[#This Row],[CENTRO]],'CENTRO DE CUSTO'!B:E,4,FALSE)," ")</f>
        <v>JEFFERSON</v>
      </c>
      <c r="D796" s="12">
        <v>101</v>
      </c>
      <c r="E796" s="16">
        <v>101007</v>
      </c>
      <c r="F796" s="10" t="s">
        <v>1908</v>
      </c>
      <c r="G796" s="10">
        <v>220</v>
      </c>
      <c r="H796" s="11">
        <v>45748</v>
      </c>
      <c r="I796" s="10" t="s">
        <v>935</v>
      </c>
      <c r="J796" s="12" t="str">
        <f>IF(OR(TED[[#This Row],[SITUACAO]]=1,TED[[#This Row],[SITUACAO]]=9,TED[[#This Row],[SITUACAO]]=18),"ATIVO","AFASTADO")</f>
        <v>ATIVO</v>
      </c>
      <c r="K796" s="12">
        <v>1</v>
      </c>
    </row>
    <row r="797" spans="1:11" x14ac:dyDescent="0.25">
      <c r="A797" s="10">
        <v>12701</v>
      </c>
      <c r="B797" s="9" t="s">
        <v>1515</v>
      </c>
      <c r="C797" s="12" t="str">
        <f>IFERROR(VLOOKUP(TED[[#This Row],[CENTRO]],'CENTRO DE CUSTO'!B:E,4,FALSE)," ")</f>
        <v>JEFFERSON</v>
      </c>
      <c r="D797" s="12">
        <v>101</v>
      </c>
      <c r="E797" s="16">
        <v>101009</v>
      </c>
      <c r="F797" s="10" t="s">
        <v>1910</v>
      </c>
      <c r="G797" s="10">
        <v>220</v>
      </c>
      <c r="H797" s="11">
        <v>43594</v>
      </c>
      <c r="I797" s="10" t="s">
        <v>935</v>
      </c>
      <c r="J797" s="12" t="str">
        <f>IF(OR(TED[[#This Row],[SITUACAO]]=1,TED[[#This Row],[SITUACAO]]=9,TED[[#This Row],[SITUACAO]]=18),"ATIVO","AFASTADO")</f>
        <v>ATIVO</v>
      </c>
      <c r="K797" s="12">
        <v>1</v>
      </c>
    </row>
    <row r="798" spans="1:11" x14ac:dyDescent="0.25">
      <c r="A798" s="10">
        <v>29710</v>
      </c>
      <c r="B798" s="9" t="s">
        <v>1489</v>
      </c>
      <c r="C798" s="12" t="str">
        <f>IFERROR(VLOOKUP(TED[[#This Row],[CENTRO]],'CENTRO DE CUSTO'!B:E,4,FALSE)," ")</f>
        <v>MARCOS</v>
      </c>
      <c r="D798" s="12">
        <v>101</v>
      </c>
      <c r="E798" s="16">
        <v>101008</v>
      </c>
      <c r="F798" s="10" t="s">
        <v>1909</v>
      </c>
      <c r="G798" s="10">
        <v>220</v>
      </c>
      <c r="H798" s="11">
        <v>45302</v>
      </c>
      <c r="I798" s="10" t="s">
        <v>957</v>
      </c>
      <c r="J798" s="12" t="str">
        <f>IF(OR(TED[[#This Row],[SITUACAO]]=1,TED[[#This Row],[SITUACAO]]=9,TED[[#This Row],[SITUACAO]]=18),"ATIVO","AFASTADO")</f>
        <v>ATIVO</v>
      </c>
      <c r="K798" s="12">
        <v>1</v>
      </c>
    </row>
    <row r="799" spans="1:11" x14ac:dyDescent="0.25">
      <c r="A799" s="10">
        <v>20715</v>
      </c>
      <c r="B799" s="9" t="s">
        <v>1288</v>
      </c>
      <c r="C799" s="12" t="str">
        <f>IFERROR(VLOOKUP(TED[[#This Row],[CENTRO]],'CENTRO DE CUSTO'!B:E,4,FALSE)," ")</f>
        <v>JEFFERSON</v>
      </c>
      <c r="D799" s="12">
        <v>101</v>
      </c>
      <c r="E799" s="16">
        <v>101004</v>
      </c>
      <c r="F799" s="10" t="s">
        <v>1905</v>
      </c>
      <c r="G799" s="10">
        <v>220</v>
      </c>
      <c r="H799" s="11">
        <v>44636</v>
      </c>
      <c r="I799" s="10" t="s">
        <v>941</v>
      </c>
      <c r="J799" s="12" t="str">
        <f>IF(OR(TED[[#This Row],[SITUACAO]]=1,TED[[#This Row],[SITUACAO]]=9,TED[[#This Row],[SITUACAO]]=18),"ATIVO","AFASTADO")</f>
        <v>ATIVO</v>
      </c>
      <c r="K799" s="12">
        <v>1</v>
      </c>
    </row>
    <row r="800" spans="1:11" x14ac:dyDescent="0.25">
      <c r="A800" s="10">
        <v>41897</v>
      </c>
      <c r="B800" s="9" t="s">
        <v>1220</v>
      </c>
      <c r="C800" s="12" t="str">
        <f>IFERROR(VLOOKUP(TED[[#This Row],[CENTRO]],'CENTRO DE CUSTO'!B:E,4,FALSE)," ")</f>
        <v>MARCOS</v>
      </c>
      <c r="D800" s="12">
        <v>101</v>
      </c>
      <c r="E800" s="16">
        <v>101001</v>
      </c>
      <c r="F800" s="10" t="s">
        <v>1902</v>
      </c>
      <c r="G800" s="10">
        <v>220</v>
      </c>
      <c r="H800" s="11">
        <v>45959</v>
      </c>
      <c r="I800" s="10" t="s">
        <v>933</v>
      </c>
      <c r="J800" s="12" t="str">
        <f>IF(OR(TED[[#This Row],[SITUACAO]]=1,TED[[#This Row],[SITUACAO]]=9,TED[[#This Row],[SITUACAO]]=18),"ATIVO","AFASTADO")</f>
        <v>ATIVO</v>
      </c>
      <c r="K800" s="12">
        <v>1</v>
      </c>
    </row>
    <row r="801" spans="1:11" x14ac:dyDescent="0.25">
      <c r="A801" s="10">
        <v>22861</v>
      </c>
      <c r="B801" s="9" t="s">
        <v>1403</v>
      </c>
      <c r="C801" s="12" t="str">
        <f>IFERROR(VLOOKUP(TED[[#This Row],[CENTRO]],'CENTRO DE CUSTO'!B:E,4,FALSE)," ")</f>
        <v>MARCOS</v>
      </c>
      <c r="D801" s="12">
        <v>101</v>
      </c>
      <c r="E801" s="16">
        <v>101005</v>
      </c>
      <c r="F801" s="10" t="s">
        <v>1906</v>
      </c>
      <c r="G801" s="10">
        <v>220</v>
      </c>
      <c r="H801" s="11">
        <v>44797</v>
      </c>
      <c r="I801" s="10" t="s">
        <v>942</v>
      </c>
      <c r="J801" s="12" t="str">
        <f>IF(OR(TED[[#This Row],[SITUACAO]]=1,TED[[#This Row],[SITUACAO]]=9,TED[[#This Row],[SITUACAO]]=18),"ATIVO","AFASTADO")</f>
        <v>ATIVO</v>
      </c>
      <c r="K801" s="12">
        <v>1</v>
      </c>
    </row>
    <row r="802" spans="1:11" x14ac:dyDescent="0.25">
      <c r="A802" s="10">
        <v>28321</v>
      </c>
      <c r="B802" s="9" t="s">
        <v>1378</v>
      </c>
      <c r="C802" s="12" t="str">
        <f>IFERROR(VLOOKUP(TED[[#This Row],[CENTRO]],'CENTRO DE CUSTO'!B:E,4,FALSE)," ")</f>
        <v>JEFFERSON</v>
      </c>
      <c r="D802" s="12">
        <v>101</v>
      </c>
      <c r="E802" s="16">
        <v>101004</v>
      </c>
      <c r="F802" s="10" t="s">
        <v>1905</v>
      </c>
      <c r="G802" s="10">
        <v>220</v>
      </c>
      <c r="H802" s="11">
        <v>45167</v>
      </c>
      <c r="I802" s="10" t="s">
        <v>21</v>
      </c>
      <c r="J802" s="12" t="str">
        <f>IF(OR(TED[[#This Row],[SITUACAO]]=1,TED[[#This Row],[SITUACAO]]=9,TED[[#This Row],[SITUACAO]]=18),"ATIVO","AFASTADO")</f>
        <v>ATIVO</v>
      </c>
      <c r="K802" s="12">
        <v>1</v>
      </c>
    </row>
    <row r="803" spans="1:11" x14ac:dyDescent="0.25">
      <c r="A803" s="10">
        <v>32805</v>
      </c>
      <c r="B803" s="9" t="s">
        <v>1267</v>
      </c>
      <c r="C803" s="12" t="str">
        <f>IFERROR(VLOOKUP(TED[[#This Row],[CENTRO]],'CENTRO DE CUSTO'!B:E,4,FALSE)," ")</f>
        <v>JEFFERSON</v>
      </c>
      <c r="D803" s="12">
        <v>101</v>
      </c>
      <c r="E803" s="16">
        <v>101002</v>
      </c>
      <c r="F803" s="10" t="s">
        <v>1903</v>
      </c>
      <c r="G803" s="10">
        <v>220</v>
      </c>
      <c r="H803" s="11">
        <v>45449</v>
      </c>
      <c r="I803" s="10" t="s">
        <v>941</v>
      </c>
      <c r="J803" s="12" t="str">
        <f>IF(OR(TED[[#This Row],[SITUACAO]]=1,TED[[#This Row],[SITUACAO]]=9,TED[[#This Row],[SITUACAO]]=18),"ATIVO","AFASTADO")</f>
        <v>ATIVO</v>
      </c>
      <c r="K803" s="12">
        <v>1</v>
      </c>
    </row>
    <row r="804" spans="1:11" x14ac:dyDescent="0.25">
      <c r="A804" s="10">
        <v>17547</v>
      </c>
      <c r="B804" s="9" t="s">
        <v>1567</v>
      </c>
      <c r="C804" s="12" t="str">
        <f>IFERROR(VLOOKUP(TED[[#This Row],[CENTRO]],'CENTRO DE CUSTO'!B:E,4,FALSE)," ")</f>
        <v>MARCOS</v>
      </c>
      <c r="D804" s="12">
        <v>101</v>
      </c>
      <c r="E804" s="16">
        <v>101010</v>
      </c>
      <c r="F804" s="10" t="s">
        <v>1911</v>
      </c>
      <c r="G804" s="10">
        <v>220</v>
      </c>
      <c r="H804" s="11">
        <v>44447</v>
      </c>
      <c r="I804" s="10" t="s">
        <v>1</v>
      </c>
      <c r="J804" s="12" t="str">
        <f>IF(OR(TED[[#This Row],[SITUACAO]]=1,TED[[#This Row],[SITUACAO]]=9,TED[[#This Row],[SITUACAO]]=18),"ATIVO","AFASTADO")</f>
        <v>ATIVO</v>
      </c>
      <c r="K804" s="12">
        <v>1</v>
      </c>
    </row>
    <row r="805" spans="1:11" x14ac:dyDescent="0.25">
      <c r="A805" s="10">
        <v>11081</v>
      </c>
      <c r="B805" s="9" t="s">
        <v>1012</v>
      </c>
      <c r="C805" s="12" t="str">
        <f>IFERROR(VLOOKUP(TED[[#This Row],[CENTRO]],'CENTRO DE CUSTO'!B:E,4,FALSE)," ")</f>
        <v>JEFFERSON</v>
      </c>
      <c r="D805" s="12">
        <v>101</v>
      </c>
      <c r="E805" s="16">
        <v>101004</v>
      </c>
      <c r="F805" s="10" t="s">
        <v>1905</v>
      </c>
      <c r="G805" s="10">
        <v>220</v>
      </c>
      <c r="H805" s="11">
        <v>43355</v>
      </c>
      <c r="I805" s="10" t="s">
        <v>948</v>
      </c>
      <c r="J805" s="12" t="str">
        <f>IF(OR(TED[[#This Row],[SITUACAO]]=1,TED[[#This Row],[SITUACAO]]=9,TED[[#This Row],[SITUACAO]]=18),"ATIVO","AFASTADO")</f>
        <v>ATIVO</v>
      </c>
      <c r="K805" s="12">
        <v>1</v>
      </c>
    </row>
    <row r="806" spans="1:11" x14ac:dyDescent="0.25">
      <c r="A806" s="10">
        <v>11364</v>
      </c>
      <c r="B806" s="9" t="s">
        <v>1391</v>
      </c>
      <c r="C806" s="12" t="str">
        <f>IFERROR(VLOOKUP(TED[[#This Row],[CENTRO]],'CENTRO DE CUSTO'!B:E,4,FALSE)," ")</f>
        <v>JEFFERSON</v>
      </c>
      <c r="D806" s="12">
        <v>101</v>
      </c>
      <c r="E806" s="16">
        <v>101004</v>
      </c>
      <c r="F806" s="10" t="s">
        <v>1905</v>
      </c>
      <c r="G806" s="10">
        <v>220</v>
      </c>
      <c r="H806" s="11">
        <v>43389</v>
      </c>
      <c r="I806" s="10" t="s">
        <v>941</v>
      </c>
      <c r="J806" s="12" t="str">
        <f>IF(OR(TED[[#This Row],[SITUACAO]]=1,TED[[#This Row],[SITUACAO]]=9,TED[[#This Row],[SITUACAO]]=18),"ATIVO","AFASTADO")</f>
        <v>ATIVO</v>
      </c>
      <c r="K806" s="12">
        <v>1</v>
      </c>
    </row>
    <row r="807" spans="1:11" x14ac:dyDescent="0.25">
      <c r="A807" s="10">
        <v>7355</v>
      </c>
      <c r="B807" s="9" t="s">
        <v>1238</v>
      </c>
      <c r="C807" s="12" t="str">
        <f>IFERROR(VLOOKUP(TED[[#This Row],[CENTRO]],'CENTRO DE CUSTO'!B:E,4,FALSE)," ")</f>
        <v>MARCOS</v>
      </c>
      <c r="D807" s="12">
        <v>101</v>
      </c>
      <c r="E807" s="16">
        <v>101001</v>
      </c>
      <c r="F807" s="10" t="s">
        <v>1902</v>
      </c>
      <c r="G807" s="10">
        <v>220</v>
      </c>
      <c r="H807" s="11">
        <v>42461</v>
      </c>
      <c r="I807" s="10" t="s">
        <v>942</v>
      </c>
      <c r="J807" s="12" t="str">
        <f>IF(OR(TED[[#This Row],[SITUACAO]]=1,TED[[#This Row],[SITUACAO]]=9,TED[[#This Row],[SITUACAO]]=18),"ATIVO","AFASTADO")</f>
        <v>ATIVO</v>
      </c>
      <c r="K807" s="12">
        <v>1</v>
      </c>
    </row>
    <row r="808" spans="1:11" x14ac:dyDescent="0.25">
      <c r="A808" s="10">
        <v>7402</v>
      </c>
      <c r="B808" s="9" t="s">
        <v>1521</v>
      </c>
      <c r="C808" s="12" t="str">
        <f>IFERROR(VLOOKUP(TED[[#This Row],[CENTRO]],'CENTRO DE CUSTO'!B:E,4,FALSE)," ")</f>
        <v>MARCOS</v>
      </c>
      <c r="D808" s="12">
        <v>101</v>
      </c>
      <c r="E808" s="16">
        <v>101010</v>
      </c>
      <c r="F808" s="10" t="s">
        <v>1911</v>
      </c>
      <c r="G808" s="10">
        <v>220</v>
      </c>
      <c r="H808" s="11">
        <v>42461</v>
      </c>
      <c r="I808" s="10" t="s">
        <v>941</v>
      </c>
      <c r="J808" s="12" t="str">
        <f>IF(OR(TED[[#This Row],[SITUACAO]]=1,TED[[#This Row],[SITUACAO]]=9,TED[[#This Row],[SITUACAO]]=18),"ATIVO","AFASTADO")</f>
        <v>ATIVO</v>
      </c>
      <c r="K808" s="12">
        <v>1</v>
      </c>
    </row>
    <row r="809" spans="1:11" x14ac:dyDescent="0.25">
      <c r="A809" s="10">
        <v>43758</v>
      </c>
      <c r="B809" s="9" t="s">
        <v>2085</v>
      </c>
      <c r="C809" s="12" t="str">
        <f>IFERROR(VLOOKUP(TED[[#This Row],[CENTRO]],'CENTRO DE CUSTO'!B:E,4,FALSE)," ")</f>
        <v>MARCOS</v>
      </c>
      <c r="D809" s="12">
        <v>101</v>
      </c>
      <c r="E809" s="16">
        <v>101011</v>
      </c>
      <c r="F809" s="10" t="s">
        <v>1912</v>
      </c>
      <c r="G809" s="10">
        <v>220</v>
      </c>
      <c r="H809" s="11">
        <v>46059</v>
      </c>
      <c r="I809" s="10" t="s">
        <v>21</v>
      </c>
      <c r="J809" s="12" t="str">
        <f>IF(OR(TED[[#This Row],[SITUACAO]]=1,TED[[#This Row],[SITUACAO]]=9,TED[[#This Row],[SITUACAO]]=18),"ATIVO","AFASTADO")</f>
        <v>ATIVO</v>
      </c>
      <c r="K809" s="12">
        <v>1</v>
      </c>
    </row>
    <row r="810" spans="1:11" x14ac:dyDescent="0.25">
      <c r="A810" s="10">
        <v>29305</v>
      </c>
      <c r="B810" s="9" t="s">
        <v>1473</v>
      </c>
      <c r="C810" s="12" t="str">
        <f>IFERROR(VLOOKUP(TED[[#This Row],[CENTRO]],'CENTRO DE CUSTO'!B:E,4,FALSE)," ")</f>
        <v>JEFFERSON</v>
      </c>
      <c r="D810" s="12">
        <v>101</v>
      </c>
      <c r="E810" s="16">
        <v>101007</v>
      </c>
      <c r="F810" s="10" t="s">
        <v>1908</v>
      </c>
      <c r="G810" s="10">
        <v>220</v>
      </c>
      <c r="H810" s="11">
        <v>45251</v>
      </c>
      <c r="I810" s="10" t="s">
        <v>1994</v>
      </c>
      <c r="J810" s="12" t="str">
        <f>IF(OR(TED[[#This Row],[SITUACAO]]=1,TED[[#This Row],[SITUACAO]]=9,TED[[#This Row],[SITUACAO]]=18),"ATIVO","AFASTADO")</f>
        <v>ATIVO</v>
      </c>
      <c r="K810" s="12">
        <v>1</v>
      </c>
    </row>
    <row r="811" spans="1:11" x14ac:dyDescent="0.25">
      <c r="A811" s="10">
        <v>22729</v>
      </c>
      <c r="B811" s="9" t="s">
        <v>1491</v>
      </c>
      <c r="C811" s="12" t="str">
        <f>IFERROR(VLOOKUP(TED[[#This Row],[CENTRO]],'CENTRO DE CUSTO'!B:E,4,FALSE)," ")</f>
        <v>MARCOS</v>
      </c>
      <c r="D811" s="12">
        <v>101</v>
      </c>
      <c r="E811" s="16">
        <v>101008</v>
      </c>
      <c r="F811" s="10" t="s">
        <v>1909</v>
      </c>
      <c r="G811" s="10">
        <v>220</v>
      </c>
      <c r="H811" s="11">
        <v>44781</v>
      </c>
      <c r="I811" s="10" t="s">
        <v>957</v>
      </c>
      <c r="J811" s="12" t="str">
        <f>IF(OR(TED[[#This Row],[SITUACAO]]=1,TED[[#This Row],[SITUACAO]]=9,TED[[#This Row],[SITUACAO]]=18),"ATIVO","AFASTADO")</f>
        <v>ATIVO</v>
      </c>
      <c r="K811" s="12">
        <v>1</v>
      </c>
    </row>
    <row r="812" spans="1:11" x14ac:dyDescent="0.25">
      <c r="A812" s="10">
        <v>45122</v>
      </c>
      <c r="B812" s="9" t="s">
        <v>2175</v>
      </c>
      <c r="C812" s="12" t="str">
        <f>IFERROR(VLOOKUP(TED[[#This Row],[CENTRO]],'CENTRO DE CUSTO'!B:E,4,FALSE)," ")</f>
        <v>JEFFERSON</v>
      </c>
      <c r="D812" s="12">
        <v>101</v>
      </c>
      <c r="E812" s="16">
        <v>101007</v>
      </c>
      <c r="F812" s="10" t="s">
        <v>1908</v>
      </c>
      <c r="G812" s="10">
        <v>220</v>
      </c>
      <c r="H812" s="11">
        <v>46128</v>
      </c>
      <c r="I812" s="10" t="s">
        <v>935</v>
      </c>
      <c r="J812" s="12" t="str">
        <f>IF(OR(TED[[#This Row],[SITUACAO]]=1,TED[[#This Row],[SITUACAO]]=9,TED[[#This Row],[SITUACAO]]=18),"ATIVO","AFASTADO")</f>
        <v>ATIVO</v>
      </c>
      <c r="K812" s="12">
        <v>1</v>
      </c>
    </row>
    <row r="813" spans="1:11" x14ac:dyDescent="0.25">
      <c r="A813" s="10">
        <v>38393</v>
      </c>
      <c r="B813" s="9" t="s">
        <v>1372</v>
      </c>
      <c r="C813" s="12" t="str">
        <f>IFERROR(VLOOKUP(TED[[#This Row],[CENTRO]],'CENTRO DE CUSTO'!B:E,4,FALSE)," ")</f>
        <v>JEFFERSON</v>
      </c>
      <c r="D813" s="12">
        <v>101</v>
      </c>
      <c r="E813" s="16">
        <v>101004</v>
      </c>
      <c r="F813" s="10" t="s">
        <v>1905</v>
      </c>
      <c r="G813" s="10">
        <v>220</v>
      </c>
      <c r="H813" s="11">
        <v>45769</v>
      </c>
      <c r="I813" s="10" t="s">
        <v>941</v>
      </c>
      <c r="J813" s="12" t="str">
        <f>IF(OR(TED[[#This Row],[SITUACAO]]=1,TED[[#This Row],[SITUACAO]]=9,TED[[#This Row],[SITUACAO]]=18),"ATIVO","AFASTADO")</f>
        <v>ATIVO</v>
      </c>
      <c r="K813" s="12">
        <v>1</v>
      </c>
    </row>
    <row r="814" spans="1:11" x14ac:dyDescent="0.25">
      <c r="A814" s="10">
        <v>34955</v>
      </c>
      <c r="B814" s="9" t="s">
        <v>1397</v>
      </c>
      <c r="C814" s="12" t="str">
        <f>IFERROR(VLOOKUP(TED[[#This Row],[CENTRO]],'CENTRO DE CUSTO'!B:E,4,FALSE)," ")</f>
        <v>MARCOS</v>
      </c>
      <c r="D814" s="12">
        <v>101</v>
      </c>
      <c r="E814" s="16">
        <v>101005</v>
      </c>
      <c r="F814" s="10" t="s">
        <v>1906</v>
      </c>
      <c r="G814" s="10">
        <v>220</v>
      </c>
      <c r="H814" s="11">
        <v>45661</v>
      </c>
      <c r="I814" s="10" t="s">
        <v>933</v>
      </c>
      <c r="J814" s="12" t="str">
        <f>IF(OR(TED[[#This Row],[SITUACAO]]=1,TED[[#This Row],[SITUACAO]]=9,TED[[#This Row],[SITUACAO]]=18),"ATIVO","AFASTADO")</f>
        <v>ATIVO</v>
      </c>
      <c r="K814" s="12">
        <v>1</v>
      </c>
    </row>
    <row r="815" spans="1:11" x14ac:dyDescent="0.25">
      <c r="A815" s="10">
        <v>32512</v>
      </c>
      <c r="B815" s="9" t="s">
        <v>1505</v>
      </c>
      <c r="C815" s="12" t="str">
        <f>IFERROR(VLOOKUP(TED[[#This Row],[CENTRO]],'CENTRO DE CUSTO'!B:E,4,FALSE)," ")</f>
        <v>MARCOS</v>
      </c>
      <c r="D815" s="12">
        <v>101</v>
      </c>
      <c r="E815" s="16">
        <v>101008</v>
      </c>
      <c r="F815" s="10" t="s">
        <v>1909</v>
      </c>
      <c r="G815" s="10">
        <v>220</v>
      </c>
      <c r="H815" s="11">
        <v>45425</v>
      </c>
      <c r="I815" s="10" t="s">
        <v>957</v>
      </c>
      <c r="J815" s="12" t="str">
        <f>IF(OR(TED[[#This Row],[SITUACAO]]=1,TED[[#This Row],[SITUACAO]]=9,TED[[#This Row],[SITUACAO]]=18),"ATIVO","AFASTADO")</f>
        <v>ATIVO</v>
      </c>
      <c r="K815" s="12">
        <v>1</v>
      </c>
    </row>
    <row r="816" spans="1:11" x14ac:dyDescent="0.25">
      <c r="A816" s="10">
        <v>22156</v>
      </c>
      <c r="B816" s="9" t="s">
        <v>1186</v>
      </c>
      <c r="C816" s="12" t="str">
        <f>IFERROR(VLOOKUP(TED[[#This Row],[CENTRO]],'CENTRO DE CUSTO'!B:E,4,FALSE)," ")</f>
        <v>MARCOS</v>
      </c>
      <c r="D816" s="12">
        <v>101</v>
      </c>
      <c r="E816" s="16">
        <v>101001</v>
      </c>
      <c r="F816" s="10" t="s">
        <v>1902</v>
      </c>
      <c r="G816" s="10">
        <v>220</v>
      </c>
      <c r="H816" s="11">
        <v>44719</v>
      </c>
      <c r="I816" s="10" t="s">
        <v>942</v>
      </c>
      <c r="J816" s="12" t="str">
        <f>IF(OR(TED[[#This Row],[SITUACAO]]=1,TED[[#This Row],[SITUACAO]]=9,TED[[#This Row],[SITUACAO]]=18),"ATIVO","AFASTADO")</f>
        <v>ATIVO</v>
      </c>
      <c r="K816" s="12">
        <v>1</v>
      </c>
    </row>
    <row r="817" spans="1:11" x14ac:dyDescent="0.25">
      <c r="A817" s="10">
        <v>38860</v>
      </c>
      <c r="B817" s="9" t="s">
        <v>1404</v>
      </c>
      <c r="C817" s="12" t="str">
        <f>IFERROR(VLOOKUP(TED[[#This Row],[CENTRO]],'CENTRO DE CUSTO'!B:E,4,FALSE)," ")</f>
        <v>MARCOS</v>
      </c>
      <c r="D817" s="12">
        <v>101</v>
      </c>
      <c r="E817" s="16">
        <v>101005</v>
      </c>
      <c r="F817" s="10" t="s">
        <v>1906</v>
      </c>
      <c r="G817" s="10">
        <v>220</v>
      </c>
      <c r="H817" s="11">
        <v>45799</v>
      </c>
      <c r="I817" s="10" t="s">
        <v>933</v>
      </c>
      <c r="J817" s="12" t="str">
        <f>IF(OR(TED[[#This Row],[SITUACAO]]=1,TED[[#This Row],[SITUACAO]]=9,TED[[#This Row],[SITUACAO]]=18),"ATIVO","AFASTADO")</f>
        <v>ATIVO</v>
      </c>
      <c r="K817" s="12">
        <v>1</v>
      </c>
    </row>
    <row r="818" spans="1:11" x14ac:dyDescent="0.25">
      <c r="A818" s="10">
        <v>29465</v>
      </c>
      <c r="B818" s="9" t="s">
        <v>1570</v>
      </c>
      <c r="C818" s="12" t="str">
        <f>IFERROR(VLOOKUP(TED[[#This Row],[CENTRO]],'CENTRO DE CUSTO'!B:E,4,FALSE)," ")</f>
        <v>MARCOS</v>
      </c>
      <c r="D818" s="12">
        <v>101</v>
      </c>
      <c r="E818" s="16">
        <v>101011</v>
      </c>
      <c r="F818" s="10" t="s">
        <v>1912</v>
      </c>
      <c r="G818" s="10">
        <v>220</v>
      </c>
      <c r="H818" s="11">
        <v>45267</v>
      </c>
      <c r="I818" s="10" t="s">
        <v>604</v>
      </c>
      <c r="J818" s="12" t="str">
        <f>IF(OR(TED[[#This Row],[SITUACAO]]=1,TED[[#This Row],[SITUACAO]]=9,TED[[#This Row],[SITUACAO]]=18),"ATIVO","AFASTADO")</f>
        <v>ATIVO</v>
      </c>
      <c r="K818" s="12">
        <v>1</v>
      </c>
    </row>
    <row r="819" spans="1:11" x14ac:dyDescent="0.25">
      <c r="A819" s="10">
        <v>7339</v>
      </c>
      <c r="B819" s="9" t="s">
        <v>1332</v>
      </c>
      <c r="C819" s="12" t="str">
        <f>IFERROR(VLOOKUP(TED[[#This Row],[CENTRO]],'CENTRO DE CUSTO'!B:E,4,FALSE)," ")</f>
        <v>JEFFERSON</v>
      </c>
      <c r="D819" s="12">
        <v>101</v>
      </c>
      <c r="E819" s="16">
        <v>101004</v>
      </c>
      <c r="F819" s="10" t="s">
        <v>1905</v>
      </c>
      <c r="G819" s="10">
        <v>220</v>
      </c>
      <c r="H819" s="11">
        <v>42461</v>
      </c>
      <c r="I819" s="10" t="s">
        <v>1</v>
      </c>
      <c r="J819" s="12" t="str">
        <f>IF(OR(TED[[#This Row],[SITUACAO]]=1,TED[[#This Row],[SITUACAO]]=9,TED[[#This Row],[SITUACAO]]=18),"ATIVO","AFASTADO")</f>
        <v>ATIVO</v>
      </c>
      <c r="K819" s="12">
        <v>1</v>
      </c>
    </row>
    <row r="820" spans="1:11" x14ac:dyDescent="0.25">
      <c r="A820" s="10">
        <v>39377</v>
      </c>
      <c r="B820" s="9" t="s">
        <v>1182</v>
      </c>
      <c r="C820" s="12" t="str">
        <f>IFERROR(VLOOKUP(TED[[#This Row],[CENTRO]],'CENTRO DE CUSTO'!B:E,4,FALSE)," ")</f>
        <v>MARCOS</v>
      </c>
      <c r="D820" s="12">
        <v>101</v>
      </c>
      <c r="E820" s="16">
        <v>101001</v>
      </c>
      <c r="F820" s="10" t="s">
        <v>1902</v>
      </c>
      <c r="G820" s="10">
        <v>220</v>
      </c>
      <c r="H820" s="11">
        <v>45846</v>
      </c>
      <c r="I820" s="10" t="s">
        <v>933</v>
      </c>
      <c r="J820" s="12" t="str">
        <f>IF(OR(TED[[#This Row],[SITUACAO]]=1,TED[[#This Row],[SITUACAO]]=9,TED[[#This Row],[SITUACAO]]=18),"ATIVO","AFASTADO")</f>
        <v>ATIVO</v>
      </c>
      <c r="K820" s="12">
        <v>1</v>
      </c>
    </row>
    <row r="821" spans="1:11" x14ac:dyDescent="0.25">
      <c r="A821" s="10">
        <v>41855</v>
      </c>
      <c r="B821" s="9" t="s">
        <v>1336</v>
      </c>
      <c r="C821" s="12" t="str">
        <f>IFERROR(VLOOKUP(TED[[#This Row],[CENTRO]],'CENTRO DE CUSTO'!B:E,4,FALSE)," ")</f>
        <v>JEFFERSON</v>
      </c>
      <c r="D821" s="12">
        <v>101</v>
      </c>
      <c r="E821" s="16">
        <v>101004</v>
      </c>
      <c r="F821" s="10" t="s">
        <v>1905</v>
      </c>
      <c r="G821" s="10">
        <v>220</v>
      </c>
      <c r="H821" s="11">
        <v>45958</v>
      </c>
      <c r="I821" s="10" t="s">
        <v>21</v>
      </c>
      <c r="J821" s="12" t="str">
        <f>IF(OR(TED[[#This Row],[SITUACAO]]=1,TED[[#This Row],[SITUACAO]]=9,TED[[#This Row],[SITUACAO]]=18),"ATIVO","AFASTADO")</f>
        <v>ATIVO</v>
      </c>
      <c r="K821" s="12">
        <v>1</v>
      </c>
    </row>
    <row r="822" spans="1:11" x14ac:dyDescent="0.25">
      <c r="A822" s="10">
        <v>32853</v>
      </c>
      <c r="B822" s="9" t="s">
        <v>1334</v>
      </c>
      <c r="C822" s="12" t="str">
        <f>IFERROR(VLOOKUP(TED[[#This Row],[CENTRO]],'CENTRO DE CUSTO'!B:E,4,FALSE)," ")</f>
        <v>JEFFERSON</v>
      </c>
      <c r="D822" s="12">
        <v>101</v>
      </c>
      <c r="E822" s="16">
        <v>101004</v>
      </c>
      <c r="F822" s="10" t="s">
        <v>1905</v>
      </c>
      <c r="G822" s="10">
        <v>220</v>
      </c>
      <c r="H822" s="11">
        <v>45453</v>
      </c>
      <c r="I822" s="10" t="s">
        <v>1</v>
      </c>
      <c r="J822" s="12" t="str">
        <f>IF(OR(TED[[#This Row],[SITUACAO]]=1,TED[[#This Row],[SITUACAO]]=9,TED[[#This Row],[SITUACAO]]=18),"ATIVO","AFASTADO")</f>
        <v>ATIVO</v>
      </c>
      <c r="K822" s="12">
        <v>1</v>
      </c>
    </row>
    <row r="823" spans="1:11" x14ac:dyDescent="0.25">
      <c r="A823" s="10">
        <v>38875</v>
      </c>
      <c r="B823" s="9" t="s">
        <v>1374</v>
      </c>
      <c r="C823" s="12" t="str">
        <f>IFERROR(VLOOKUP(TED[[#This Row],[CENTRO]],'CENTRO DE CUSTO'!B:E,4,FALSE)," ")</f>
        <v>JEFFERSON</v>
      </c>
      <c r="D823" s="12">
        <v>101</v>
      </c>
      <c r="E823" s="16">
        <v>101004</v>
      </c>
      <c r="F823" s="10" t="s">
        <v>1905</v>
      </c>
      <c r="G823" s="10">
        <v>220</v>
      </c>
      <c r="H823" s="11">
        <v>45800</v>
      </c>
      <c r="I823" s="10" t="s">
        <v>941</v>
      </c>
      <c r="J823" s="12" t="str">
        <f>IF(OR(TED[[#This Row],[SITUACAO]]=1,TED[[#This Row],[SITUACAO]]=9,TED[[#This Row],[SITUACAO]]=18),"ATIVO","AFASTADO")</f>
        <v>ATIVO</v>
      </c>
      <c r="K823" s="12">
        <v>1</v>
      </c>
    </row>
    <row r="824" spans="1:11" x14ac:dyDescent="0.25">
      <c r="A824" s="10">
        <v>35023</v>
      </c>
      <c r="B824" s="9" t="s">
        <v>1421</v>
      </c>
      <c r="C824" s="12" t="str">
        <f>IFERROR(VLOOKUP(TED[[#This Row],[CENTRO]],'CENTRO DE CUSTO'!B:E,4,FALSE)," ")</f>
        <v>MARCOS</v>
      </c>
      <c r="D824" s="12">
        <v>101</v>
      </c>
      <c r="E824" s="16">
        <v>101005</v>
      </c>
      <c r="F824" s="10" t="s">
        <v>1906</v>
      </c>
      <c r="G824" s="10">
        <v>220</v>
      </c>
      <c r="H824" s="11">
        <v>45670</v>
      </c>
      <c r="I824" s="10" t="s">
        <v>973</v>
      </c>
      <c r="J824" s="12" t="str">
        <f>IF(OR(TED[[#This Row],[SITUACAO]]=1,TED[[#This Row],[SITUACAO]]=9,TED[[#This Row],[SITUACAO]]=18),"ATIVO","AFASTADO")</f>
        <v>ATIVO</v>
      </c>
      <c r="K824" s="12">
        <v>1</v>
      </c>
    </row>
    <row r="825" spans="1:11" x14ac:dyDescent="0.25">
      <c r="A825" s="10">
        <v>26329</v>
      </c>
      <c r="B825" s="9" t="s">
        <v>1364</v>
      </c>
      <c r="C825" s="12" t="str">
        <f>IFERROR(VLOOKUP(TED[[#This Row],[CENTRO]],'CENTRO DE CUSTO'!B:E,4,FALSE)," ")</f>
        <v>JEFFERSON</v>
      </c>
      <c r="D825" s="12">
        <v>101</v>
      </c>
      <c r="E825" s="16">
        <v>101004</v>
      </c>
      <c r="F825" s="10" t="s">
        <v>1905</v>
      </c>
      <c r="G825" s="10">
        <v>220</v>
      </c>
      <c r="H825" s="11">
        <v>45022</v>
      </c>
      <c r="I825" s="10" t="s">
        <v>947</v>
      </c>
      <c r="J825" s="12" t="str">
        <f>IF(OR(TED[[#This Row],[SITUACAO]]=1,TED[[#This Row],[SITUACAO]]=9,TED[[#This Row],[SITUACAO]]=18),"ATIVO","AFASTADO")</f>
        <v>ATIVO</v>
      </c>
      <c r="K825" s="12">
        <v>1</v>
      </c>
    </row>
    <row r="826" spans="1:11" x14ac:dyDescent="0.25">
      <c r="A826" s="10">
        <v>16941</v>
      </c>
      <c r="B826" s="9" t="s">
        <v>1420</v>
      </c>
      <c r="C826" s="12" t="str">
        <f>IFERROR(VLOOKUP(TED[[#This Row],[CENTRO]],'CENTRO DE CUSTO'!B:E,4,FALSE)," ")</f>
        <v>MARCOS</v>
      </c>
      <c r="D826" s="12">
        <v>101</v>
      </c>
      <c r="E826" s="16">
        <v>101005</v>
      </c>
      <c r="F826" s="10" t="s">
        <v>1906</v>
      </c>
      <c r="G826" s="10">
        <v>220</v>
      </c>
      <c r="H826" s="11">
        <v>44376</v>
      </c>
      <c r="I826" s="10" t="s">
        <v>933</v>
      </c>
      <c r="J826" s="12" t="str">
        <f>IF(OR(TED[[#This Row],[SITUACAO]]=1,TED[[#This Row],[SITUACAO]]=9,TED[[#This Row],[SITUACAO]]=18),"ATIVO","AFASTADO")</f>
        <v>ATIVO</v>
      </c>
      <c r="K826" s="12">
        <v>1</v>
      </c>
    </row>
    <row r="827" spans="1:11" x14ac:dyDescent="0.25">
      <c r="A827" s="10">
        <v>26564</v>
      </c>
      <c r="B827" s="9" t="s">
        <v>1331</v>
      </c>
      <c r="C827" s="12" t="str">
        <f>IFERROR(VLOOKUP(TED[[#This Row],[CENTRO]],'CENTRO DE CUSTO'!B:E,4,FALSE)," ")</f>
        <v>JEFFERSON</v>
      </c>
      <c r="D827" s="12">
        <v>101</v>
      </c>
      <c r="E827" s="16">
        <v>101004</v>
      </c>
      <c r="F827" s="10" t="s">
        <v>1905</v>
      </c>
      <c r="G827" s="10">
        <v>220</v>
      </c>
      <c r="H827" s="11">
        <v>45033</v>
      </c>
      <c r="I827" s="10" t="s">
        <v>941</v>
      </c>
      <c r="J827" s="12" t="str">
        <f>IF(OR(TED[[#This Row],[SITUACAO]]=1,TED[[#This Row],[SITUACAO]]=9,TED[[#This Row],[SITUACAO]]=18),"ATIVO","AFASTADO")</f>
        <v>ATIVO</v>
      </c>
      <c r="K827" s="12">
        <v>1</v>
      </c>
    </row>
    <row r="828" spans="1:11" x14ac:dyDescent="0.25">
      <c r="A828" s="10">
        <v>25442</v>
      </c>
      <c r="B828" s="9" t="s">
        <v>1342</v>
      </c>
      <c r="C828" s="12" t="str">
        <f>IFERROR(VLOOKUP(TED[[#This Row],[CENTRO]],'CENTRO DE CUSTO'!B:E,4,FALSE)," ")</f>
        <v>JEFFERSON</v>
      </c>
      <c r="D828" s="12">
        <v>101</v>
      </c>
      <c r="E828" s="16">
        <v>101004</v>
      </c>
      <c r="F828" s="10" t="s">
        <v>1905</v>
      </c>
      <c r="G828" s="10">
        <v>220</v>
      </c>
      <c r="H828" s="11">
        <v>44972</v>
      </c>
      <c r="I828" s="10" t="s">
        <v>948</v>
      </c>
      <c r="J828" s="12" t="str">
        <f>IF(OR(TED[[#This Row],[SITUACAO]]=1,TED[[#This Row],[SITUACAO]]=9,TED[[#This Row],[SITUACAO]]=18),"ATIVO","AFASTADO")</f>
        <v>AFASTADO</v>
      </c>
      <c r="K828" s="12">
        <v>6</v>
      </c>
    </row>
    <row r="829" spans="1:11" x14ac:dyDescent="0.25">
      <c r="A829" s="10">
        <v>27040</v>
      </c>
      <c r="B829" s="9" t="s">
        <v>1240</v>
      </c>
      <c r="C829" s="12" t="str">
        <f>IFERROR(VLOOKUP(TED[[#This Row],[CENTRO]],'CENTRO DE CUSTO'!B:E,4,FALSE)," ")</f>
        <v>MARCOS</v>
      </c>
      <c r="D829" s="12">
        <v>101</v>
      </c>
      <c r="E829" s="16">
        <v>101005</v>
      </c>
      <c r="F829" s="10" t="s">
        <v>1906</v>
      </c>
      <c r="G829" s="10">
        <v>220</v>
      </c>
      <c r="H829" s="11">
        <v>45058</v>
      </c>
      <c r="I829" s="10" t="s">
        <v>947</v>
      </c>
      <c r="J829" s="12" t="str">
        <f>IF(OR(TED[[#This Row],[SITUACAO]]=1,TED[[#This Row],[SITUACAO]]=9,TED[[#This Row],[SITUACAO]]=18),"ATIVO","AFASTADO")</f>
        <v>ATIVO</v>
      </c>
      <c r="K829" s="12">
        <v>1</v>
      </c>
    </row>
    <row r="830" spans="1:11" x14ac:dyDescent="0.25">
      <c r="A830" s="10">
        <v>33286</v>
      </c>
      <c r="B830" s="9" t="s">
        <v>1447</v>
      </c>
      <c r="C830" s="12" t="str">
        <f>IFERROR(VLOOKUP(TED[[#This Row],[CENTRO]],'CENTRO DE CUSTO'!B:E,4,FALSE)," ")</f>
        <v>JEFFERSON</v>
      </c>
      <c r="D830" s="12">
        <v>101</v>
      </c>
      <c r="E830" s="16">
        <v>101006</v>
      </c>
      <c r="F830" s="10" t="s">
        <v>1907</v>
      </c>
      <c r="G830" s="10">
        <v>220</v>
      </c>
      <c r="H830" s="11">
        <v>45496</v>
      </c>
      <c r="I830" s="10" t="s">
        <v>947</v>
      </c>
      <c r="J830" s="12" t="str">
        <f>IF(OR(TED[[#This Row],[SITUACAO]]=1,TED[[#This Row],[SITUACAO]]=9,TED[[#This Row],[SITUACAO]]=18),"ATIVO","AFASTADO")</f>
        <v>ATIVO</v>
      </c>
      <c r="K830" s="12">
        <v>1</v>
      </c>
    </row>
    <row r="831" spans="1:11" x14ac:dyDescent="0.25">
      <c r="A831" s="10">
        <v>7330</v>
      </c>
      <c r="B831" s="9" t="s">
        <v>1525</v>
      </c>
      <c r="C831" s="12" t="str">
        <f>IFERROR(VLOOKUP(TED[[#This Row],[CENTRO]],'CENTRO DE CUSTO'!B:E,4,FALSE)," ")</f>
        <v>MARCOS</v>
      </c>
      <c r="D831" s="12">
        <v>101</v>
      </c>
      <c r="E831" s="16">
        <v>101010</v>
      </c>
      <c r="F831" s="10" t="s">
        <v>1911</v>
      </c>
      <c r="G831" s="10">
        <v>220</v>
      </c>
      <c r="H831" s="11">
        <v>42461</v>
      </c>
      <c r="I831" s="10" t="s">
        <v>1</v>
      </c>
      <c r="J831" s="12" t="str">
        <f>IF(OR(TED[[#This Row],[SITUACAO]]=1,TED[[#This Row],[SITUACAO]]=9,TED[[#This Row],[SITUACAO]]=18),"ATIVO","AFASTADO")</f>
        <v>ATIVO</v>
      </c>
      <c r="K831" s="12">
        <v>1</v>
      </c>
    </row>
    <row r="832" spans="1:11" x14ac:dyDescent="0.25">
      <c r="A832" s="10">
        <v>28773</v>
      </c>
      <c r="B832" s="9" t="s">
        <v>1010</v>
      </c>
      <c r="C832" s="12" t="str">
        <f>IFERROR(VLOOKUP(TED[[#This Row],[CENTRO]],'CENTRO DE CUSTO'!B:E,4,FALSE)," ")</f>
        <v>MARCOS</v>
      </c>
      <c r="D832" s="12">
        <v>101</v>
      </c>
      <c r="E832" s="16">
        <v>101010</v>
      </c>
      <c r="F832" s="10" t="s">
        <v>1911</v>
      </c>
      <c r="G832" s="10">
        <v>220</v>
      </c>
      <c r="H832" s="11">
        <v>45215</v>
      </c>
      <c r="I832" s="10" t="s">
        <v>947</v>
      </c>
      <c r="J832" s="12" t="str">
        <f>IF(OR(TED[[#This Row],[SITUACAO]]=1,TED[[#This Row],[SITUACAO]]=9,TED[[#This Row],[SITUACAO]]=18),"ATIVO","AFASTADO")</f>
        <v>ATIVO</v>
      </c>
      <c r="K832" s="12">
        <v>1</v>
      </c>
    </row>
    <row r="833" spans="1:11" x14ac:dyDescent="0.25">
      <c r="A833" s="10">
        <v>20996</v>
      </c>
      <c r="B833" s="9" t="s">
        <v>1370</v>
      </c>
      <c r="C833" s="12" t="str">
        <f>IFERROR(VLOOKUP(TED[[#This Row],[CENTRO]],'CENTRO DE CUSTO'!B:E,4,FALSE)," ")</f>
        <v>JEFFERSON</v>
      </c>
      <c r="D833" s="12">
        <v>101</v>
      </c>
      <c r="E833" s="16">
        <v>101004</v>
      </c>
      <c r="F833" s="10" t="s">
        <v>1905</v>
      </c>
      <c r="G833" s="10">
        <v>220</v>
      </c>
      <c r="H833" s="11">
        <v>44683</v>
      </c>
      <c r="I833" s="10" t="s">
        <v>947</v>
      </c>
      <c r="J833" s="12" t="str">
        <f>IF(OR(TED[[#This Row],[SITUACAO]]=1,TED[[#This Row],[SITUACAO]]=9,TED[[#This Row],[SITUACAO]]=18),"ATIVO","AFASTADO")</f>
        <v>ATIVO</v>
      </c>
      <c r="K833" s="12">
        <v>1</v>
      </c>
    </row>
    <row r="834" spans="1:11" x14ac:dyDescent="0.25">
      <c r="A834" s="10">
        <v>28187</v>
      </c>
      <c r="B834" s="9" t="s">
        <v>1439</v>
      </c>
      <c r="C834" s="12" t="str">
        <f>IFERROR(VLOOKUP(TED[[#This Row],[CENTRO]],'CENTRO DE CUSTO'!B:E,4,FALSE)," ")</f>
        <v>MARCOS</v>
      </c>
      <c r="D834" s="12">
        <v>101</v>
      </c>
      <c r="E834" s="16">
        <v>101005</v>
      </c>
      <c r="F834" s="10" t="s">
        <v>1906</v>
      </c>
      <c r="G834" s="10">
        <v>220</v>
      </c>
      <c r="H834" s="11">
        <v>45154</v>
      </c>
      <c r="I834" s="10" t="s">
        <v>973</v>
      </c>
      <c r="J834" s="12" t="str">
        <f>IF(OR(TED[[#This Row],[SITUACAO]]=1,TED[[#This Row],[SITUACAO]]=9,TED[[#This Row],[SITUACAO]]=18),"ATIVO","AFASTADO")</f>
        <v>ATIVO</v>
      </c>
      <c r="K834" s="12">
        <v>1</v>
      </c>
    </row>
    <row r="835" spans="1:11" x14ac:dyDescent="0.25">
      <c r="A835" s="10">
        <v>47412</v>
      </c>
      <c r="B835" s="9" t="s">
        <v>2335</v>
      </c>
      <c r="C835" s="12" t="str">
        <f>IFERROR(VLOOKUP(TED[[#This Row],[CENTRO]],'CENTRO DE CUSTO'!B:E,4,FALSE)," ")</f>
        <v>JEFFERSON</v>
      </c>
      <c r="D835" s="12">
        <v>101</v>
      </c>
      <c r="E835" s="16">
        <v>101002</v>
      </c>
      <c r="F835" s="10" t="s">
        <v>1903</v>
      </c>
      <c r="G835" s="10">
        <v>220</v>
      </c>
      <c r="H835" s="11">
        <v>46204</v>
      </c>
      <c r="I835" s="10" t="s">
        <v>941</v>
      </c>
      <c r="J835" s="12" t="str">
        <f>IF(OR(TED[[#This Row],[SITUACAO]]=1,TED[[#This Row],[SITUACAO]]=9,TED[[#This Row],[SITUACAO]]=18),"ATIVO","AFASTADO")</f>
        <v>ATIVO</v>
      </c>
      <c r="K835" s="12">
        <v>1</v>
      </c>
    </row>
    <row r="836" spans="1:11" x14ac:dyDescent="0.25">
      <c r="A836" s="10">
        <v>13934</v>
      </c>
      <c r="B836" s="9" t="s">
        <v>1178</v>
      </c>
      <c r="C836" s="12" t="str">
        <f>IFERROR(VLOOKUP(TED[[#This Row],[CENTRO]],'CENTRO DE CUSTO'!B:E,4,FALSE)," ")</f>
        <v>MARCOS</v>
      </c>
      <c r="D836" s="12">
        <v>101</v>
      </c>
      <c r="E836" s="16">
        <v>101001</v>
      </c>
      <c r="F836" s="10" t="s">
        <v>1902</v>
      </c>
      <c r="G836" s="10">
        <v>220</v>
      </c>
      <c r="H836" s="11">
        <v>43850</v>
      </c>
      <c r="I836" s="10" t="s">
        <v>942</v>
      </c>
      <c r="J836" s="12" t="str">
        <f>IF(OR(TED[[#This Row],[SITUACAO]]=1,TED[[#This Row],[SITUACAO]]=9,TED[[#This Row],[SITUACAO]]=18),"ATIVO","AFASTADO")</f>
        <v>ATIVO</v>
      </c>
      <c r="K836" s="12">
        <v>1</v>
      </c>
    </row>
    <row r="837" spans="1:11" x14ac:dyDescent="0.25">
      <c r="A837" s="10">
        <v>13958</v>
      </c>
      <c r="B837" s="9" t="s">
        <v>1009</v>
      </c>
      <c r="C837" s="12" t="str">
        <f>IFERROR(VLOOKUP(TED[[#This Row],[CENTRO]],'CENTRO DE CUSTO'!B:E,4,FALSE)," ")</f>
        <v>JEFFERSON</v>
      </c>
      <c r="D837" s="12">
        <v>101</v>
      </c>
      <c r="E837" s="16">
        <v>101004</v>
      </c>
      <c r="F837" s="10" t="s">
        <v>1905</v>
      </c>
      <c r="G837" s="10">
        <v>220</v>
      </c>
      <c r="H837" s="11">
        <v>43857</v>
      </c>
      <c r="I837" s="10" t="s">
        <v>941</v>
      </c>
      <c r="J837" s="12" t="str">
        <f>IF(OR(TED[[#This Row],[SITUACAO]]=1,TED[[#This Row],[SITUACAO]]=9,TED[[#This Row],[SITUACAO]]=18),"ATIVO","AFASTADO")</f>
        <v>AFASTADO</v>
      </c>
      <c r="K837" s="12">
        <v>6</v>
      </c>
    </row>
    <row r="838" spans="1:11" x14ac:dyDescent="0.25">
      <c r="A838" s="10">
        <v>27635</v>
      </c>
      <c r="B838" s="9" t="s">
        <v>1387</v>
      </c>
      <c r="C838" s="12" t="str">
        <f>IFERROR(VLOOKUP(TED[[#This Row],[CENTRO]],'CENTRO DE CUSTO'!B:E,4,FALSE)," ")</f>
        <v>JEFFERSON</v>
      </c>
      <c r="D838" s="12">
        <v>101</v>
      </c>
      <c r="E838" s="16">
        <v>101004</v>
      </c>
      <c r="F838" s="10" t="s">
        <v>1905</v>
      </c>
      <c r="G838" s="10">
        <v>220</v>
      </c>
      <c r="H838" s="11">
        <v>45098</v>
      </c>
      <c r="I838" s="10" t="s">
        <v>21</v>
      </c>
      <c r="J838" s="12" t="str">
        <f>IF(OR(TED[[#This Row],[SITUACAO]]=1,TED[[#This Row],[SITUACAO]]=9,TED[[#This Row],[SITUACAO]]=18),"ATIVO","AFASTADO")</f>
        <v>ATIVO</v>
      </c>
      <c r="K838" s="12">
        <v>1</v>
      </c>
    </row>
    <row r="839" spans="1:11" x14ac:dyDescent="0.25">
      <c r="A839" s="10">
        <v>22034</v>
      </c>
      <c r="B839" s="9" t="s">
        <v>1539</v>
      </c>
      <c r="C839" s="12" t="str">
        <f>IFERROR(VLOOKUP(TED[[#This Row],[CENTRO]],'CENTRO DE CUSTO'!B:E,4,FALSE)," ")</f>
        <v>MARCOS</v>
      </c>
      <c r="D839" s="12">
        <v>101</v>
      </c>
      <c r="E839" s="16">
        <v>101010</v>
      </c>
      <c r="F839" s="10" t="s">
        <v>1911</v>
      </c>
      <c r="G839" s="10">
        <v>220</v>
      </c>
      <c r="H839" s="11">
        <v>44693</v>
      </c>
      <c r="I839" s="10" t="s">
        <v>937</v>
      </c>
      <c r="J839" s="12" t="str">
        <f>IF(OR(TED[[#This Row],[SITUACAO]]=1,TED[[#This Row],[SITUACAO]]=9,TED[[#This Row],[SITUACAO]]=18),"ATIVO","AFASTADO")</f>
        <v>AFASTADO</v>
      </c>
      <c r="K839" s="12">
        <v>5</v>
      </c>
    </row>
    <row r="840" spans="1:11" x14ac:dyDescent="0.25">
      <c r="A840" s="10">
        <v>41494</v>
      </c>
      <c r="B840" s="9" t="s">
        <v>1507</v>
      </c>
      <c r="C840" s="12" t="str">
        <f>IFERROR(VLOOKUP(TED[[#This Row],[CENTRO]],'CENTRO DE CUSTO'!B:E,4,FALSE)," ")</f>
        <v>MARCOS</v>
      </c>
      <c r="D840" s="12">
        <v>101</v>
      </c>
      <c r="E840" s="16">
        <v>101008</v>
      </c>
      <c r="F840" s="10" t="s">
        <v>1909</v>
      </c>
      <c r="G840" s="10">
        <v>220</v>
      </c>
      <c r="H840" s="11">
        <v>45931</v>
      </c>
      <c r="I840" s="10" t="s">
        <v>947</v>
      </c>
      <c r="J840" s="12" t="str">
        <f>IF(OR(TED[[#This Row],[SITUACAO]]=1,TED[[#This Row],[SITUACAO]]=9,TED[[#This Row],[SITUACAO]]=18),"ATIVO","AFASTADO")</f>
        <v>ATIVO</v>
      </c>
      <c r="K840" s="12">
        <v>1</v>
      </c>
    </row>
    <row r="841" spans="1:11" x14ac:dyDescent="0.25">
      <c r="A841" s="10">
        <v>20718</v>
      </c>
      <c r="B841" s="9" t="s">
        <v>1518</v>
      </c>
      <c r="C841" s="12" t="str">
        <f>IFERROR(VLOOKUP(TED[[#This Row],[CENTRO]],'CENTRO DE CUSTO'!B:E,4,FALSE)," ")</f>
        <v>MARCOS</v>
      </c>
      <c r="D841" s="12">
        <v>101</v>
      </c>
      <c r="E841" s="16">
        <v>101010</v>
      </c>
      <c r="F841" s="10" t="s">
        <v>1911</v>
      </c>
      <c r="G841" s="10">
        <v>220</v>
      </c>
      <c r="H841" s="11">
        <v>44636</v>
      </c>
      <c r="I841" s="10" t="s">
        <v>1</v>
      </c>
      <c r="J841" s="12" t="str">
        <f>IF(OR(TED[[#This Row],[SITUACAO]]=1,TED[[#This Row],[SITUACAO]]=9,TED[[#This Row],[SITUACAO]]=18),"ATIVO","AFASTADO")</f>
        <v>ATIVO</v>
      </c>
      <c r="K841" s="12">
        <v>1</v>
      </c>
    </row>
    <row r="842" spans="1:11" x14ac:dyDescent="0.25">
      <c r="A842" s="10">
        <v>34443</v>
      </c>
      <c r="B842" s="9" t="s">
        <v>1290</v>
      </c>
      <c r="C842" s="12" t="str">
        <f>IFERROR(VLOOKUP(TED[[#This Row],[CENTRO]],'CENTRO DE CUSTO'!B:E,4,FALSE)," ")</f>
        <v>JEFFERSON</v>
      </c>
      <c r="D842" s="12">
        <v>101</v>
      </c>
      <c r="E842" s="16">
        <v>101004</v>
      </c>
      <c r="F842" s="10" t="s">
        <v>1905</v>
      </c>
      <c r="G842" s="10">
        <v>220</v>
      </c>
      <c r="H842" s="11">
        <v>45597</v>
      </c>
      <c r="I842" s="10" t="s">
        <v>948</v>
      </c>
      <c r="J842" s="12" t="str">
        <f>IF(OR(TED[[#This Row],[SITUACAO]]=1,TED[[#This Row],[SITUACAO]]=9,TED[[#This Row],[SITUACAO]]=18),"ATIVO","AFASTADO")</f>
        <v>ATIVO</v>
      </c>
      <c r="K842" s="12">
        <v>1</v>
      </c>
    </row>
    <row r="843" spans="1:11" x14ac:dyDescent="0.25">
      <c r="A843" s="10">
        <v>33955</v>
      </c>
      <c r="B843" s="9" t="s">
        <v>1565</v>
      </c>
      <c r="C843" s="12" t="str">
        <f>IFERROR(VLOOKUP(TED[[#This Row],[CENTRO]],'CENTRO DE CUSTO'!B:E,4,FALSE)," ")</f>
        <v>MARCOS</v>
      </c>
      <c r="D843" s="12">
        <v>101</v>
      </c>
      <c r="E843" s="16">
        <v>101010</v>
      </c>
      <c r="F843" s="10" t="s">
        <v>1911</v>
      </c>
      <c r="G843" s="10">
        <v>220</v>
      </c>
      <c r="H843" s="11">
        <v>45558</v>
      </c>
      <c r="I843" s="10" t="s">
        <v>1</v>
      </c>
      <c r="J843" s="12" t="str">
        <f>IF(OR(TED[[#This Row],[SITUACAO]]=1,TED[[#This Row],[SITUACAO]]=9,TED[[#This Row],[SITUACAO]]=18),"ATIVO","AFASTADO")</f>
        <v>ATIVO</v>
      </c>
      <c r="K843" s="12">
        <v>1</v>
      </c>
    </row>
    <row r="844" spans="1:11" x14ac:dyDescent="0.25">
      <c r="A844" s="10">
        <v>14032</v>
      </c>
      <c r="B844" s="9" t="s">
        <v>1300</v>
      </c>
      <c r="C844" s="12" t="str">
        <f>IFERROR(VLOOKUP(TED[[#This Row],[CENTRO]],'CENTRO DE CUSTO'!B:E,4,FALSE)," ")</f>
        <v>JEFFERSON</v>
      </c>
      <c r="D844" s="12">
        <v>101</v>
      </c>
      <c r="E844" s="16">
        <v>101004</v>
      </c>
      <c r="F844" s="10" t="s">
        <v>1905</v>
      </c>
      <c r="G844" s="10">
        <v>220</v>
      </c>
      <c r="H844" s="11">
        <v>43868</v>
      </c>
      <c r="I844" s="10" t="s">
        <v>941</v>
      </c>
      <c r="J844" s="12" t="str">
        <f>IF(OR(TED[[#This Row],[SITUACAO]]=1,TED[[#This Row],[SITUACAO]]=9,TED[[#This Row],[SITUACAO]]=18),"ATIVO","AFASTADO")</f>
        <v>ATIVO</v>
      </c>
      <c r="K844" s="12">
        <v>1</v>
      </c>
    </row>
    <row r="845" spans="1:11" x14ac:dyDescent="0.25">
      <c r="A845" s="10">
        <v>33988</v>
      </c>
      <c r="B845" s="9" t="s">
        <v>1212</v>
      </c>
      <c r="C845" s="12" t="str">
        <f>IFERROR(VLOOKUP(TED[[#This Row],[CENTRO]],'CENTRO DE CUSTO'!B:E,4,FALSE)," ")</f>
        <v>MARCOS</v>
      </c>
      <c r="D845" s="12">
        <v>101</v>
      </c>
      <c r="E845" s="16">
        <v>101001</v>
      </c>
      <c r="F845" s="10" t="s">
        <v>1902</v>
      </c>
      <c r="G845" s="10">
        <v>220</v>
      </c>
      <c r="H845" s="11">
        <v>45560</v>
      </c>
      <c r="I845" s="10" t="s">
        <v>933</v>
      </c>
      <c r="J845" s="12" t="str">
        <f>IF(OR(TED[[#This Row],[SITUACAO]]=1,TED[[#This Row],[SITUACAO]]=9,TED[[#This Row],[SITUACAO]]=18),"ATIVO","AFASTADO")</f>
        <v>ATIVO</v>
      </c>
      <c r="K845" s="12">
        <v>1</v>
      </c>
    </row>
    <row r="846" spans="1:11" x14ac:dyDescent="0.25">
      <c r="A846" s="10">
        <v>17303</v>
      </c>
      <c r="B846" s="9" t="s">
        <v>1432</v>
      </c>
      <c r="C846" s="12" t="str">
        <f>IFERROR(VLOOKUP(TED[[#This Row],[CENTRO]],'CENTRO DE CUSTO'!B:E,4,FALSE)," ")</f>
        <v>MARCOS</v>
      </c>
      <c r="D846" s="12">
        <v>101</v>
      </c>
      <c r="E846" s="16">
        <v>101005</v>
      </c>
      <c r="F846" s="10" t="s">
        <v>1906</v>
      </c>
      <c r="G846" s="10">
        <v>220</v>
      </c>
      <c r="H846" s="11">
        <v>44415</v>
      </c>
      <c r="I846" s="10" t="s">
        <v>952</v>
      </c>
      <c r="J846" s="12" t="str">
        <f>IF(OR(TED[[#This Row],[SITUACAO]]=1,TED[[#This Row],[SITUACAO]]=9,TED[[#This Row],[SITUACAO]]=18),"ATIVO","AFASTADO")</f>
        <v>ATIVO</v>
      </c>
      <c r="K846" s="12">
        <v>1</v>
      </c>
    </row>
    <row r="847" spans="1:11" x14ac:dyDescent="0.25">
      <c r="A847" s="10">
        <v>38861</v>
      </c>
      <c r="B847" s="9" t="s">
        <v>1402</v>
      </c>
      <c r="C847" s="12" t="str">
        <f>IFERROR(VLOOKUP(TED[[#This Row],[CENTRO]],'CENTRO DE CUSTO'!B:E,4,FALSE)," ")</f>
        <v>MARCOS</v>
      </c>
      <c r="D847" s="12">
        <v>101</v>
      </c>
      <c r="E847" s="16">
        <v>101005</v>
      </c>
      <c r="F847" s="10" t="s">
        <v>1906</v>
      </c>
      <c r="G847" s="10">
        <v>220</v>
      </c>
      <c r="H847" s="11">
        <v>45799</v>
      </c>
      <c r="I847" s="10" t="s">
        <v>1</v>
      </c>
      <c r="J847" s="12" t="str">
        <f>IF(OR(TED[[#This Row],[SITUACAO]]=1,TED[[#This Row],[SITUACAO]]=9,TED[[#This Row],[SITUACAO]]=18),"ATIVO","AFASTADO")</f>
        <v>ATIVO</v>
      </c>
      <c r="K847" s="12">
        <v>1</v>
      </c>
    </row>
    <row r="848" spans="1:11" x14ac:dyDescent="0.25">
      <c r="A848" s="10">
        <v>7426</v>
      </c>
      <c r="B848" s="9" t="s">
        <v>1283</v>
      </c>
      <c r="C848" s="12" t="str">
        <f>IFERROR(VLOOKUP(TED[[#This Row],[CENTRO]],'CENTRO DE CUSTO'!B:E,4,FALSE)," ")</f>
        <v>JEFFERSON</v>
      </c>
      <c r="D848" s="12">
        <v>101</v>
      </c>
      <c r="E848" s="16">
        <v>101004</v>
      </c>
      <c r="F848" s="10" t="s">
        <v>1905</v>
      </c>
      <c r="G848" s="10">
        <v>220</v>
      </c>
      <c r="H848" s="11">
        <v>42461</v>
      </c>
      <c r="I848" s="10" t="s">
        <v>1</v>
      </c>
      <c r="J848" s="12" t="str">
        <f>IF(OR(TED[[#This Row],[SITUACAO]]=1,TED[[#This Row],[SITUACAO]]=9,TED[[#This Row],[SITUACAO]]=18),"ATIVO","AFASTADO")</f>
        <v>ATIVO</v>
      </c>
      <c r="K848" s="12">
        <v>1</v>
      </c>
    </row>
    <row r="849" spans="1:11" x14ac:dyDescent="0.25">
      <c r="A849" s="10">
        <v>17712</v>
      </c>
      <c r="B849" s="9" t="s">
        <v>1208</v>
      </c>
      <c r="C849" s="12" t="str">
        <f>IFERROR(VLOOKUP(TED[[#This Row],[CENTRO]],'CENTRO DE CUSTO'!B:E,4,FALSE)," ")</f>
        <v>JEFFERSON</v>
      </c>
      <c r="D849" s="12">
        <v>101</v>
      </c>
      <c r="E849" s="16">
        <v>101004</v>
      </c>
      <c r="F849" s="10" t="s">
        <v>1905</v>
      </c>
      <c r="G849" s="10">
        <v>220</v>
      </c>
      <c r="H849" s="11">
        <v>44475</v>
      </c>
      <c r="I849" s="10" t="s">
        <v>1</v>
      </c>
      <c r="J849" s="12" t="str">
        <f>IF(OR(TED[[#This Row],[SITUACAO]]=1,TED[[#This Row],[SITUACAO]]=9,TED[[#This Row],[SITUACAO]]=18),"ATIVO","AFASTADO")</f>
        <v>ATIVO</v>
      </c>
      <c r="K849" s="12">
        <v>1</v>
      </c>
    </row>
    <row r="850" spans="1:11" x14ac:dyDescent="0.25">
      <c r="A850" s="10">
        <v>7334</v>
      </c>
      <c r="B850" s="9" t="s">
        <v>1008</v>
      </c>
      <c r="C850" s="12" t="str">
        <f>IFERROR(VLOOKUP(TED[[#This Row],[CENTRO]],'CENTRO DE CUSTO'!B:E,4,FALSE)," ")</f>
        <v>MARCOS</v>
      </c>
      <c r="D850" s="12">
        <v>101</v>
      </c>
      <c r="E850" s="16">
        <v>101005</v>
      </c>
      <c r="F850" s="10" t="s">
        <v>1906</v>
      </c>
      <c r="G850" s="10">
        <v>220</v>
      </c>
      <c r="H850" s="11">
        <v>42461</v>
      </c>
      <c r="I850" s="10" t="s">
        <v>942</v>
      </c>
      <c r="J850" s="12" t="str">
        <f>IF(OR(TED[[#This Row],[SITUACAO]]=1,TED[[#This Row],[SITUACAO]]=9,TED[[#This Row],[SITUACAO]]=18),"ATIVO","AFASTADO")</f>
        <v>ATIVO</v>
      </c>
      <c r="K850" s="12">
        <v>1</v>
      </c>
    </row>
    <row r="851" spans="1:11" x14ac:dyDescent="0.25">
      <c r="A851" s="10">
        <v>20574</v>
      </c>
      <c r="B851" s="9" t="s">
        <v>1006</v>
      </c>
      <c r="C851" s="12" t="str">
        <f>IFERROR(VLOOKUP(TED[[#This Row],[CENTRO]],'CENTRO DE CUSTO'!B:E,4,FALSE)," ")</f>
        <v>JEFFERSON</v>
      </c>
      <c r="D851" s="12">
        <v>101</v>
      </c>
      <c r="E851" s="16">
        <v>101004</v>
      </c>
      <c r="F851" s="10" t="s">
        <v>1905</v>
      </c>
      <c r="G851" s="10">
        <v>220</v>
      </c>
      <c r="H851" s="11">
        <v>44624</v>
      </c>
      <c r="I851" s="10" t="s">
        <v>937</v>
      </c>
      <c r="J851" s="12" t="str">
        <f>IF(OR(TED[[#This Row],[SITUACAO]]=1,TED[[#This Row],[SITUACAO]]=9,TED[[#This Row],[SITUACAO]]=18),"ATIVO","AFASTADO")</f>
        <v>AFASTADO</v>
      </c>
      <c r="K851" s="12">
        <v>12</v>
      </c>
    </row>
    <row r="852" spans="1:11" x14ac:dyDescent="0.25">
      <c r="A852" s="10">
        <v>45766</v>
      </c>
      <c r="B852" s="9" t="s">
        <v>2228</v>
      </c>
      <c r="C852" s="12" t="str">
        <f>IFERROR(VLOOKUP(TED[[#This Row],[CENTRO]],'CENTRO DE CUSTO'!B:E,4,FALSE)," ")</f>
        <v>JEFFERSON</v>
      </c>
      <c r="D852" s="12">
        <v>101</v>
      </c>
      <c r="E852" s="16">
        <v>101004</v>
      </c>
      <c r="F852" s="10" t="s">
        <v>1905</v>
      </c>
      <c r="G852" s="10">
        <v>220</v>
      </c>
      <c r="H852" s="11">
        <v>46163</v>
      </c>
      <c r="I852" s="10" t="s">
        <v>21</v>
      </c>
      <c r="J852" s="12" t="str">
        <f>IF(OR(TED[[#This Row],[SITUACAO]]=1,TED[[#This Row],[SITUACAO]]=9,TED[[#This Row],[SITUACAO]]=18),"ATIVO","AFASTADO")</f>
        <v>ATIVO</v>
      </c>
      <c r="K852" s="12">
        <v>1</v>
      </c>
    </row>
    <row r="853" spans="1:11" x14ac:dyDescent="0.25">
      <c r="A853" s="10">
        <v>26475</v>
      </c>
      <c r="B853" s="9" t="s">
        <v>1385</v>
      </c>
      <c r="C853" s="12" t="str">
        <f>IFERROR(VLOOKUP(TED[[#This Row],[CENTRO]],'CENTRO DE CUSTO'!B:E,4,FALSE)," ")</f>
        <v>JEFFERSON</v>
      </c>
      <c r="D853" s="12">
        <v>101</v>
      </c>
      <c r="E853" s="16">
        <v>101004</v>
      </c>
      <c r="F853" s="10" t="s">
        <v>1905</v>
      </c>
      <c r="G853" s="10">
        <v>220</v>
      </c>
      <c r="H853" s="11">
        <v>45027</v>
      </c>
      <c r="I853" s="10" t="s">
        <v>21</v>
      </c>
      <c r="J853" s="12" t="str">
        <f>IF(OR(TED[[#This Row],[SITUACAO]]=1,TED[[#This Row],[SITUACAO]]=9,TED[[#This Row],[SITUACAO]]=18),"ATIVO","AFASTADO")</f>
        <v>ATIVO</v>
      </c>
      <c r="K853" s="12">
        <v>1</v>
      </c>
    </row>
    <row r="854" spans="1:11" x14ac:dyDescent="0.25">
      <c r="A854" s="10">
        <v>33246</v>
      </c>
      <c r="B854" s="9" t="s">
        <v>1177</v>
      </c>
      <c r="C854" s="12" t="str">
        <f>IFERROR(VLOOKUP(TED[[#This Row],[CENTRO]],'CENTRO DE CUSTO'!B:E,4,FALSE)," ")</f>
        <v>MARCOS</v>
      </c>
      <c r="D854" s="12">
        <v>101</v>
      </c>
      <c r="E854" s="16">
        <v>101001</v>
      </c>
      <c r="F854" s="10" t="s">
        <v>1902</v>
      </c>
      <c r="G854" s="10">
        <v>220</v>
      </c>
      <c r="H854" s="11">
        <v>45490</v>
      </c>
      <c r="I854" s="10" t="s">
        <v>942</v>
      </c>
      <c r="J854" s="12" t="str">
        <f>IF(OR(TED[[#This Row],[SITUACAO]]=1,TED[[#This Row],[SITUACAO]]=9,TED[[#This Row],[SITUACAO]]=18),"ATIVO","AFASTADO")</f>
        <v>ATIVO</v>
      </c>
      <c r="K854" s="12">
        <v>1</v>
      </c>
    </row>
    <row r="855" spans="1:11" x14ac:dyDescent="0.25">
      <c r="A855" s="10">
        <v>10819</v>
      </c>
      <c r="B855" s="9" t="s">
        <v>1318</v>
      </c>
      <c r="C855" s="12" t="str">
        <f>IFERROR(VLOOKUP(TED[[#This Row],[CENTRO]],'CENTRO DE CUSTO'!B:E,4,FALSE)," ")</f>
        <v>JEFFERSON</v>
      </c>
      <c r="D855" s="12">
        <v>101</v>
      </c>
      <c r="E855" s="16">
        <v>101004</v>
      </c>
      <c r="F855" s="10" t="s">
        <v>1905</v>
      </c>
      <c r="G855" s="10">
        <v>220</v>
      </c>
      <c r="H855" s="11">
        <v>43257</v>
      </c>
      <c r="I855" s="10" t="s">
        <v>941</v>
      </c>
      <c r="J855" s="12" t="str">
        <f>IF(OR(TED[[#This Row],[SITUACAO]]=1,TED[[#This Row],[SITUACAO]]=9,TED[[#This Row],[SITUACAO]]=18),"ATIVO","AFASTADO")</f>
        <v>ATIVO</v>
      </c>
      <c r="K855" s="12">
        <v>1</v>
      </c>
    </row>
    <row r="856" spans="1:11" x14ac:dyDescent="0.25">
      <c r="A856" s="10">
        <v>31174</v>
      </c>
      <c r="B856" s="9" t="s">
        <v>1294</v>
      </c>
      <c r="C856" s="12" t="str">
        <f>IFERROR(VLOOKUP(TED[[#This Row],[CENTRO]],'CENTRO DE CUSTO'!B:E,4,FALSE)," ")</f>
        <v>JEFFERSON</v>
      </c>
      <c r="D856" s="12">
        <v>101</v>
      </c>
      <c r="E856" s="16">
        <v>101004</v>
      </c>
      <c r="F856" s="10" t="s">
        <v>1905</v>
      </c>
      <c r="G856" s="10">
        <v>220</v>
      </c>
      <c r="H856" s="11">
        <v>45341</v>
      </c>
      <c r="I856" s="10" t="s">
        <v>948</v>
      </c>
      <c r="J856" s="12" t="str">
        <f>IF(OR(TED[[#This Row],[SITUACAO]]=1,TED[[#This Row],[SITUACAO]]=9,TED[[#This Row],[SITUACAO]]=18),"ATIVO","AFASTADO")</f>
        <v>ATIVO</v>
      </c>
      <c r="K856" s="12">
        <v>1</v>
      </c>
    </row>
    <row r="857" spans="1:11" x14ac:dyDescent="0.25">
      <c r="A857" s="10">
        <v>29811</v>
      </c>
      <c r="B857" s="9" t="s">
        <v>1438</v>
      </c>
      <c r="C857" s="12" t="str">
        <f>IFERROR(VLOOKUP(TED[[#This Row],[CENTRO]],'CENTRO DE CUSTO'!B:E,4,FALSE)," ")</f>
        <v>MARCOS</v>
      </c>
      <c r="D857" s="12">
        <v>101</v>
      </c>
      <c r="E857" s="16">
        <v>101005</v>
      </c>
      <c r="F857" s="10" t="s">
        <v>1906</v>
      </c>
      <c r="G857" s="10">
        <v>220</v>
      </c>
      <c r="H857" s="11">
        <v>45310</v>
      </c>
      <c r="I857" s="10" t="s">
        <v>973</v>
      </c>
      <c r="J857" s="12" t="str">
        <f>IF(OR(TED[[#This Row],[SITUACAO]]=1,TED[[#This Row],[SITUACAO]]=9,TED[[#This Row],[SITUACAO]]=18),"ATIVO","AFASTADO")</f>
        <v>ATIVO</v>
      </c>
      <c r="K857" s="12">
        <v>1</v>
      </c>
    </row>
    <row r="858" spans="1:11" x14ac:dyDescent="0.25">
      <c r="A858" s="10">
        <v>25203</v>
      </c>
      <c r="B858" s="9" t="s">
        <v>1453</v>
      </c>
      <c r="C858" s="12" t="str">
        <f>IFERROR(VLOOKUP(TED[[#This Row],[CENTRO]],'CENTRO DE CUSTO'!B:E,4,FALSE)," ")</f>
        <v>JEFFERSON</v>
      </c>
      <c r="D858" s="12">
        <v>101</v>
      </c>
      <c r="E858" s="16">
        <v>101007</v>
      </c>
      <c r="F858" s="10" t="s">
        <v>1908</v>
      </c>
      <c r="G858" s="10">
        <v>220</v>
      </c>
      <c r="H858" s="11">
        <v>44963</v>
      </c>
      <c r="I858" s="10" t="s">
        <v>961</v>
      </c>
      <c r="J858" s="12" t="str">
        <f>IF(OR(TED[[#This Row],[SITUACAO]]=1,TED[[#This Row],[SITUACAO]]=9,TED[[#This Row],[SITUACAO]]=18),"ATIVO","AFASTADO")</f>
        <v>ATIVO</v>
      </c>
      <c r="K858" s="12">
        <v>1</v>
      </c>
    </row>
    <row r="859" spans="1:11" x14ac:dyDescent="0.25">
      <c r="A859" s="10">
        <v>37576</v>
      </c>
      <c r="B859" s="9" t="s">
        <v>1455</v>
      </c>
      <c r="C859" s="12" t="str">
        <f>IFERROR(VLOOKUP(TED[[#This Row],[CENTRO]],'CENTRO DE CUSTO'!B:E,4,FALSE)," ")</f>
        <v>JEFFERSON</v>
      </c>
      <c r="D859" s="12">
        <v>101</v>
      </c>
      <c r="E859" s="16">
        <v>101007</v>
      </c>
      <c r="F859" s="10" t="s">
        <v>1908</v>
      </c>
      <c r="G859" s="10">
        <v>220</v>
      </c>
      <c r="H859" s="11">
        <v>45728</v>
      </c>
      <c r="I859" s="10" t="s">
        <v>946</v>
      </c>
      <c r="J859" s="12" t="str">
        <f>IF(OR(TED[[#This Row],[SITUACAO]]=1,TED[[#This Row],[SITUACAO]]=9,TED[[#This Row],[SITUACAO]]=18),"ATIVO","AFASTADO")</f>
        <v>ATIVO</v>
      </c>
      <c r="K859" s="12">
        <v>1</v>
      </c>
    </row>
    <row r="860" spans="1:11" x14ac:dyDescent="0.25">
      <c r="A860" s="10">
        <v>44926</v>
      </c>
      <c r="B860" s="9" t="s">
        <v>2176</v>
      </c>
      <c r="C860" s="12" t="str">
        <f>IFERROR(VLOOKUP(TED[[#This Row],[CENTRO]],'CENTRO DE CUSTO'!B:E,4,FALSE)," ")</f>
        <v>MARCOS</v>
      </c>
      <c r="D860" s="12">
        <v>101</v>
      </c>
      <c r="E860" s="16">
        <v>101008</v>
      </c>
      <c r="F860" s="10" t="s">
        <v>1909</v>
      </c>
      <c r="G860" s="10">
        <v>220</v>
      </c>
      <c r="H860" s="11">
        <v>46114</v>
      </c>
      <c r="I860" s="10" t="s">
        <v>935</v>
      </c>
      <c r="J860" s="12" t="str">
        <f>IF(OR(TED[[#This Row],[SITUACAO]]=1,TED[[#This Row],[SITUACAO]]=9,TED[[#This Row],[SITUACAO]]=18),"ATIVO","AFASTADO")</f>
        <v>ATIVO</v>
      </c>
      <c r="K860" s="12">
        <v>1</v>
      </c>
    </row>
    <row r="861" spans="1:11" x14ac:dyDescent="0.25">
      <c r="A861" s="10">
        <v>29091</v>
      </c>
      <c r="B861" s="9" t="s">
        <v>1379</v>
      </c>
      <c r="C861" s="12" t="str">
        <f>IFERROR(VLOOKUP(TED[[#This Row],[CENTRO]],'CENTRO DE CUSTO'!B:E,4,FALSE)," ")</f>
        <v>JEFFERSON</v>
      </c>
      <c r="D861" s="12">
        <v>101</v>
      </c>
      <c r="E861" s="16">
        <v>101004</v>
      </c>
      <c r="F861" s="10" t="s">
        <v>1905</v>
      </c>
      <c r="G861" s="10">
        <v>220</v>
      </c>
      <c r="H861" s="11">
        <v>45232</v>
      </c>
      <c r="I861" s="10" t="s">
        <v>941</v>
      </c>
      <c r="J861" s="12" t="str">
        <f>IF(OR(TED[[#This Row],[SITUACAO]]=1,TED[[#This Row],[SITUACAO]]=9,TED[[#This Row],[SITUACAO]]=18),"ATIVO","AFASTADO")</f>
        <v>AFASTADO</v>
      </c>
      <c r="K861" s="12">
        <v>6</v>
      </c>
    </row>
    <row r="862" spans="1:11" x14ac:dyDescent="0.25">
      <c r="A862" s="10">
        <v>9313</v>
      </c>
      <c r="B862" s="9" t="s">
        <v>1483</v>
      </c>
      <c r="C862" s="12" t="str">
        <f>IFERROR(VLOOKUP(TED[[#This Row],[CENTRO]],'CENTRO DE CUSTO'!B:E,4,FALSE)," ")</f>
        <v>JEFFERSON</v>
      </c>
      <c r="D862" s="12">
        <v>101</v>
      </c>
      <c r="E862" s="16">
        <v>101007</v>
      </c>
      <c r="F862" s="10" t="s">
        <v>1908</v>
      </c>
      <c r="G862" s="10">
        <v>220</v>
      </c>
      <c r="H862" s="11">
        <v>42905</v>
      </c>
      <c r="I862" s="10" t="s">
        <v>946</v>
      </c>
      <c r="J862" s="12" t="str">
        <f>IF(OR(TED[[#This Row],[SITUACAO]]=1,TED[[#This Row],[SITUACAO]]=9,TED[[#This Row],[SITUACAO]]=18),"ATIVO","AFASTADO")</f>
        <v>ATIVO</v>
      </c>
      <c r="K862" s="12">
        <v>1</v>
      </c>
    </row>
    <row r="863" spans="1:11" x14ac:dyDescent="0.25">
      <c r="A863" s="10">
        <v>37485</v>
      </c>
      <c r="B863" s="9" t="s">
        <v>1184</v>
      </c>
      <c r="C863" s="12" t="str">
        <f>IFERROR(VLOOKUP(TED[[#This Row],[CENTRO]],'CENTRO DE CUSTO'!B:E,4,FALSE)," ")</f>
        <v>MARCOS</v>
      </c>
      <c r="D863" s="12">
        <v>101</v>
      </c>
      <c r="E863" s="16">
        <v>101001</v>
      </c>
      <c r="F863" s="10" t="s">
        <v>1902</v>
      </c>
      <c r="G863" s="10">
        <v>220</v>
      </c>
      <c r="H863" s="11">
        <v>45722</v>
      </c>
      <c r="I863" s="10" t="s">
        <v>942</v>
      </c>
      <c r="J863" s="12" t="str">
        <f>IF(OR(TED[[#This Row],[SITUACAO]]=1,TED[[#This Row],[SITUACAO]]=9,TED[[#This Row],[SITUACAO]]=18),"ATIVO","AFASTADO")</f>
        <v>ATIVO</v>
      </c>
      <c r="K863" s="12">
        <v>1</v>
      </c>
    </row>
    <row r="864" spans="1:11" x14ac:dyDescent="0.25">
      <c r="A864" s="10">
        <v>26480</v>
      </c>
      <c r="B864" s="9" t="s">
        <v>1274</v>
      </c>
      <c r="C864" s="12" t="str">
        <f>IFERROR(VLOOKUP(TED[[#This Row],[CENTRO]],'CENTRO DE CUSTO'!B:E,4,FALSE)," ")</f>
        <v>JEFFERSON</v>
      </c>
      <c r="D864" s="12">
        <v>101</v>
      </c>
      <c r="E864" s="16">
        <v>101003</v>
      </c>
      <c r="F864" s="10" t="s">
        <v>1904</v>
      </c>
      <c r="G864" s="10">
        <v>220</v>
      </c>
      <c r="H864" s="11">
        <v>45028</v>
      </c>
      <c r="I864" s="10" t="s">
        <v>937</v>
      </c>
      <c r="J864" s="12" t="str">
        <f>IF(OR(TED[[#This Row],[SITUACAO]]=1,TED[[#This Row],[SITUACAO]]=9,TED[[#This Row],[SITUACAO]]=18),"ATIVO","AFASTADO")</f>
        <v>ATIVO</v>
      </c>
      <c r="K864" s="12">
        <v>1</v>
      </c>
    </row>
    <row r="865" spans="1:11" x14ac:dyDescent="0.25">
      <c r="A865" s="10">
        <v>37971</v>
      </c>
      <c r="B865" s="9" t="s">
        <v>1080</v>
      </c>
      <c r="C865" s="12" t="str">
        <f>IFERROR(VLOOKUP(TED[[#This Row],[CENTRO]],'CENTRO DE CUSTO'!B:E,4,FALSE)," ")</f>
        <v>JEFFERSON</v>
      </c>
      <c r="D865" s="12">
        <v>101</v>
      </c>
      <c r="E865" s="16">
        <v>101004</v>
      </c>
      <c r="F865" s="10" t="s">
        <v>1905</v>
      </c>
      <c r="G865" s="10">
        <v>220</v>
      </c>
      <c r="H865" s="11">
        <v>45750</v>
      </c>
      <c r="I865" s="10" t="s">
        <v>957</v>
      </c>
      <c r="J865" s="12" t="str">
        <f>IF(OR(TED[[#This Row],[SITUACAO]]=1,TED[[#This Row],[SITUACAO]]=9,TED[[#This Row],[SITUACAO]]=18),"ATIVO","AFASTADO")</f>
        <v>ATIVO</v>
      </c>
      <c r="K865" s="12">
        <v>1</v>
      </c>
    </row>
    <row r="866" spans="1:11" x14ac:dyDescent="0.25">
      <c r="A866" s="10">
        <v>34792</v>
      </c>
      <c r="B866" s="9" t="s">
        <v>1232</v>
      </c>
      <c r="C866" s="12" t="str">
        <f>IFERROR(VLOOKUP(TED[[#This Row],[CENTRO]],'CENTRO DE CUSTO'!B:E,4,FALSE)," ")</f>
        <v>MARCOS</v>
      </c>
      <c r="D866" s="12">
        <v>101</v>
      </c>
      <c r="E866" s="16">
        <v>101001</v>
      </c>
      <c r="F866" s="10" t="s">
        <v>1902</v>
      </c>
      <c r="G866" s="10">
        <v>220</v>
      </c>
      <c r="H866" s="11">
        <v>45635</v>
      </c>
      <c r="I866" s="10" t="s">
        <v>935</v>
      </c>
      <c r="J866" s="12" t="str">
        <f>IF(OR(TED[[#This Row],[SITUACAO]]=1,TED[[#This Row],[SITUACAO]]=9,TED[[#This Row],[SITUACAO]]=18),"ATIVO","AFASTADO")</f>
        <v>ATIVO</v>
      </c>
      <c r="K866" s="12">
        <v>1</v>
      </c>
    </row>
    <row r="867" spans="1:11" x14ac:dyDescent="0.25">
      <c r="A867" s="10">
        <v>27305</v>
      </c>
      <c r="B867" s="9" t="s">
        <v>1449</v>
      </c>
      <c r="C867" s="12" t="str">
        <f>IFERROR(VLOOKUP(TED[[#This Row],[CENTRO]],'CENTRO DE CUSTO'!B:E,4,FALSE)," ")</f>
        <v>JEFFERSON</v>
      </c>
      <c r="D867" s="12">
        <v>101</v>
      </c>
      <c r="E867" s="16">
        <v>101006</v>
      </c>
      <c r="F867" s="10" t="s">
        <v>1907</v>
      </c>
      <c r="G867" s="10">
        <v>220</v>
      </c>
      <c r="H867" s="11">
        <v>45076</v>
      </c>
      <c r="I867" s="10" t="s">
        <v>947</v>
      </c>
      <c r="J867" s="12" t="str">
        <f>IF(OR(TED[[#This Row],[SITUACAO]]=1,TED[[#This Row],[SITUACAO]]=9,TED[[#This Row],[SITUACAO]]=18),"ATIVO","AFASTADO")</f>
        <v>ATIVO</v>
      </c>
      <c r="K867" s="12">
        <v>1</v>
      </c>
    </row>
    <row r="868" spans="1:11" x14ac:dyDescent="0.25">
      <c r="A868" s="10">
        <v>25168</v>
      </c>
      <c r="B868" s="9" t="s">
        <v>1440</v>
      </c>
      <c r="C868" s="12" t="str">
        <f>IFERROR(VLOOKUP(TED[[#This Row],[CENTRO]],'CENTRO DE CUSTO'!B:E,4,FALSE)," ")</f>
        <v>MARCOS</v>
      </c>
      <c r="D868" s="12">
        <v>101</v>
      </c>
      <c r="E868" s="16">
        <v>101005</v>
      </c>
      <c r="F868" s="10" t="s">
        <v>1906</v>
      </c>
      <c r="G868" s="10">
        <v>220</v>
      </c>
      <c r="H868" s="11">
        <v>44960</v>
      </c>
      <c r="I868" s="10" t="s">
        <v>947</v>
      </c>
      <c r="J868" s="12" t="str">
        <f>IF(OR(TED[[#This Row],[SITUACAO]]=1,TED[[#This Row],[SITUACAO]]=9,TED[[#This Row],[SITUACAO]]=18),"ATIVO","AFASTADO")</f>
        <v>ATIVO</v>
      </c>
      <c r="K868" s="12">
        <v>1</v>
      </c>
    </row>
    <row r="869" spans="1:11" x14ac:dyDescent="0.25">
      <c r="A869" s="10">
        <v>7865</v>
      </c>
      <c r="B869" s="9" t="s">
        <v>1175</v>
      </c>
      <c r="C869" s="12" t="str">
        <f>IFERROR(VLOOKUP(TED[[#This Row],[CENTRO]],'CENTRO DE CUSTO'!B:E,4,FALSE)," ")</f>
        <v>MARCOS</v>
      </c>
      <c r="D869" s="12">
        <v>101</v>
      </c>
      <c r="E869" s="16">
        <v>101001</v>
      </c>
      <c r="F869" s="10" t="s">
        <v>1902</v>
      </c>
      <c r="G869" s="10">
        <v>220</v>
      </c>
      <c r="H869" s="11">
        <v>42587</v>
      </c>
      <c r="I869" s="10" t="s">
        <v>933</v>
      </c>
      <c r="J869" s="12" t="str">
        <f>IF(OR(TED[[#This Row],[SITUACAO]]=1,TED[[#This Row],[SITUACAO]]=9,TED[[#This Row],[SITUACAO]]=18),"ATIVO","AFASTADO")</f>
        <v>ATIVO</v>
      </c>
      <c r="K869" s="12">
        <v>1</v>
      </c>
    </row>
    <row r="870" spans="1:11" x14ac:dyDescent="0.25">
      <c r="A870" s="10">
        <v>24136</v>
      </c>
      <c r="B870" s="9" t="s">
        <v>1185</v>
      </c>
      <c r="C870" s="12" t="str">
        <f>IFERROR(VLOOKUP(TED[[#This Row],[CENTRO]],'CENTRO DE CUSTO'!B:E,4,FALSE)," ")</f>
        <v>MARCOS</v>
      </c>
      <c r="D870" s="12">
        <v>101</v>
      </c>
      <c r="E870" s="16">
        <v>101001</v>
      </c>
      <c r="F870" s="10" t="s">
        <v>1902</v>
      </c>
      <c r="G870" s="10">
        <v>220</v>
      </c>
      <c r="H870" s="11">
        <v>44888</v>
      </c>
      <c r="I870" s="10" t="s">
        <v>967</v>
      </c>
      <c r="J870" s="12" t="str">
        <f>IF(OR(TED[[#This Row],[SITUACAO]]=1,TED[[#This Row],[SITUACAO]]=9,TED[[#This Row],[SITUACAO]]=18),"ATIVO","AFASTADO")</f>
        <v>ATIVO</v>
      </c>
      <c r="K870" s="12">
        <v>1</v>
      </c>
    </row>
    <row r="871" spans="1:11" x14ac:dyDescent="0.25">
      <c r="A871" s="10">
        <v>16953</v>
      </c>
      <c r="B871" s="9" t="s">
        <v>1187</v>
      </c>
      <c r="C871" s="12" t="str">
        <f>IFERROR(VLOOKUP(TED[[#This Row],[CENTRO]],'CENTRO DE CUSTO'!B:E,4,FALSE)," ")</f>
        <v>MARCOS</v>
      </c>
      <c r="D871" s="12">
        <v>101</v>
      </c>
      <c r="E871" s="16">
        <v>101001</v>
      </c>
      <c r="F871" s="10" t="s">
        <v>1902</v>
      </c>
      <c r="G871" s="10">
        <v>220</v>
      </c>
      <c r="H871" s="11">
        <v>44372</v>
      </c>
      <c r="I871" s="10" t="s">
        <v>942</v>
      </c>
      <c r="J871" s="12" t="str">
        <f>IF(OR(TED[[#This Row],[SITUACAO]]=1,TED[[#This Row],[SITUACAO]]=9,TED[[#This Row],[SITUACAO]]=18),"ATIVO","AFASTADO")</f>
        <v>ATIVO</v>
      </c>
      <c r="K871" s="12">
        <v>1</v>
      </c>
    </row>
    <row r="872" spans="1:11" x14ac:dyDescent="0.25">
      <c r="A872" s="10">
        <v>22820</v>
      </c>
      <c r="B872" s="9" t="s">
        <v>1454</v>
      </c>
      <c r="C872" s="12" t="str">
        <f>IFERROR(VLOOKUP(TED[[#This Row],[CENTRO]],'CENTRO DE CUSTO'!B:E,4,FALSE)," ")</f>
        <v>JEFFERSON</v>
      </c>
      <c r="D872" s="12">
        <v>101</v>
      </c>
      <c r="E872" s="16">
        <v>101007</v>
      </c>
      <c r="F872" s="10" t="s">
        <v>1908</v>
      </c>
      <c r="G872" s="10">
        <v>220</v>
      </c>
      <c r="H872" s="11">
        <v>44791</v>
      </c>
      <c r="I872" s="10" t="s">
        <v>957</v>
      </c>
      <c r="J872" s="12" t="str">
        <f>IF(OR(TED[[#This Row],[SITUACAO]]=1,TED[[#This Row],[SITUACAO]]=9,TED[[#This Row],[SITUACAO]]=18),"ATIVO","AFASTADO")</f>
        <v>ATIVO</v>
      </c>
      <c r="K872" s="12">
        <v>1</v>
      </c>
    </row>
    <row r="873" spans="1:11" x14ac:dyDescent="0.25">
      <c r="A873" s="10">
        <v>22536</v>
      </c>
      <c r="B873" s="9" t="s">
        <v>1562</v>
      </c>
      <c r="C873" s="12" t="str">
        <f>IFERROR(VLOOKUP(TED[[#This Row],[CENTRO]],'CENTRO DE CUSTO'!B:E,4,FALSE)," ")</f>
        <v>MARCOS</v>
      </c>
      <c r="D873" s="12">
        <v>101</v>
      </c>
      <c r="E873" s="16">
        <v>101010</v>
      </c>
      <c r="F873" s="10" t="s">
        <v>1911</v>
      </c>
      <c r="G873" s="10">
        <v>220</v>
      </c>
      <c r="H873" s="11">
        <v>44762</v>
      </c>
      <c r="I873" s="10" t="s">
        <v>941</v>
      </c>
      <c r="J873" s="12" t="str">
        <f>IF(OR(TED[[#This Row],[SITUACAO]]=1,TED[[#This Row],[SITUACAO]]=9,TED[[#This Row],[SITUACAO]]=18),"ATIVO","AFASTADO")</f>
        <v>ATIVO</v>
      </c>
      <c r="K873" s="12">
        <v>1</v>
      </c>
    </row>
    <row r="874" spans="1:11" x14ac:dyDescent="0.25">
      <c r="A874" s="10">
        <v>22355</v>
      </c>
      <c r="B874" s="9" t="s">
        <v>1529</v>
      </c>
      <c r="C874" s="12" t="str">
        <f>IFERROR(VLOOKUP(TED[[#This Row],[CENTRO]],'CENTRO DE CUSTO'!B:E,4,FALSE)," ")</f>
        <v>MARCOS</v>
      </c>
      <c r="D874" s="12">
        <v>101</v>
      </c>
      <c r="E874" s="16">
        <v>101010</v>
      </c>
      <c r="F874" s="10" t="s">
        <v>1911</v>
      </c>
      <c r="G874" s="10">
        <v>220</v>
      </c>
      <c r="H874" s="11">
        <v>44743</v>
      </c>
      <c r="I874" s="10" t="s">
        <v>937</v>
      </c>
      <c r="J874" s="12" t="str">
        <f>IF(OR(TED[[#This Row],[SITUACAO]]=1,TED[[#This Row],[SITUACAO]]=9,TED[[#This Row],[SITUACAO]]=18),"ATIVO","AFASTADO")</f>
        <v>ATIVO</v>
      </c>
      <c r="K874" s="12">
        <v>1</v>
      </c>
    </row>
    <row r="875" spans="1:11" x14ac:dyDescent="0.25">
      <c r="A875" s="10">
        <v>43875</v>
      </c>
      <c r="B875" s="9" t="s">
        <v>2075</v>
      </c>
      <c r="C875" s="12" t="str">
        <f>IFERROR(VLOOKUP(TED[[#This Row],[CENTRO]],'CENTRO DE CUSTO'!B:E,4,FALSE)," ")</f>
        <v>MARCOS</v>
      </c>
      <c r="D875" s="12">
        <v>101</v>
      </c>
      <c r="E875" s="16">
        <v>101001</v>
      </c>
      <c r="F875" s="10" t="s">
        <v>1902</v>
      </c>
      <c r="G875" s="10">
        <v>220</v>
      </c>
      <c r="H875" s="11">
        <v>46063</v>
      </c>
      <c r="I875" s="10" t="s">
        <v>941</v>
      </c>
      <c r="J875" s="12" t="str">
        <f>IF(OR(TED[[#This Row],[SITUACAO]]=1,TED[[#This Row],[SITUACAO]]=9,TED[[#This Row],[SITUACAO]]=18),"ATIVO","AFASTADO")</f>
        <v>ATIVO</v>
      </c>
      <c r="K875" s="12">
        <v>1</v>
      </c>
    </row>
    <row r="876" spans="1:11" x14ac:dyDescent="0.25">
      <c r="A876" s="10">
        <v>13554</v>
      </c>
      <c r="B876" s="9" t="s">
        <v>1330</v>
      </c>
      <c r="C876" s="12" t="str">
        <f>IFERROR(VLOOKUP(TED[[#This Row],[CENTRO]],'CENTRO DE CUSTO'!B:E,4,FALSE)," ")</f>
        <v>JEFFERSON</v>
      </c>
      <c r="D876" s="12">
        <v>101</v>
      </c>
      <c r="E876" s="16">
        <v>101004</v>
      </c>
      <c r="F876" s="10" t="s">
        <v>1905</v>
      </c>
      <c r="G876" s="10">
        <v>220</v>
      </c>
      <c r="H876" s="11">
        <v>43742</v>
      </c>
      <c r="I876" s="10" t="s">
        <v>948</v>
      </c>
      <c r="J876" s="12" t="str">
        <f>IF(OR(TED[[#This Row],[SITUACAO]]=1,TED[[#This Row],[SITUACAO]]=9,TED[[#This Row],[SITUACAO]]=18),"ATIVO","AFASTADO")</f>
        <v>ATIVO</v>
      </c>
      <c r="K876" s="12">
        <v>1</v>
      </c>
    </row>
    <row r="877" spans="1:11" x14ac:dyDescent="0.25">
      <c r="A877" s="10">
        <v>44747</v>
      </c>
      <c r="B877" s="9" t="s">
        <v>2154</v>
      </c>
      <c r="C877" s="12" t="str">
        <f>IFERROR(VLOOKUP(TED[[#This Row],[CENTRO]],'CENTRO DE CUSTO'!B:E,4,FALSE)," ")</f>
        <v>JEFFERSON</v>
      </c>
      <c r="D877" s="12">
        <v>101</v>
      </c>
      <c r="E877" s="16">
        <v>101007</v>
      </c>
      <c r="F877" s="10" t="s">
        <v>1908</v>
      </c>
      <c r="G877" s="10">
        <v>220</v>
      </c>
      <c r="H877" s="11">
        <v>46107</v>
      </c>
      <c r="I877" s="10" t="s">
        <v>946</v>
      </c>
      <c r="J877" s="12" t="str">
        <f>IF(OR(TED[[#This Row],[SITUACAO]]=1,TED[[#This Row],[SITUACAO]]=9,TED[[#This Row],[SITUACAO]]=18),"ATIVO","AFASTADO")</f>
        <v>ATIVO</v>
      </c>
      <c r="K877" s="12">
        <v>1</v>
      </c>
    </row>
    <row r="878" spans="1:11" x14ac:dyDescent="0.25">
      <c r="A878" s="10">
        <v>9017</v>
      </c>
      <c r="B878" s="9" t="s">
        <v>1511</v>
      </c>
      <c r="C878" s="12" t="str">
        <f>IFERROR(VLOOKUP(TED[[#This Row],[CENTRO]],'CENTRO DE CUSTO'!B:E,4,FALSE)," ")</f>
        <v>JEFFERSON</v>
      </c>
      <c r="D878" s="12">
        <v>101</v>
      </c>
      <c r="E878" s="16">
        <v>101009</v>
      </c>
      <c r="F878" s="10" t="s">
        <v>1910</v>
      </c>
      <c r="G878" s="10">
        <v>220</v>
      </c>
      <c r="H878" s="11">
        <v>42815</v>
      </c>
      <c r="I878" s="10" t="s">
        <v>935</v>
      </c>
      <c r="J878" s="12" t="str">
        <f>IF(OR(TED[[#This Row],[SITUACAO]]=1,TED[[#This Row],[SITUACAO]]=9,TED[[#This Row],[SITUACAO]]=18),"ATIVO","AFASTADO")</f>
        <v>ATIVO</v>
      </c>
      <c r="K878" s="12">
        <v>1</v>
      </c>
    </row>
    <row r="879" spans="1:11" x14ac:dyDescent="0.25">
      <c r="A879" s="10">
        <v>43215</v>
      </c>
      <c r="B879" s="9" t="s">
        <v>2049</v>
      </c>
      <c r="C879" s="12" t="str">
        <f>IFERROR(VLOOKUP(TED[[#This Row],[CENTRO]],'CENTRO DE CUSTO'!B:E,4,FALSE)," ")</f>
        <v>MARCOS</v>
      </c>
      <c r="D879" s="12">
        <v>101</v>
      </c>
      <c r="E879" s="16">
        <v>101001</v>
      </c>
      <c r="F879" s="10" t="s">
        <v>1902</v>
      </c>
      <c r="G879" s="10">
        <v>220</v>
      </c>
      <c r="H879" s="11">
        <v>46034</v>
      </c>
      <c r="I879" s="10" t="s">
        <v>2054</v>
      </c>
      <c r="J879" s="12" t="str">
        <f>IF(OR(TED[[#This Row],[SITUACAO]]=1,TED[[#This Row],[SITUACAO]]=9,TED[[#This Row],[SITUACAO]]=18),"ATIVO","AFASTADO")</f>
        <v>ATIVO</v>
      </c>
      <c r="K879" s="12">
        <v>1</v>
      </c>
    </row>
    <row r="880" spans="1:11" x14ac:dyDescent="0.25">
      <c r="A880" s="10">
        <v>7422</v>
      </c>
      <c r="B880" s="9" t="s">
        <v>1279</v>
      </c>
      <c r="C880" s="12" t="str">
        <f>IFERROR(VLOOKUP(TED[[#This Row],[CENTRO]],'CENTRO DE CUSTO'!B:E,4,FALSE)," ")</f>
        <v>JEFFERSON</v>
      </c>
      <c r="D880" s="12">
        <v>101</v>
      </c>
      <c r="E880" s="16">
        <v>101004</v>
      </c>
      <c r="F880" s="10" t="s">
        <v>1905</v>
      </c>
      <c r="G880" s="10">
        <v>220</v>
      </c>
      <c r="H880" s="11">
        <v>42461</v>
      </c>
      <c r="I880" s="10" t="s">
        <v>941</v>
      </c>
      <c r="J880" s="12" t="str">
        <f>IF(OR(TED[[#This Row],[SITUACAO]]=1,TED[[#This Row],[SITUACAO]]=9,TED[[#This Row],[SITUACAO]]=18),"ATIVO","AFASTADO")</f>
        <v>ATIVO</v>
      </c>
      <c r="K880" s="12">
        <v>1</v>
      </c>
    </row>
    <row r="881" spans="1:11" x14ac:dyDescent="0.25">
      <c r="A881" s="10">
        <v>7511</v>
      </c>
      <c r="B881" s="9" t="s">
        <v>1291</v>
      </c>
      <c r="C881" s="12" t="str">
        <f>IFERROR(VLOOKUP(TED[[#This Row],[CENTRO]],'CENTRO DE CUSTO'!B:E,4,FALSE)," ")</f>
        <v>JEFFERSON</v>
      </c>
      <c r="D881" s="12">
        <v>101</v>
      </c>
      <c r="E881" s="16">
        <v>101004</v>
      </c>
      <c r="F881" s="10" t="s">
        <v>1905</v>
      </c>
      <c r="G881" s="10">
        <v>220</v>
      </c>
      <c r="H881" s="11">
        <v>42492</v>
      </c>
      <c r="I881" s="10" t="s">
        <v>1</v>
      </c>
      <c r="J881" s="12" t="str">
        <f>IF(OR(TED[[#This Row],[SITUACAO]]=1,TED[[#This Row],[SITUACAO]]=9,TED[[#This Row],[SITUACAO]]=18),"ATIVO","AFASTADO")</f>
        <v>ATIVO</v>
      </c>
      <c r="K881" s="12">
        <v>1</v>
      </c>
    </row>
    <row r="882" spans="1:11" x14ac:dyDescent="0.25">
      <c r="A882" s="10">
        <v>38103</v>
      </c>
      <c r="B882" s="9" t="s">
        <v>1215</v>
      </c>
      <c r="C882" s="12" t="str">
        <f>IFERROR(VLOOKUP(TED[[#This Row],[CENTRO]],'CENTRO DE CUSTO'!B:E,4,FALSE)," ")</f>
        <v>MARCOS</v>
      </c>
      <c r="D882" s="12">
        <v>101</v>
      </c>
      <c r="E882" s="16">
        <v>101001</v>
      </c>
      <c r="F882" s="10" t="s">
        <v>1902</v>
      </c>
      <c r="G882" s="10">
        <v>220</v>
      </c>
      <c r="H882" s="11">
        <v>45754</v>
      </c>
      <c r="I882" s="10" t="s">
        <v>935</v>
      </c>
      <c r="J882" s="12" t="str">
        <f>IF(OR(TED[[#This Row],[SITUACAO]]=1,TED[[#This Row],[SITUACAO]]=9,TED[[#This Row],[SITUACAO]]=18),"ATIVO","AFASTADO")</f>
        <v>AFASTADO</v>
      </c>
      <c r="K882" s="12">
        <v>6</v>
      </c>
    </row>
    <row r="883" spans="1:11" x14ac:dyDescent="0.25">
      <c r="A883" s="10">
        <v>17291</v>
      </c>
      <c r="B883" s="9" t="s">
        <v>1259</v>
      </c>
      <c r="C883" s="12" t="str">
        <f>IFERROR(VLOOKUP(TED[[#This Row],[CENTRO]],'CENTRO DE CUSTO'!B:E,4,FALSE)," ")</f>
        <v>JEFFERSON</v>
      </c>
      <c r="D883" s="12">
        <v>101</v>
      </c>
      <c r="E883" s="16">
        <v>101002</v>
      </c>
      <c r="F883" s="10" t="s">
        <v>1903</v>
      </c>
      <c r="G883" s="10">
        <v>220</v>
      </c>
      <c r="H883" s="11">
        <v>44414</v>
      </c>
      <c r="I883" s="10" t="s">
        <v>941</v>
      </c>
      <c r="J883" s="12" t="str">
        <f>IF(OR(TED[[#This Row],[SITUACAO]]=1,TED[[#This Row],[SITUACAO]]=9,TED[[#This Row],[SITUACAO]]=18),"ATIVO","AFASTADO")</f>
        <v>ATIVO</v>
      </c>
      <c r="K883" s="12">
        <v>1</v>
      </c>
    </row>
    <row r="884" spans="1:11" x14ac:dyDescent="0.25">
      <c r="A884" s="10">
        <v>31262</v>
      </c>
      <c r="B884" s="9" t="s">
        <v>1190</v>
      </c>
      <c r="C884" s="12" t="str">
        <f>IFERROR(VLOOKUP(TED[[#This Row],[CENTRO]],'CENTRO DE CUSTO'!B:E,4,FALSE)," ")</f>
        <v>MARCOS</v>
      </c>
      <c r="D884" s="12">
        <v>101</v>
      </c>
      <c r="E884" s="16">
        <v>101001</v>
      </c>
      <c r="F884" s="10" t="s">
        <v>1902</v>
      </c>
      <c r="G884" s="10">
        <v>220</v>
      </c>
      <c r="H884" s="11">
        <v>45344</v>
      </c>
      <c r="I884" s="10" t="s">
        <v>21</v>
      </c>
      <c r="J884" s="12" t="str">
        <f>IF(OR(TED[[#This Row],[SITUACAO]]=1,TED[[#This Row],[SITUACAO]]=9,TED[[#This Row],[SITUACAO]]=18),"ATIVO","AFASTADO")</f>
        <v>ATIVO</v>
      </c>
      <c r="K884" s="12">
        <v>1</v>
      </c>
    </row>
    <row r="885" spans="1:11" x14ac:dyDescent="0.25">
      <c r="A885" s="10">
        <v>27705</v>
      </c>
      <c r="B885" s="9" t="s">
        <v>1303</v>
      </c>
      <c r="C885" s="12" t="str">
        <f>IFERROR(VLOOKUP(TED[[#This Row],[CENTRO]],'CENTRO DE CUSTO'!B:E,4,FALSE)," ")</f>
        <v>JEFFERSON</v>
      </c>
      <c r="D885" s="12">
        <v>101</v>
      </c>
      <c r="E885" s="16">
        <v>101004</v>
      </c>
      <c r="F885" s="10" t="s">
        <v>1905</v>
      </c>
      <c r="G885" s="10">
        <v>220</v>
      </c>
      <c r="H885" s="11">
        <v>45110</v>
      </c>
      <c r="I885" s="10" t="s">
        <v>948</v>
      </c>
      <c r="J885" s="12" t="str">
        <f>IF(OR(TED[[#This Row],[SITUACAO]]=1,TED[[#This Row],[SITUACAO]]=9,TED[[#This Row],[SITUACAO]]=18),"ATIVO","AFASTADO")</f>
        <v>ATIVO</v>
      </c>
      <c r="K885" s="12">
        <v>1</v>
      </c>
    </row>
    <row r="886" spans="1:11" x14ac:dyDescent="0.25">
      <c r="A886" s="10">
        <v>40451</v>
      </c>
      <c r="B886" s="9" t="s">
        <v>1299</v>
      </c>
      <c r="C886" s="12" t="str">
        <f>IFERROR(VLOOKUP(TED[[#This Row],[CENTRO]],'CENTRO DE CUSTO'!B:E,4,FALSE)," ")</f>
        <v>JEFFERSON</v>
      </c>
      <c r="D886" s="12">
        <v>101</v>
      </c>
      <c r="E886" s="16">
        <v>101004</v>
      </c>
      <c r="F886" s="10" t="s">
        <v>1905</v>
      </c>
      <c r="G886" s="10">
        <v>220</v>
      </c>
      <c r="H886" s="11">
        <v>45902</v>
      </c>
      <c r="I886" s="10" t="s">
        <v>948</v>
      </c>
      <c r="J886" s="12" t="str">
        <f>IF(OR(TED[[#This Row],[SITUACAO]]=1,TED[[#This Row],[SITUACAO]]=9,TED[[#This Row],[SITUACAO]]=18),"ATIVO","AFASTADO")</f>
        <v>ATIVO</v>
      </c>
      <c r="K886" s="12">
        <v>1</v>
      </c>
    </row>
    <row r="887" spans="1:11" x14ac:dyDescent="0.25">
      <c r="A887" s="10">
        <v>7844</v>
      </c>
      <c r="B887" s="9" t="s">
        <v>1409</v>
      </c>
      <c r="C887" s="12" t="str">
        <f>IFERROR(VLOOKUP(TED[[#This Row],[CENTRO]],'CENTRO DE CUSTO'!B:E,4,FALSE)," ")</f>
        <v>MARCOS</v>
      </c>
      <c r="D887" s="12">
        <v>101</v>
      </c>
      <c r="E887" s="16">
        <v>101005</v>
      </c>
      <c r="F887" s="10" t="s">
        <v>1906</v>
      </c>
      <c r="G887" s="10">
        <v>220</v>
      </c>
      <c r="H887" s="11">
        <v>42562</v>
      </c>
      <c r="I887" s="10" t="s">
        <v>1007</v>
      </c>
      <c r="J887" s="12" t="str">
        <f>IF(OR(TED[[#This Row],[SITUACAO]]=1,TED[[#This Row],[SITUACAO]]=9,TED[[#This Row],[SITUACAO]]=18),"ATIVO","AFASTADO")</f>
        <v>ATIVO</v>
      </c>
      <c r="K887" s="12">
        <v>1</v>
      </c>
    </row>
    <row r="888" spans="1:11" x14ac:dyDescent="0.25">
      <c r="A888" s="10">
        <v>9021</v>
      </c>
      <c r="B888" s="9" t="s">
        <v>1522</v>
      </c>
      <c r="C888" s="12" t="str">
        <f>IFERROR(VLOOKUP(TED[[#This Row],[CENTRO]],'CENTRO DE CUSTO'!B:E,4,FALSE)," ")</f>
        <v>MARCOS</v>
      </c>
      <c r="D888" s="12">
        <v>101</v>
      </c>
      <c r="E888" s="16">
        <v>101010</v>
      </c>
      <c r="F888" s="10" t="s">
        <v>1911</v>
      </c>
      <c r="G888" s="10">
        <v>220</v>
      </c>
      <c r="H888" s="11">
        <v>42817</v>
      </c>
      <c r="I888" s="10" t="s">
        <v>941</v>
      </c>
      <c r="J888" s="12" t="str">
        <f>IF(OR(TED[[#This Row],[SITUACAO]]=1,TED[[#This Row],[SITUACAO]]=9,TED[[#This Row],[SITUACAO]]=18),"ATIVO","AFASTADO")</f>
        <v>ATIVO</v>
      </c>
      <c r="K888" s="12">
        <v>1</v>
      </c>
    </row>
    <row r="889" spans="1:11" x14ac:dyDescent="0.25">
      <c r="A889" s="10">
        <v>15906</v>
      </c>
      <c r="B889" s="9" t="s">
        <v>1501</v>
      </c>
      <c r="C889" s="12" t="str">
        <f>IFERROR(VLOOKUP(TED[[#This Row],[CENTRO]],'CENTRO DE CUSTO'!B:E,4,FALSE)," ")</f>
        <v>MARCOS</v>
      </c>
      <c r="D889" s="12">
        <v>101</v>
      </c>
      <c r="E889" s="16">
        <v>101008</v>
      </c>
      <c r="F889" s="10" t="s">
        <v>1909</v>
      </c>
      <c r="G889" s="10">
        <v>220</v>
      </c>
      <c r="H889" s="11">
        <v>44285</v>
      </c>
      <c r="I889" s="10" t="s">
        <v>957</v>
      </c>
      <c r="J889" s="12" t="str">
        <f>IF(OR(TED[[#This Row],[SITUACAO]]=1,TED[[#This Row],[SITUACAO]]=9,TED[[#This Row],[SITUACAO]]=18),"ATIVO","AFASTADO")</f>
        <v>ATIVO</v>
      </c>
      <c r="K889" s="12">
        <v>1</v>
      </c>
    </row>
    <row r="890" spans="1:11" x14ac:dyDescent="0.25">
      <c r="A890" s="10">
        <v>17287</v>
      </c>
      <c r="B890" s="9" t="s">
        <v>1386</v>
      </c>
      <c r="C890" s="12" t="str">
        <f>IFERROR(VLOOKUP(TED[[#This Row],[CENTRO]],'CENTRO DE CUSTO'!B:E,4,FALSE)," ")</f>
        <v>JEFFERSON</v>
      </c>
      <c r="D890" s="12">
        <v>101</v>
      </c>
      <c r="E890" s="16">
        <v>101004</v>
      </c>
      <c r="F890" s="10" t="s">
        <v>1905</v>
      </c>
      <c r="G890" s="10">
        <v>220</v>
      </c>
      <c r="H890" s="11">
        <v>44413</v>
      </c>
      <c r="I890" s="10" t="s">
        <v>941</v>
      </c>
      <c r="J890" s="12" t="str">
        <f>IF(OR(TED[[#This Row],[SITUACAO]]=1,TED[[#This Row],[SITUACAO]]=9,TED[[#This Row],[SITUACAO]]=18),"ATIVO","AFASTADO")</f>
        <v>ATIVO</v>
      </c>
      <c r="K890" s="12">
        <v>1</v>
      </c>
    </row>
    <row r="891" spans="1:11" x14ac:dyDescent="0.25">
      <c r="A891" s="10">
        <v>12901</v>
      </c>
      <c r="B891" s="9" t="s">
        <v>1559</v>
      </c>
      <c r="C891" s="12" t="str">
        <f>IFERROR(VLOOKUP(TED[[#This Row],[CENTRO]],'CENTRO DE CUSTO'!B:E,4,FALSE)," ")</f>
        <v>MARCOS</v>
      </c>
      <c r="D891" s="12">
        <v>101</v>
      </c>
      <c r="E891" s="16">
        <v>101010</v>
      </c>
      <c r="F891" s="10" t="s">
        <v>1911</v>
      </c>
      <c r="G891" s="10">
        <v>220</v>
      </c>
      <c r="H891" s="11">
        <v>43626</v>
      </c>
      <c r="I891" s="10" t="s">
        <v>941</v>
      </c>
      <c r="J891" s="12" t="str">
        <f>IF(OR(TED[[#This Row],[SITUACAO]]=1,TED[[#This Row],[SITUACAO]]=9,TED[[#This Row],[SITUACAO]]=18),"ATIVO","AFASTADO")</f>
        <v>ATIVO</v>
      </c>
      <c r="K891" s="12">
        <v>1</v>
      </c>
    </row>
    <row r="892" spans="1:11" x14ac:dyDescent="0.25">
      <c r="A892" s="10">
        <v>7338</v>
      </c>
      <c r="B892" s="9" t="s">
        <v>1353</v>
      </c>
      <c r="C892" s="12" t="str">
        <f>IFERROR(VLOOKUP(TED[[#This Row],[CENTRO]],'CENTRO DE CUSTO'!B:E,4,FALSE)," ")</f>
        <v>JEFFERSON</v>
      </c>
      <c r="D892" s="12">
        <v>101</v>
      </c>
      <c r="E892" s="16">
        <v>101004</v>
      </c>
      <c r="F892" s="10" t="s">
        <v>1905</v>
      </c>
      <c r="G892" s="10">
        <v>220</v>
      </c>
      <c r="H892" s="11">
        <v>42461</v>
      </c>
      <c r="I892" s="10" t="s">
        <v>941</v>
      </c>
      <c r="J892" s="12" t="str">
        <f>IF(OR(TED[[#This Row],[SITUACAO]]=1,TED[[#This Row],[SITUACAO]]=9,TED[[#This Row],[SITUACAO]]=18),"ATIVO","AFASTADO")</f>
        <v>ATIVO</v>
      </c>
      <c r="K892" s="12">
        <v>1</v>
      </c>
    </row>
    <row r="893" spans="1:11" x14ac:dyDescent="0.25">
      <c r="A893" s="10">
        <v>11061</v>
      </c>
      <c r="B893" s="9" t="s">
        <v>1535</v>
      </c>
      <c r="C893" s="12" t="str">
        <f>IFERROR(VLOOKUP(TED[[#This Row],[CENTRO]],'CENTRO DE CUSTO'!B:E,4,FALSE)," ")</f>
        <v>MARCOS</v>
      </c>
      <c r="D893" s="12">
        <v>101</v>
      </c>
      <c r="E893" s="16">
        <v>101001</v>
      </c>
      <c r="F893" s="10" t="s">
        <v>1902</v>
      </c>
      <c r="G893" s="10">
        <v>220</v>
      </c>
      <c r="H893" s="11">
        <v>43327</v>
      </c>
      <c r="I893" s="10" t="s">
        <v>21</v>
      </c>
      <c r="J893" s="12" t="str">
        <f>IF(OR(TED[[#This Row],[SITUACAO]]=1,TED[[#This Row],[SITUACAO]]=9,TED[[#This Row],[SITUACAO]]=18),"ATIVO","AFASTADO")</f>
        <v>ATIVO</v>
      </c>
      <c r="K893" s="12">
        <v>1</v>
      </c>
    </row>
    <row r="894" spans="1:11" x14ac:dyDescent="0.25">
      <c r="A894" s="10">
        <v>10984</v>
      </c>
      <c r="B894" s="9" t="s">
        <v>1002</v>
      </c>
      <c r="C894" s="12" t="str">
        <f>IFERROR(VLOOKUP(TED[[#This Row],[CENTRO]],'CENTRO DE CUSTO'!B:E,4,FALSE)," ")</f>
        <v>JEFFERSON</v>
      </c>
      <c r="D894" s="12">
        <v>101</v>
      </c>
      <c r="E894" s="16">
        <v>101004</v>
      </c>
      <c r="F894" s="10" t="s">
        <v>1905</v>
      </c>
      <c r="G894" s="10">
        <v>220</v>
      </c>
      <c r="H894" s="11">
        <v>43307</v>
      </c>
      <c r="I894" s="10" t="s">
        <v>1</v>
      </c>
      <c r="J894" s="12" t="str">
        <f>IF(OR(TED[[#This Row],[SITUACAO]]=1,TED[[#This Row],[SITUACAO]]=9,TED[[#This Row],[SITUACAO]]=18),"ATIVO","AFASTADO")</f>
        <v>ATIVO</v>
      </c>
      <c r="K894" s="12">
        <v>1</v>
      </c>
    </row>
    <row r="895" spans="1:11" x14ac:dyDescent="0.25">
      <c r="A895" s="10">
        <v>46001</v>
      </c>
      <c r="B895" s="9" t="s">
        <v>2336</v>
      </c>
      <c r="C895" s="12" t="str">
        <f>IFERROR(VLOOKUP(TED[[#This Row],[CENTRO]],'CENTRO DE CUSTO'!B:E,4,FALSE)," ")</f>
        <v>MARCOS</v>
      </c>
      <c r="D895" s="12">
        <v>101</v>
      </c>
      <c r="E895" s="16">
        <v>101001</v>
      </c>
      <c r="F895" s="10" t="s">
        <v>1902</v>
      </c>
      <c r="G895" s="10">
        <v>220</v>
      </c>
      <c r="H895" s="11">
        <v>46176</v>
      </c>
      <c r="I895" s="10" t="s">
        <v>942</v>
      </c>
      <c r="J895" s="12" t="str">
        <f>IF(OR(TED[[#This Row],[SITUACAO]]=1,TED[[#This Row],[SITUACAO]]=9,TED[[#This Row],[SITUACAO]]=18),"ATIVO","AFASTADO")</f>
        <v>ATIVO</v>
      </c>
      <c r="K895" s="12">
        <v>1</v>
      </c>
    </row>
    <row r="896" spans="1:11" x14ac:dyDescent="0.25">
      <c r="A896" s="10">
        <v>44622</v>
      </c>
      <c r="B896" s="9" t="s">
        <v>2134</v>
      </c>
      <c r="C896" s="12" t="str">
        <f>IFERROR(VLOOKUP(TED[[#This Row],[CENTRO]],'CENTRO DE CUSTO'!B:E,4,FALSE)," ")</f>
        <v>JEFFERSON</v>
      </c>
      <c r="D896" s="12">
        <v>101</v>
      </c>
      <c r="E896" s="16">
        <v>101007</v>
      </c>
      <c r="F896" s="10" t="s">
        <v>1908</v>
      </c>
      <c r="G896" s="10">
        <v>220</v>
      </c>
      <c r="H896" s="11">
        <v>46099</v>
      </c>
      <c r="I896" s="10" t="s">
        <v>961</v>
      </c>
      <c r="J896" s="12" t="str">
        <f>IF(OR(TED[[#This Row],[SITUACAO]]=1,TED[[#This Row],[SITUACAO]]=9,TED[[#This Row],[SITUACAO]]=18),"ATIVO","AFASTADO")</f>
        <v>ATIVO</v>
      </c>
      <c r="K896" s="12">
        <v>1</v>
      </c>
    </row>
    <row r="897" spans="1:11" x14ac:dyDescent="0.25">
      <c r="A897" s="10">
        <v>23785</v>
      </c>
      <c r="B897" s="9" t="s">
        <v>1001</v>
      </c>
      <c r="C897" s="12" t="str">
        <f>IFERROR(VLOOKUP(TED[[#This Row],[CENTRO]],'CENTRO DE CUSTO'!B:E,4,FALSE)," ")</f>
        <v>MARCOS</v>
      </c>
      <c r="D897" s="12">
        <v>101</v>
      </c>
      <c r="E897" s="16">
        <v>101010</v>
      </c>
      <c r="F897" s="10" t="s">
        <v>1911</v>
      </c>
      <c r="G897" s="10">
        <v>220</v>
      </c>
      <c r="H897" s="11">
        <v>44854</v>
      </c>
      <c r="I897" s="10" t="s">
        <v>21</v>
      </c>
      <c r="J897" s="12" t="str">
        <f>IF(OR(TED[[#This Row],[SITUACAO]]=1,TED[[#This Row],[SITUACAO]]=9,TED[[#This Row],[SITUACAO]]=18),"ATIVO","AFASTADO")</f>
        <v>ATIVO</v>
      </c>
      <c r="K897" s="12">
        <v>1</v>
      </c>
    </row>
    <row r="898" spans="1:11" x14ac:dyDescent="0.25">
      <c r="A898" s="10">
        <v>12716</v>
      </c>
      <c r="B898" s="9" t="s">
        <v>1319</v>
      </c>
      <c r="C898" s="12" t="str">
        <f>IFERROR(VLOOKUP(TED[[#This Row],[CENTRO]],'CENTRO DE CUSTO'!B:E,4,FALSE)," ")</f>
        <v>JEFFERSON</v>
      </c>
      <c r="D898" s="12">
        <v>101</v>
      </c>
      <c r="E898" s="16">
        <v>101004</v>
      </c>
      <c r="F898" s="10" t="s">
        <v>1905</v>
      </c>
      <c r="G898" s="10">
        <v>220</v>
      </c>
      <c r="H898" s="11">
        <v>43599</v>
      </c>
      <c r="I898" s="10" t="s">
        <v>21</v>
      </c>
      <c r="J898" s="12" t="str">
        <f>IF(OR(TED[[#This Row],[SITUACAO]]=1,TED[[#This Row],[SITUACAO]]=9,TED[[#This Row],[SITUACAO]]=18),"ATIVO","AFASTADO")</f>
        <v>ATIVO</v>
      </c>
      <c r="K898" s="12">
        <v>1</v>
      </c>
    </row>
    <row r="899" spans="1:11" x14ac:dyDescent="0.25">
      <c r="A899" s="10">
        <v>13837</v>
      </c>
      <c r="B899" s="9" t="s">
        <v>1236</v>
      </c>
      <c r="C899" s="12" t="str">
        <f>IFERROR(VLOOKUP(TED[[#This Row],[CENTRO]],'CENTRO DE CUSTO'!B:E,4,FALSE)," ")</f>
        <v>MARCOS</v>
      </c>
      <c r="D899" s="12">
        <v>101</v>
      </c>
      <c r="E899" s="16">
        <v>101001</v>
      </c>
      <c r="F899" s="10" t="s">
        <v>1902</v>
      </c>
      <c r="G899" s="10">
        <v>220</v>
      </c>
      <c r="H899" s="11">
        <v>43836</v>
      </c>
      <c r="I899" s="10" t="s">
        <v>942</v>
      </c>
      <c r="J899" s="12" t="str">
        <f>IF(OR(TED[[#This Row],[SITUACAO]]=1,TED[[#This Row],[SITUACAO]]=9,TED[[#This Row],[SITUACAO]]=18),"ATIVO","AFASTADO")</f>
        <v>ATIVO</v>
      </c>
      <c r="K899" s="12">
        <v>1</v>
      </c>
    </row>
    <row r="900" spans="1:11" x14ac:dyDescent="0.25">
      <c r="A900" s="10">
        <v>46138</v>
      </c>
      <c r="B900" s="9" t="s">
        <v>2337</v>
      </c>
      <c r="C900" s="12" t="str">
        <f>IFERROR(VLOOKUP(TED[[#This Row],[CENTRO]],'CENTRO DE CUSTO'!B:E,4,FALSE)," ")</f>
        <v>JEFFERSON</v>
      </c>
      <c r="D900" s="12">
        <v>101</v>
      </c>
      <c r="E900" s="16">
        <v>101004</v>
      </c>
      <c r="F900" s="10" t="s">
        <v>1905</v>
      </c>
      <c r="G900" s="10">
        <v>220</v>
      </c>
      <c r="H900" s="11">
        <v>46184</v>
      </c>
      <c r="I900" s="10" t="s">
        <v>941</v>
      </c>
      <c r="J900" s="12" t="str">
        <f>IF(OR(TED[[#This Row],[SITUACAO]]=1,TED[[#This Row],[SITUACAO]]=9,TED[[#This Row],[SITUACAO]]=18),"ATIVO","AFASTADO")</f>
        <v>ATIVO</v>
      </c>
      <c r="K900" s="12">
        <v>1</v>
      </c>
    </row>
    <row r="901" spans="1:11" x14ac:dyDescent="0.25">
      <c r="A901" s="10">
        <v>7485</v>
      </c>
      <c r="B901" s="9" t="s">
        <v>1329</v>
      </c>
      <c r="C901" s="12" t="str">
        <f>IFERROR(VLOOKUP(TED[[#This Row],[CENTRO]],'CENTRO DE CUSTO'!B:E,4,FALSE)," ")</f>
        <v>JEFFERSON</v>
      </c>
      <c r="D901" s="12">
        <v>101</v>
      </c>
      <c r="E901" s="16">
        <v>101004</v>
      </c>
      <c r="F901" s="10" t="s">
        <v>1905</v>
      </c>
      <c r="G901" s="10">
        <v>220</v>
      </c>
      <c r="H901" s="11">
        <v>42480</v>
      </c>
      <c r="I901" s="10" t="s">
        <v>1</v>
      </c>
      <c r="J901" s="12" t="str">
        <f>IF(OR(TED[[#This Row],[SITUACAO]]=1,TED[[#This Row],[SITUACAO]]=9,TED[[#This Row],[SITUACAO]]=18),"ATIVO","AFASTADO")</f>
        <v>ATIVO</v>
      </c>
      <c r="K901" s="12">
        <v>1</v>
      </c>
    </row>
    <row r="902" spans="1:11" x14ac:dyDescent="0.25">
      <c r="A902" s="10">
        <v>46280</v>
      </c>
      <c r="B902" s="9" t="s">
        <v>2338</v>
      </c>
      <c r="C902" s="12" t="str">
        <f>IFERROR(VLOOKUP(TED[[#This Row],[CENTRO]],'CENTRO DE CUSTO'!B:E,4,FALSE)," ")</f>
        <v>MARCOS</v>
      </c>
      <c r="D902" s="12">
        <v>101</v>
      </c>
      <c r="E902" s="16">
        <v>101011</v>
      </c>
      <c r="F902" s="10" t="s">
        <v>1912</v>
      </c>
      <c r="G902" s="10">
        <v>220</v>
      </c>
      <c r="H902" s="11">
        <v>46190</v>
      </c>
      <c r="I902" s="10" t="s">
        <v>21</v>
      </c>
      <c r="J902" s="12" t="str">
        <f>IF(OR(TED[[#This Row],[SITUACAO]]=1,TED[[#This Row],[SITUACAO]]=9,TED[[#This Row],[SITUACAO]]=18),"ATIVO","AFASTADO")</f>
        <v>ATIVO</v>
      </c>
      <c r="K902" s="12">
        <v>1</v>
      </c>
    </row>
    <row r="903" spans="1:11" x14ac:dyDescent="0.25">
      <c r="A903" s="10">
        <v>28177</v>
      </c>
      <c r="B903" s="9" t="s">
        <v>1485</v>
      </c>
      <c r="C903" s="12" t="str">
        <f>IFERROR(VLOOKUP(TED[[#This Row],[CENTRO]],'CENTRO DE CUSTO'!B:E,4,FALSE)," ")</f>
        <v>JEFFERSON</v>
      </c>
      <c r="D903" s="12">
        <v>101</v>
      </c>
      <c r="E903" s="16">
        <v>101007</v>
      </c>
      <c r="F903" s="10" t="s">
        <v>1908</v>
      </c>
      <c r="G903" s="10">
        <v>220</v>
      </c>
      <c r="H903" s="11">
        <v>45150</v>
      </c>
      <c r="I903" s="10" t="s">
        <v>946</v>
      </c>
      <c r="J903" s="12" t="str">
        <f>IF(OR(TED[[#This Row],[SITUACAO]]=1,TED[[#This Row],[SITUACAO]]=9,TED[[#This Row],[SITUACAO]]=18),"ATIVO","AFASTADO")</f>
        <v>ATIVO</v>
      </c>
      <c r="K903" s="12">
        <v>1</v>
      </c>
    </row>
    <row r="904" spans="1:11" x14ac:dyDescent="0.25">
      <c r="A904" s="10">
        <v>47393</v>
      </c>
      <c r="B904" s="9" t="s">
        <v>2339</v>
      </c>
      <c r="C904" s="12" t="str">
        <f>IFERROR(VLOOKUP(TED[[#This Row],[CENTRO]],'CENTRO DE CUSTO'!B:E,4,FALSE)," ")</f>
        <v>MARCOS</v>
      </c>
      <c r="D904" s="12">
        <v>101</v>
      </c>
      <c r="E904" s="16">
        <v>101010</v>
      </c>
      <c r="F904" s="10" t="s">
        <v>1911</v>
      </c>
      <c r="G904" s="10">
        <v>220</v>
      </c>
      <c r="H904" s="11">
        <v>46204</v>
      </c>
      <c r="I904" s="10" t="s">
        <v>941</v>
      </c>
      <c r="J904" s="12" t="str">
        <f>IF(OR(TED[[#This Row],[SITUACAO]]=1,TED[[#This Row],[SITUACAO]]=9,TED[[#This Row],[SITUACAO]]=18),"ATIVO","AFASTADO")</f>
        <v>ATIVO</v>
      </c>
      <c r="K904" s="12">
        <v>1</v>
      </c>
    </row>
    <row r="905" spans="1:11" x14ac:dyDescent="0.25">
      <c r="A905" s="10">
        <v>43530</v>
      </c>
      <c r="B905" s="9" t="s">
        <v>2076</v>
      </c>
      <c r="C905" s="12" t="str">
        <f>IFERROR(VLOOKUP(TED[[#This Row],[CENTRO]],'CENTRO DE CUSTO'!B:E,4,FALSE)," ")</f>
        <v>JEFFERSON</v>
      </c>
      <c r="D905" s="12">
        <v>101</v>
      </c>
      <c r="E905" s="16">
        <v>101002</v>
      </c>
      <c r="F905" s="10" t="s">
        <v>1903</v>
      </c>
      <c r="G905" s="10">
        <v>220</v>
      </c>
      <c r="H905" s="11">
        <v>46055</v>
      </c>
      <c r="I905" s="10" t="s">
        <v>1</v>
      </c>
      <c r="J905" s="12" t="str">
        <f>IF(OR(TED[[#This Row],[SITUACAO]]=1,TED[[#This Row],[SITUACAO]]=9,TED[[#This Row],[SITUACAO]]=18),"ATIVO","AFASTADO")</f>
        <v>ATIVO</v>
      </c>
      <c r="K905" s="12">
        <v>1</v>
      </c>
    </row>
    <row r="906" spans="1:11" x14ac:dyDescent="0.25">
      <c r="A906" s="10">
        <v>33884</v>
      </c>
      <c r="B906" s="9" t="s">
        <v>1239</v>
      </c>
      <c r="C906" s="12" t="str">
        <f>IFERROR(VLOOKUP(TED[[#This Row],[CENTRO]],'CENTRO DE CUSTO'!B:E,4,FALSE)," ")</f>
        <v>MARCOS</v>
      </c>
      <c r="D906" s="12">
        <v>101</v>
      </c>
      <c r="E906" s="16">
        <v>101001</v>
      </c>
      <c r="F906" s="10" t="s">
        <v>1902</v>
      </c>
      <c r="G906" s="10">
        <v>220</v>
      </c>
      <c r="H906" s="11">
        <v>45554</v>
      </c>
      <c r="I906" s="10" t="s">
        <v>947</v>
      </c>
      <c r="J906" s="12" t="str">
        <f>IF(OR(TED[[#This Row],[SITUACAO]]=1,TED[[#This Row],[SITUACAO]]=9,TED[[#This Row],[SITUACAO]]=18),"ATIVO","AFASTADO")</f>
        <v>ATIVO</v>
      </c>
      <c r="K906" s="12">
        <v>1</v>
      </c>
    </row>
    <row r="907" spans="1:11" x14ac:dyDescent="0.25">
      <c r="A907" s="10">
        <v>41548</v>
      </c>
      <c r="B907" s="9" t="s">
        <v>1286</v>
      </c>
      <c r="C907" s="12" t="str">
        <f>IFERROR(VLOOKUP(TED[[#This Row],[CENTRO]],'CENTRO DE CUSTO'!B:E,4,FALSE)," ")</f>
        <v>MARCOS</v>
      </c>
      <c r="D907" s="12">
        <v>101</v>
      </c>
      <c r="E907" s="16">
        <v>101010</v>
      </c>
      <c r="F907" s="10" t="s">
        <v>1911</v>
      </c>
      <c r="G907" s="10">
        <v>220</v>
      </c>
      <c r="H907" s="11">
        <v>45933</v>
      </c>
      <c r="I907" s="10" t="s">
        <v>21</v>
      </c>
      <c r="J907" s="12" t="str">
        <f>IF(OR(TED[[#This Row],[SITUACAO]]=1,TED[[#This Row],[SITUACAO]]=9,TED[[#This Row],[SITUACAO]]=18),"ATIVO","AFASTADO")</f>
        <v>ATIVO</v>
      </c>
      <c r="K907" s="12">
        <v>1</v>
      </c>
    </row>
    <row r="908" spans="1:11" x14ac:dyDescent="0.25">
      <c r="A908" s="10">
        <v>43184</v>
      </c>
      <c r="B908" s="9" t="s">
        <v>1218</v>
      </c>
      <c r="C908" s="12" t="str">
        <f>IFERROR(VLOOKUP(TED[[#This Row],[CENTRO]],'CENTRO DE CUSTO'!B:E,4,FALSE)," ")</f>
        <v>MARCOS</v>
      </c>
      <c r="D908" s="12">
        <v>101</v>
      </c>
      <c r="E908" s="16">
        <v>101001</v>
      </c>
      <c r="F908" s="10" t="s">
        <v>1902</v>
      </c>
      <c r="G908" s="10">
        <v>220</v>
      </c>
      <c r="H908" s="11">
        <v>46029</v>
      </c>
      <c r="I908" s="10" t="s">
        <v>947</v>
      </c>
      <c r="J908" s="12" t="str">
        <f>IF(OR(TED[[#This Row],[SITUACAO]]=1,TED[[#This Row],[SITUACAO]]=9,TED[[#This Row],[SITUACAO]]=18),"ATIVO","AFASTADO")</f>
        <v>ATIVO</v>
      </c>
      <c r="K908" s="12">
        <v>1</v>
      </c>
    </row>
    <row r="909" spans="1:11" x14ac:dyDescent="0.25">
      <c r="A909" s="10">
        <v>7530</v>
      </c>
      <c r="B909" s="9" t="s">
        <v>1254</v>
      </c>
      <c r="C909" s="12" t="str">
        <f>IFERROR(VLOOKUP(TED[[#This Row],[CENTRO]],'CENTRO DE CUSTO'!B:E,4,FALSE)," ")</f>
        <v>JEFFERSON</v>
      </c>
      <c r="D909" s="12">
        <v>101</v>
      </c>
      <c r="E909" s="16">
        <v>101002</v>
      </c>
      <c r="F909" s="10" t="s">
        <v>1903</v>
      </c>
      <c r="G909" s="10">
        <v>220</v>
      </c>
      <c r="H909" s="11">
        <v>42509</v>
      </c>
      <c r="I909" s="10" t="s">
        <v>941</v>
      </c>
      <c r="J909" s="12" t="str">
        <f>IF(OR(TED[[#This Row],[SITUACAO]]=1,TED[[#This Row],[SITUACAO]]=9,TED[[#This Row],[SITUACAO]]=18),"ATIVO","AFASTADO")</f>
        <v>ATIVO</v>
      </c>
      <c r="K909" s="12">
        <v>1</v>
      </c>
    </row>
    <row r="910" spans="1:11" x14ac:dyDescent="0.25">
      <c r="A910" s="10">
        <v>47217</v>
      </c>
      <c r="B910" s="9" t="s">
        <v>2340</v>
      </c>
      <c r="C910" s="12" t="str">
        <f>IFERROR(VLOOKUP(TED[[#This Row],[CENTRO]],'CENTRO DE CUSTO'!B:E,4,FALSE)," ")</f>
        <v>MARCOS</v>
      </c>
      <c r="D910" s="12">
        <v>101</v>
      </c>
      <c r="E910" s="16">
        <v>101010</v>
      </c>
      <c r="F910" s="10" t="s">
        <v>1911</v>
      </c>
      <c r="G910" s="10">
        <v>220</v>
      </c>
      <c r="H910" s="11">
        <v>46198</v>
      </c>
      <c r="I910" s="10" t="s">
        <v>21</v>
      </c>
      <c r="J910" s="12" t="str">
        <f>IF(OR(TED[[#This Row],[SITUACAO]]=1,TED[[#This Row],[SITUACAO]]=9,TED[[#This Row],[SITUACAO]]=18),"ATIVO","AFASTADO")</f>
        <v>ATIVO</v>
      </c>
      <c r="K910" s="12">
        <v>1</v>
      </c>
    </row>
    <row r="911" spans="1:11" x14ac:dyDescent="0.25">
      <c r="A911" s="10">
        <v>36740</v>
      </c>
      <c r="B911" s="9" t="s">
        <v>1293</v>
      </c>
      <c r="C911" s="12" t="str">
        <f>IFERROR(VLOOKUP(TED[[#This Row],[CENTRO]],'CENTRO DE CUSTO'!B:E,4,FALSE)," ")</f>
        <v>JEFFERSON</v>
      </c>
      <c r="D911" s="12">
        <v>101</v>
      </c>
      <c r="E911" s="16">
        <v>101004</v>
      </c>
      <c r="F911" s="10" t="s">
        <v>1905</v>
      </c>
      <c r="G911" s="10">
        <v>220</v>
      </c>
      <c r="H911" s="11">
        <v>45695</v>
      </c>
      <c r="I911" s="10" t="s">
        <v>937</v>
      </c>
      <c r="J911" s="12" t="str">
        <f>IF(OR(TED[[#This Row],[SITUACAO]]=1,TED[[#This Row],[SITUACAO]]=9,TED[[#This Row],[SITUACAO]]=18),"ATIVO","AFASTADO")</f>
        <v>ATIVO</v>
      </c>
      <c r="K911" s="12">
        <v>1</v>
      </c>
    </row>
    <row r="912" spans="1:11" x14ac:dyDescent="0.25">
      <c r="A912" s="10">
        <v>16483</v>
      </c>
      <c r="B912" s="9" t="s">
        <v>1202</v>
      </c>
      <c r="C912" s="12" t="str">
        <f>IFERROR(VLOOKUP(TED[[#This Row],[CENTRO]],'CENTRO DE CUSTO'!B:E,4,FALSE)," ")</f>
        <v>MARCOS</v>
      </c>
      <c r="D912" s="12">
        <v>101</v>
      </c>
      <c r="E912" s="16">
        <v>101001</v>
      </c>
      <c r="F912" s="10" t="s">
        <v>1902</v>
      </c>
      <c r="G912" s="10">
        <v>220</v>
      </c>
      <c r="H912" s="11">
        <v>44356</v>
      </c>
      <c r="I912" s="10" t="s">
        <v>933</v>
      </c>
      <c r="J912" s="12" t="str">
        <f>IF(OR(TED[[#This Row],[SITUACAO]]=1,TED[[#This Row],[SITUACAO]]=9,TED[[#This Row],[SITUACAO]]=18),"ATIVO","AFASTADO")</f>
        <v>ATIVO</v>
      </c>
      <c r="K912" s="12">
        <v>1</v>
      </c>
    </row>
    <row r="913" spans="1:11" x14ac:dyDescent="0.25">
      <c r="A913" s="10">
        <v>32461</v>
      </c>
      <c r="B913" s="9" t="s">
        <v>1528</v>
      </c>
      <c r="C913" s="12" t="str">
        <f>IFERROR(VLOOKUP(TED[[#This Row],[CENTRO]],'CENTRO DE CUSTO'!B:E,4,FALSE)," ")</f>
        <v>MARCOS</v>
      </c>
      <c r="D913" s="12">
        <v>101</v>
      </c>
      <c r="E913" s="16">
        <v>101010</v>
      </c>
      <c r="F913" s="10" t="s">
        <v>1911</v>
      </c>
      <c r="G913" s="10">
        <v>220</v>
      </c>
      <c r="H913" s="11">
        <v>45419</v>
      </c>
      <c r="I913" s="10" t="s">
        <v>948</v>
      </c>
      <c r="J913" s="12" t="str">
        <f>IF(OR(TED[[#This Row],[SITUACAO]]=1,TED[[#This Row],[SITUACAO]]=9,TED[[#This Row],[SITUACAO]]=18),"ATIVO","AFASTADO")</f>
        <v>ATIVO</v>
      </c>
      <c r="K913" s="12">
        <v>1</v>
      </c>
    </row>
    <row r="914" spans="1:11" x14ac:dyDescent="0.25">
      <c r="A914" s="10">
        <v>29793</v>
      </c>
      <c r="B914" s="9" t="s">
        <v>1179</v>
      </c>
      <c r="C914" s="12" t="str">
        <f>IFERROR(VLOOKUP(TED[[#This Row],[CENTRO]],'CENTRO DE CUSTO'!B:E,4,FALSE)," ")</f>
        <v>MARCOS</v>
      </c>
      <c r="D914" s="12">
        <v>101</v>
      </c>
      <c r="E914" s="16">
        <v>101001</v>
      </c>
      <c r="F914" s="10" t="s">
        <v>1902</v>
      </c>
      <c r="G914" s="10">
        <v>220</v>
      </c>
      <c r="H914" s="11">
        <v>45309</v>
      </c>
      <c r="I914" s="10" t="s">
        <v>1</v>
      </c>
      <c r="J914" s="12" t="str">
        <f>IF(OR(TED[[#This Row],[SITUACAO]]=1,TED[[#This Row],[SITUACAO]]=9,TED[[#This Row],[SITUACAO]]=18),"ATIVO","AFASTADO")</f>
        <v>ATIVO</v>
      </c>
      <c r="K914" s="12">
        <v>1</v>
      </c>
    </row>
    <row r="915" spans="1:11" x14ac:dyDescent="0.25">
      <c r="A915" s="10">
        <v>41345</v>
      </c>
      <c r="B915" s="9" t="s">
        <v>1577</v>
      </c>
      <c r="C915" s="12" t="str">
        <f>IFERROR(VLOOKUP(TED[[#This Row],[CENTRO]],'CENTRO DE CUSTO'!B:E,4,FALSE)," ")</f>
        <v>MARCOS</v>
      </c>
      <c r="D915" s="12">
        <v>101</v>
      </c>
      <c r="E915" s="16">
        <v>101012</v>
      </c>
      <c r="F915" s="10" t="s">
        <v>1913</v>
      </c>
      <c r="G915" s="10">
        <v>220</v>
      </c>
      <c r="H915" s="11">
        <v>45932</v>
      </c>
      <c r="I915" s="10" t="s">
        <v>933</v>
      </c>
      <c r="J915" s="12" t="str">
        <f>IF(OR(TED[[#This Row],[SITUACAO]]=1,TED[[#This Row],[SITUACAO]]=9,TED[[#This Row],[SITUACAO]]=18),"ATIVO","AFASTADO")</f>
        <v>ATIVO</v>
      </c>
      <c r="K915" s="12">
        <v>1</v>
      </c>
    </row>
    <row r="916" spans="1:11" x14ac:dyDescent="0.25">
      <c r="A916" s="10">
        <v>26215</v>
      </c>
      <c r="B916" s="9" t="s">
        <v>1260</v>
      </c>
      <c r="C916" s="12" t="str">
        <f>IFERROR(VLOOKUP(TED[[#This Row],[CENTRO]],'CENTRO DE CUSTO'!B:E,4,FALSE)," ")</f>
        <v>JEFFERSON</v>
      </c>
      <c r="D916" s="12">
        <v>101</v>
      </c>
      <c r="E916" s="16">
        <v>101002</v>
      </c>
      <c r="F916" s="10" t="s">
        <v>1903</v>
      </c>
      <c r="G916" s="10">
        <v>220</v>
      </c>
      <c r="H916" s="11">
        <v>45020</v>
      </c>
      <c r="I916" s="10" t="s">
        <v>947</v>
      </c>
      <c r="J916" s="12" t="str">
        <f>IF(OR(TED[[#This Row],[SITUACAO]]=1,TED[[#This Row],[SITUACAO]]=9,TED[[#This Row],[SITUACAO]]=18),"ATIVO","AFASTADO")</f>
        <v>ATIVO</v>
      </c>
      <c r="K916" s="12">
        <v>1</v>
      </c>
    </row>
    <row r="917" spans="1:11" x14ac:dyDescent="0.25">
      <c r="A917" s="10">
        <v>12034</v>
      </c>
      <c r="B917" s="9" t="s">
        <v>1000</v>
      </c>
      <c r="C917" s="12" t="str">
        <f>IFERROR(VLOOKUP(TED[[#This Row],[CENTRO]],'CENTRO DE CUSTO'!B:E,4,FALSE)," ")</f>
        <v>MARCOS</v>
      </c>
      <c r="D917" s="12">
        <v>101</v>
      </c>
      <c r="E917" s="16">
        <v>101010</v>
      </c>
      <c r="F917" s="10" t="s">
        <v>1911</v>
      </c>
      <c r="G917" s="10">
        <v>220</v>
      </c>
      <c r="H917" s="11">
        <v>43494</v>
      </c>
      <c r="I917" s="10" t="s">
        <v>21</v>
      </c>
      <c r="J917" s="12" t="str">
        <f>IF(OR(TED[[#This Row],[SITUACAO]]=1,TED[[#This Row],[SITUACAO]]=9,TED[[#This Row],[SITUACAO]]=18),"ATIVO","AFASTADO")</f>
        <v>ATIVO</v>
      </c>
      <c r="K917" s="12">
        <v>1</v>
      </c>
    </row>
    <row r="918" spans="1:11" x14ac:dyDescent="0.25">
      <c r="A918" s="10">
        <v>9677</v>
      </c>
      <c r="B918" s="9" t="s">
        <v>1325</v>
      </c>
      <c r="C918" s="12" t="str">
        <f>IFERROR(VLOOKUP(TED[[#This Row],[CENTRO]],'CENTRO DE CUSTO'!B:E,4,FALSE)," ")</f>
        <v>JEFFERSON</v>
      </c>
      <c r="D918" s="12">
        <v>101</v>
      </c>
      <c r="E918" s="16">
        <v>101004</v>
      </c>
      <c r="F918" s="10" t="s">
        <v>1905</v>
      </c>
      <c r="G918" s="10">
        <v>220</v>
      </c>
      <c r="H918" s="11">
        <v>43024</v>
      </c>
      <c r="I918" s="10" t="s">
        <v>21</v>
      </c>
      <c r="J918" s="12" t="str">
        <f>IF(OR(TED[[#This Row],[SITUACAO]]=1,TED[[#This Row],[SITUACAO]]=9,TED[[#This Row],[SITUACAO]]=18),"ATIVO","AFASTADO")</f>
        <v>AFASTADO</v>
      </c>
      <c r="K918" s="12">
        <v>16</v>
      </c>
    </row>
    <row r="919" spans="1:11" x14ac:dyDescent="0.25">
      <c r="A919" s="10">
        <v>45034</v>
      </c>
      <c r="B919" s="9" t="s">
        <v>2177</v>
      </c>
      <c r="C919" s="12" t="str">
        <f>IFERROR(VLOOKUP(TED[[#This Row],[CENTRO]],'CENTRO DE CUSTO'!B:E,4,FALSE)," ")</f>
        <v>JEFFERSON</v>
      </c>
      <c r="D919" s="12">
        <v>101</v>
      </c>
      <c r="E919" s="16">
        <v>101004</v>
      </c>
      <c r="F919" s="10" t="s">
        <v>1905</v>
      </c>
      <c r="G919" s="10">
        <v>220</v>
      </c>
      <c r="H919" s="11">
        <v>46121</v>
      </c>
      <c r="I919" s="10" t="s">
        <v>941</v>
      </c>
      <c r="J919" s="12" t="str">
        <f>IF(OR(TED[[#This Row],[SITUACAO]]=1,TED[[#This Row],[SITUACAO]]=9,TED[[#This Row],[SITUACAO]]=18),"ATIVO","AFASTADO")</f>
        <v>ATIVO</v>
      </c>
      <c r="K919" s="12">
        <v>1</v>
      </c>
    </row>
    <row r="920" spans="1:11" x14ac:dyDescent="0.25">
      <c r="A920" s="10">
        <v>7371</v>
      </c>
      <c r="B920" s="9" t="s">
        <v>1304</v>
      </c>
      <c r="C920" s="12" t="str">
        <f>IFERROR(VLOOKUP(TED[[#This Row],[CENTRO]],'CENTRO DE CUSTO'!B:E,4,FALSE)," ")</f>
        <v>JEFFERSON</v>
      </c>
      <c r="D920" s="12">
        <v>101</v>
      </c>
      <c r="E920" s="16">
        <v>101004</v>
      </c>
      <c r="F920" s="10" t="s">
        <v>1905</v>
      </c>
      <c r="G920" s="10">
        <v>220</v>
      </c>
      <c r="H920" s="11">
        <v>42461</v>
      </c>
      <c r="I920" s="10" t="s">
        <v>941</v>
      </c>
      <c r="J920" s="12" t="str">
        <f>IF(OR(TED[[#This Row],[SITUACAO]]=1,TED[[#This Row],[SITUACAO]]=9,TED[[#This Row],[SITUACAO]]=18),"ATIVO","AFASTADO")</f>
        <v>ATIVO</v>
      </c>
      <c r="K920" s="12">
        <v>1</v>
      </c>
    </row>
    <row r="921" spans="1:11" x14ac:dyDescent="0.25">
      <c r="A921" s="10">
        <v>34743</v>
      </c>
      <c r="B921" s="9" t="s">
        <v>1571</v>
      </c>
      <c r="C921" s="12" t="str">
        <f>IFERROR(VLOOKUP(TED[[#This Row],[CENTRO]],'CENTRO DE CUSTO'!B:E,4,FALSE)," ")</f>
        <v>MARCOS</v>
      </c>
      <c r="D921" s="12">
        <v>101</v>
      </c>
      <c r="E921" s="16">
        <v>101011</v>
      </c>
      <c r="F921" s="10" t="s">
        <v>1912</v>
      </c>
      <c r="G921" s="10">
        <v>220</v>
      </c>
      <c r="H921" s="11">
        <v>45625</v>
      </c>
      <c r="I921" s="10" t="s">
        <v>21</v>
      </c>
      <c r="J921" s="12" t="str">
        <f>IF(OR(TED[[#This Row],[SITUACAO]]=1,TED[[#This Row],[SITUACAO]]=9,TED[[#This Row],[SITUACAO]]=18),"ATIVO","AFASTADO")</f>
        <v>AFASTADO</v>
      </c>
      <c r="K921" s="12">
        <v>6</v>
      </c>
    </row>
    <row r="922" spans="1:11" x14ac:dyDescent="0.25">
      <c r="A922" s="10">
        <v>32721</v>
      </c>
      <c r="B922" s="9" t="s">
        <v>1333</v>
      </c>
      <c r="C922" s="12" t="str">
        <f>IFERROR(VLOOKUP(TED[[#This Row],[CENTRO]],'CENTRO DE CUSTO'!B:E,4,FALSE)," ")</f>
        <v>JEFFERSON</v>
      </c>
      <c r="D922" s="12">
        <v>101</v>
      </c>
      <c r="E922" s="16">
        <v>101004</v>
      </c>
      <c r="F922" s="10" t="s">
        <v>1905</v>
      </c>
      <c r="G922" s="10">
        <v>220</v>
      </c>
      <c r="H922" s="11">
        <v>45446</v>
      </c>
      <c r="I922" s="10" t="s">
        <v>941</v>
      </c>
      <c r="J922" s="12" t="str">
        <f>IF(OR(TED[[#This Row],[SITUACAO]]=1,TED[[#This Row],[SITUACAO]]=9,TED[[#This Row],[SITUACAO]]=18),"ATIVO","AFASTADO")</f>
        <v>ATIVO</v>
      </c>
      <c r="K922" s="12">
        <v>1</v>
      </c>
    </row>
    <row r="923" spans="1:11" x14ac:dyDescent="0.25">
      <c r="A923" s="10">
        <v>10842</v>
      </c>
      <c r="B923" s="9" t="s">
        <v>1465</v>
      </c>
      <c r="C923" s="12" t="str">
        <f>IFERROR(VLOOKUP(TED[[#This Row],[CENTRO]],'CENTRO DE CUSTO'!B:E,4,FALSE)," ")</f>
        <v>JEFFERSON</v>
      </c>
      <c r="D923" s="12">
        <v>101</v>
      </c>
      <c r="E923" s="16">
        <v>101007</v>
      </c>
      <c r="F923" s="10" t="s">
        <v>1908</v>
      </c>
      <c r="G923" s="10">
        <v>220</v>
      </c>
      <c r="H923" s="11">
        <v>43269</v>
      </c>
      <c r="I923" s="10" t="s">
        <v>1993</v>
      </c>
      <c r="J923" s="12" t="str">
        <f>IF(OR(TED[[#This Row],[SITUACAO]]=1,TED[[#This Row],[SITUACAO]]=9,TED[[#This Row],[SITUACAO]]=18),"ATIVO","AFASTADO")</f>
        <v>ATIVO</v>
      </c>
      <c r="K923" s="12">
        <v>1</v>
      </c>
    </row>
    <row r="924" spans="1:11" x14ac:dyDescent="0.25">
      <c r="A924" s="10">
        <v>32406</v>
      </c>
      <c r="B924" s="9" t="s">
        <v>1488</v>
      </c>
      <c r="C924" s="12" t="str">
        <f>IFERROR(VLOOKUP(TED[[#This Row],[CENTRO]],'CENTRO DE CUSTO'!B:E,4,FALSE)," ")</f>
        <v>MARCOS</v>
      </c>
      <c r="D924" s="12">
        <v>101</v>
      </c>
      <c r="E924" s="16">
        <v>101008</v>
      </c>
      <c r="F924" s="10" t="s">
        <v>1909</v>
      </c>
      <c r="G924" s="10">
        <v>220</v>
      </c>
      <c r="H924" s="11">
        <v>45415</v>
      </c>
      <c r="I924" s="10" t="s">
        <v>957</v>
      </c>
      <c r="J924" s="12" t="str">
        <f>IF(OR(TED[[#This Row],[SITUACAO]]=1,TED[[#This Row],[SITUACAO]]=9,TED[[#This Row],[SITUACAO]]=18),"ATIVO","AFASTADO")</f>
        <v>ATIVO</v>
      </c>
      <c r="K924" s="12">
        <v>1</v>
      </c>
    </row>
    <row r="925" spans="1:11" x14ac:dyDescent="0.25">
      <c r="A925" s="10">
        <v>22771</v>
      </c>
      <c r="B925" s="9" t="s">
        <v>1306</v>
      </c>
      <c r="C925" s="12" t="str">
        <f>IFERROR(VLOOKUP(TED[[#This Row],[CENTRO]],'CENTRO DE CUSTO'!B:E,4,FALSE)," ")</f>
        <v>JEFFERSON</v>
      </c>
      <c r="D925" s="12">
        <v>101</v>
      </c>
      <c r="E925" s="16">
        <v>101004</v>
      </c>
      <c r="F925" s="10" t="s">
        <v>1905</v>
      </c>
      <c r="G925" s="10">
        <v>220</v>
      </c>
      <c r="H925" s="11">
        <v>44785</v>
      </c>
      <c r="I925" s="10" t="s">
        <v>942</v>
      </c>
      <c r="J925" s="12" t="str">
        <f>IF(OR(TED[[#This Row],[SITUACAO]]=1,TED[[#This Row],[SITUACAO]]=9,TED[[#This Row],[SITUACAO]]=18),"ATIVO","AFASTADO")</f>
        <v>ATIVO</v>
      </c>
      <c r="K925" s="12">
        <v>1</v>
      </c>
    </row>
    <row r="926" spans="1:11" x14ac:dyDescent="0.25">
      <c r="A926" s="10">
        <v>44509</v>
      </c>
      <c r="B926" s="9" t="s">
        <v>2133</v>
      </c>
      <c r="C926" s="12" t="str">
        <f>IFERROR(VLOOKUP(TED[[#This Row],[CENTRO]],'CENTRO DE CUSTO'!B:E,4,FALSE)," ")</f>
        <v>JEFFERSON</v>
      </c>
      <c r="D926" s="12">
        <v>101</v>
      </c>
      <c r="E926" s="16">
        <v>101004</v>
      </c>
      <c r="F926" s="10" t="s">
        <v>1905</v>
      </c>
      <c r="G926" s="10">
        <v>220</v>
      </c>
      <c r="H926" s="11">
        <v>46093</v>
      </c>
      <c r="I926" s="10" t="s">
        <v>937</v>
      </c>
      <c r="J926" s="12" t="str">
        <f>IF(OR(TED[[#This Row],[SITUACAO]]=1,TED[[#This Row],[SITUACAO]]=9,TED[[#This Row],[SITUACAO]]=18),"ATIVO","AFASTADO")</f>
        <v>ATIVO</v>
      </c>
      <c r="K926" s="12">
        <v>1</v>
      </c>
    </row>
    <row r="927" spans="1:11" x14ac:dyDescent="0.25">
      <c r="A927" s="10">
        <v>44562</v>
      </c>
      <c r="B927" s="9" t="s">
        <v>2135</v>
      </c>
      <c r="C927" s="12" t="str">
        <f>IFERROR(VLOOKUP(TED[[#This Row],[CENTRO]],'CENTRO DE CUSTO'!B:E,4,FALSE)," ")</f>
        <v>JEFFERSON</v>
      </c>
      <c r="D927" s="12">
        <v>101</v>
      </c>
      <c r="E927" s="16">
        <v>101007</v>
      </c>
      <c r="F927" s="10" t="s">
        <v>1908</v>
      </c>
      <c r="G927" s="10">
        <v>220</v>
      </c>
      <c r="H927" s="11">
        <v>46097</v>
      </c>
      <c r="I927" s="10" t="s">
        <v>935</v>
      </c>
      <c r="J927" s="12" t="str">
        <f>IF(OR(TED[[#This Row],[SITUACAO]]=1,TED[[#This Row],[SITUACAO]]=9,TED[[#This Row],[SITUACAO]]=18),"ATIVO","AFASTADO")</f>
        <v>ATIVO</v>
      </c>
      <c r="K927" s="12">
        <v>1</v>
      </c>
    </row>
    <row r="928" spans="1:11" x14ac:dyDescent="0.25">
      <c r="A928" s="10">
        <v>41540</v>
      </c>
      <c r="B928" s="9" t="s">
        <v>1363</v>
      </c>
      <c r="C928" s="12" t="str">
        <f>IFERROR(VLOOKUP(TED[[#This Row],[CENTRO]],'CENTRO DE CUSTO'!B:E,4,FALSE)," ")</f>
        <v>JEFFERSON</v>
      </c>
      <c r="D928" s="12">
        <v>101</v>
      </c>
      <c r="E928" s="16">
        <v>101004</v>
      </c>
      <c r="F928" s="10" t="s">
        <v>1905</v>
      </c>
      <c r="G928" s="10">
        <v>220</v>
      </c>
      <c r="H928" s="11">
        <v>45933</v>
      </c>
      <c r="I928" s="10" t="s">
        <v>948</v>
      </c>
      <c r="J928" s="12" t="str">
        <f>IF(OR(TED[[#This Row],[SITUACAO]]=1,TED[[#This Row],[SITUACAO]]=9,TED[[#This Row],[SITUACAO]]=18),"ATIVO","AFASTADO")</f>
        <v>ATIVO</v>
      </c>
      <c r="K928" s="12">
        <v>1</v>
      </c>
    </row>
    <row r="929" spans="1:11" x14ac:dyDescent="0.25">
      <c r="A929" s="10">
        <v>8012</v>
      </c>
      <c r="B929" s="9" t="s">
        <v>1368</v>
      </c>
      <c r="C929" s="12" t="str">
        <f>IFERROR(VLOOKUP(TED[[#This Row],[CENTRO]],'CENTRO DE CUSTO'!B:E,4,FALSE)," ")</f>
        <v>JEFFERSON</v>
      </c>
      <c r="D929" s="12">
        <v>101</v>
      </c>
      <c r="E929" s="16">
        <v>101004</v>
      </c>
      <c r="F929" s="10" t="s">
        <v>1905</v>
      </c>
      <c r="G929" s="10">
        <v>220</v>
      </c>
      <c r="H929" s="11">
        <v>42660</v>
      </c>
      <c r="I929" s="10" t="s">
        <v>1</v>
      </c>
      <c r="J929" s="12" t="str">
        <f>IF(OR(TED[[#This Row],[SITUACAO]]=1,TED[[#This Row],[SITUACAO]]=9,TED[[#This Row],[SITUACAO]]=18),"ATIVO","AFASTADO")</f>
        <v>ATIVO</v>
      </c>
      <c r="K929" s="12">
        <v>1</v>
      </c>
    </row>
    <row r="930" spans="1:11" x14ac:dyDescent="0.25">
      <c r="A930" s="10">
        <v>12549</v>
      </c>
      <c r="B930" s="9" t="s">
        <v>1352</v>
      </c>
      <c r="C930" s="12" t="str">
        <f>IFERROR(VLOOKUP(TED[[#This Row],[CENTRO]],'CENTRO DE CUSTO'!B:E,4,FALSE)," ")</f>
        <v>JEFFERSON</v>
      </c>
      <c r="D930" s="12">
        <v>101</v>
      </c>
      <c r="E930" s="16">
        <v>101004</v>
      </c>
      <c r="F930" s="10" t="s">
        <v>1905</v>
      </c>
      <c r="G930" s="10">
        <v>220</v>
      </c>
      <c r="H930" s="11">
        <v>43565</v>
      </c>
      <c r="I930" s="10" t="s">
        <v>21</v>
      </c>
      <c r="J930" s="12" t="str">
        <f>IF(OR(TED[[#This Row],[SITUACAO]]=1,TED[[#This Row],[SITUACAO]]=9,TED[[#This Row],[SITUACAO]]=18),"ATIVO","AFASTADO")</f>
        <v>ATIVO</v>
      </c>
      <c r="K930" s="12">
        <v>1</v>
      </c>
    </row>
    <row r="931" spans="1:11" x14ac:dyDescent="0.25">
      <c r="A931" s="10">
        <v>21014</v>
      </c>
      <c r="B931" s="9" t="s">
        <v>1500</v>
      </c>
      <c r="C931" s="12" t="str">
        <f>IFERROR(VLOOKUP(TED[[#This Row],[CENTRO]],'CENTRO DE CUSTO'!B:E,4,FALSE)," ")</f>
        <v>MARCOS</v>
      </c>
      <c r="D931" s="12">
        <v>101</v>
      </c>
      <c r="E931" s="16">
        <v>101008</v>
      </c>
      <c r="F931" s="10" t="s">
        <v>1909</v>
      </c>
      <c r="G931" s="10">
        <v>220</v>
      </c>
      <c r="H931" s="11">
        <v>44683</v>
      </c>
      <c r="I931" s="10" t="s">
        <v>957</v>
      </c>
      <c r="J931" s="12" t="str">
        <f>IF(OR(TED[[#This Row],[SITUACAO]]=1,TED[[#This Row],[SITUACAO]]=9,TED[[#This Row],[SITUACAO]]=18),"ATIVO","AFASTADO")</f>
        <v>ATIVO</v>
      </c>
      <c r="K931" s="12">
        <v>1</v>
      </c>
    </row>
    <row r="932" spans="1:11" x14ac:dyDescent="0.25">
      <c r="A932" s="10">
        <v>43751</v>
      </c>
      <c r="B932" s="9" t="s">
        <v>2080</v>
      </c>
      <c r="C932" s="12" t="str">
        <f>IFERROR(VLOOKUP(TED[[#This Row],[CENTRO]],'CENTRO DE CUSTO'!B:E,4,FALSE)," ")</f>
        <v>JEFFERSON</v>
      </c>
      <c r="D932" s="12">
        <v>101</v>
      </c>
      <c r="E932" s="16">
        <v>101002</v>
      </c>
      <c r="F932" s="10" t="s">
        <v>1903</v>
      </c>
      <c r="G932" s="10">
        <v>220</v>
      </c>
      <c r="H932" s="11">
        <v>46058</v>
      </c>
      <c r="I932" s="10" t="s">
        <v>941</v>
      </c>
      <c r="J932" s="12" t="str">
        <f>IF(OR(TED[[#This Row],[SITUACAO]]=1,TED[[#This Row],[SITUACAO]]=9,TED[[#This Row],[SITUACAO]]=18),"ATIVO","AFASTADO")</f>
        <v>ATIVO</v>
      </c>
      <c r="K932" s="12">
        <v>1</v>
      </c>
    </row>
    <row r="933" spans="1:11" x14ac:dyDescent="0.25">
      <c r="A933" s="10">
        <v>27704</v>
      </c>
      <c r="B933" s="9" t="s">
        <v>1199</v>
      </c>
      <c r="C933" s="12" t="str">
        <f>IFERROR(VLOOKUP(TED[[#This Row],[CENTRO]],'CENTRO DE CUSTO'!B:E,4,FALSE)," ")</f>
        <v>MARCOS</v>
      </c>
      <c r="D933" s="12">
        <v>101</v>
      </c>
      <c r="E933" s="16">
        <v>101001</v>
      </c>
      <c r="F933" s="10" t="s">
        <v>1902</v>
      </c>
      <c r="G933" s="10">
        <v>220</v>
      </c>
      <c r="H933" s="11">
        <v>45110</v>
      </c>
      <c r="I933" s="10" t="s">
        <v>941</v>
      </c>
      <c r="J933" s="12" t="str">
        <f>IF(OR(TED[[#This Row],[SITUACAO]]=1,TED[[#This Row],[SITUACAO]]=9,TED[[#This Row],[SITUACAO]]=18),"ATIVO","AFASTADO")</f>
        <v>AFASTADO</v>
      </c>
      <c r="K933" s="12">
        <v>6</v>
      </c>
    </row>
    <row r="934" spans="1:11" x14ac:dyDescent="0.25">
      <c r="A934" s="10">
        <v>41534</v>
      </c>
      <c r="B934" s="9" t="s">
        <v>1359</v>
      </c>
      <c r="C934" s="12" t="str">
        <f>IFERROR(VLOOKUP(TED[[#This Row],[CENTRO]],'CENTRO DE CUSTO'!B:E,4,FALSE)," ")</f>
        <v>JEFFERSON</v>
      </c>
      <c r="D934" s="12">
        <v>101</v>
      </c>
      <c r="E934" s="16">
        <v>101004</v>
      </c>
      <c r="F934" s="10" t="s">
        <v>1905</v>
      </c>
      <c r="G934" s="10">
        <v>220</v>
      </c>
      <c r="H934" s="11">
        <v>45933</v>
      </c>
      <c r="I934" s="10" t="s">
        <v>948</v>
      </c>
      <c r="J934" s="12" t="str">
        <f>IF(OR(TED[[#This Row],[SITUACAO]]=1,TED[[#This Row],[SITUACAO]]=9,TED[[#This Row],[SITUACAO]]=18),"ATIVO","AFASTADO")</f>
        <v>ATIVO</v>
      </c>
      <c r="K934" s="12">
        <v>1</v>
      </c>
    </row>
    <row r="935" spans="1:11" x14ac:dyDescent="0.25">
      <c r="A935" s="10">
        <v>22857</v>
      </c>
      <c r="B935" s="9" t="s">
        <v>998</v>
      </c>
      <c r="C935" s="12" t="str">
        <f>IFERROR(VLOOKUP(TED[[#This Row],[CENTRO]],'CENTRO DE CUSTO'!B:E,4,FALSE)," ")</f>
        <v>MARCOS</v>
      </c>
      <c r="D935" s="12">
        <v>101</v>
      </c>
      <c r="E935" s="16">
        <v>101001</v>
      </c>
      <c r="F935" s="10" t="s">
        <v>1902</v>
      </c>
      <c r="G935" s="10">
        <v>220</v>
      </c>
      <c r="H935" s="11">
        <v>44797</v>
      </c>
      <c r="I935" s="10" t="s">
        <v>942</v>
      </c>
      <c r="J935" s="12" t="str">
        <f>IF(OR(TED[[#This Row],[SITUACAO]]=1,TED[[#This Row],[SITUACAO]]=9,TED[[#This Row],[SITUACAO]]=18),"ATIVO","AFASTADO")</f>
        <v>AFASTADO</v>
      </c>
      <c r="K935" s="12">
        <v>6</v>
      </c>
    </row>
    <row r="936" spans="1:11" x14ac:dyDescent="0.25">
      <c r="A936" s="10">
        <v>36389</v>
      </c>
      <c r="B936" s="9" t="s">
        <v>1550</v>
      </c>
      <c r="C936" s="12" t="str">
        <f>IFERROR(VLOOKUP(TED[[#This Row],[CENTRO]],'CENTRO DE CUSTO'!B:E,4,FALSE)," ")</f>
        <v>MARCOS</v>
      </c>
      <c r="D936" s="12">
        <v>101</v>
      </c>
      <c r="E936" s="16">
        <v>101010</v>
      </c>
      <c r="F936" s="10" t="s">
        <v>1911</v>
      </c>
      <c r="G936" s="10">
        <v>220</v>
      </c>
      <c r="H936" s="11">
        <v>45694</v>
      </c>
      <c r="I936" s="10" t="s">
        <v>21</v>
      </c>
      <c r="J936" s="12" t="str">
        <f>IF(OR(TED[[#This Row],[SITUACAO]]=1,TED[[#This Row],[SITUACAO]]=9,TED[[#This Row],[SITUACAO]]=18),"ATIVO","AFASTADO")</f>
        <v>AFASTADO</v>
      </c>
      <c r="K936" s="12">
        <v>12</v>
      </c>
    </row>
    <row r="937" spans="1:11" x14ac:dyDescent="0.25">
      <c r="A937" s="10">
        <v>7354</v>
      </c>
      <c r="B937" s="9" t="s">
        <v>1201</v>
      </c>
      <c r="C937" s="12" t="str">
        <f>IFERROR(VLOOKUP(TED[[#This Row],[CENTRO]],'CENTRO DE CUSTO'!B:E,4,FALSE)," ")</f>
        <v>MARCOS</v>
      </c>
      <c r="D937" s="12">
        <v>101</v>
      </c>
      <c r="E937" s="16">
        <v>101001</v>
      </c>
      <c r="F937" s="10" t="s">
        <v>1902</v>
      </c>
      <c r="G937" s="10">
        <v>220</v>
      </c>
      <c r="H937" s="11">
        <v>42461</v>
      </c>
      <c r="I937" s="10" t="s">
        <v>1</v>
      </c>
      <c r="J937" s="12" t="str">
        <f>IF(OR(TED[[#This Row],[SITUACAO]]=1,TED[[#This Row],[SITUACAO]]=9,TED[[#This Row],[SITUACAO]]=18),"ATIVO","AFASTADO")</f>
        <v>ATIVO</v>
      </c>
      <c r="K937" s="12">
        <v>1</v>
      </c>
    </row>
    <row r="938" spans="1:11" x14ac:dyDescent="0.25">
      <c r="A938" s="10">
        <v>9096</v>
      </c>
      <c r="B938" s="9" t="s">
        <v>1312</v>
      </c>
      <c r="C938" s="12" t="str">
        <f>IFERROR(VLOOKUP(TED[[#This Row],[CENTRO]],'CENTRO DE CUSTO'!B:E,4,FALSE)," ")</f>
        <v>JEFFERSON</v>
      </c>
      <c r="D938" s="12">
        <v>101</v>
      </c>
      <c r="E938" s="16">
        <v>101004</v>
      </c>
      <c r="F938" s="10" t="s">
        <v>1905</v>
      </c>
      <c r="G938" s="10">
        <v>220</v>
      </c>
      <c r="H938" s="11">
        <v>42871</v>
      </c>
      <c r="I938" s="10" t="s">
        <v>21</v>
      </c>
      <c r="J938" s="12" t="str">
        <f>IF(OR(TED[[#This Row],[SITUACAO]]=1,TED[[#This Row],[SITUACAO]]=9,TED[[#This Row],[SITUACAO]]=18),"ATIVO","AFASTADO")</f>
        <v>ATIVO</v>
      </c>
      <c r="K938" s="12">
        <v>1</v>
      </c>
    </row>
    <row r="939" spans="1:11" x14ac:dyDescent="0.25">
      <c r="A939" s="10">
        <v>7625</v>
      </c>
      <c r="B939" s="9" t="s">
        <v>1390</v>
      </c>
      <c r="C939" s="12" t="str">
        <f>IFERROR(VLOOKUP(TED[[#This Row],[CENTRO]],'CENTRO DE CUSTO'!B:E,4,FALSE)," ")</f>
        <v>JEFFERSON</v>
      </c>
      <c r="D939" s="12">
        <v>101</v>
      </c>
      <c r="E939" s="16">
        <v>101004</v>
      </c>
      <c r="F939" s="10" t="s">
        <v>1905</v>
      </c>
      <c r="G939" s="10">
        <v>220</v>
      </c>
      <c r="H939" s="11">
        <v>42552</v>
      </c>
      <c r="I939" s="10" t="s">
        <v>1</v>
      </c>
      <c r="J939" s="12" t="str">
        <f>IF(OR(TED[[#This Row],[SITUACAO]]=1,TED[[#This Row],[SITUACAO]]=9,TED[[#This Row],[SITUACAO]]=18),"ATIVO","AFASTADO")</f>
        <v>ATIVO</v>
      </c>
      <c r="K939" s="12">
        <v>1</v>
      </c>
    </row>
    <row r="940" spans="1:11" x14ac:dyDescent="0.25">
      <c r="A940" s="10">
        <v>7400</v>
      </c>
      <c r="B940" s="9" t="s">
        <v>995</v>
      </c>
      <c r="C940" s="12" t="str">
        <f>IFERROR(VLOOKUP(TED[[#This Row],[CENTRO]],'CENTRO DE CUSTO'!B:E,4,FALSE)," ")</f>
        <v>MARCOS</v>
      </c>
      <c r="D940" s="12">
        <v>101</v>
      </c>
      <c r="E940" s="16">
        <v>101010</v>
      </c>
      <c r="F940" s="10" t="s">
        <v>1911</v>
      </c>
      <c r="G940" s="10">
        <v>220</v>
      </c>
      <c r="H940" s="11">
        <v>42461</v>
      </c>
      <c r="I940" s="10" t="s">
        <v>941</v>
      </c>
      <c r="J940" s="12" t="str">
        <f>IF(OR(TED[[#This Row],[SITUACAO]]=1,TED[[#This Row],[SITUACAO]]=9,TED[[#This Row],[SITUACAO]]=18),"ATIVO","AFASTADO")</f>
        <v>AFASTADO</v>
      </c>
      <c r="K940" s="12">
        <v>6</v>
      </c>
    </row>
    <row r="941" spans="1:11" x14ac:dyDescent="0.25">
      <c r="A941" s="10">
        <v>17548</v>
      </c>
      <c r="B941" s="9" t="s">
        <v>1358</v>
      </c>
      <c r="C941" s="12" t="str">
        <f>IFERROR(VLOOKUP(TED[[#This Row],[CENTRO]],'CENTRO DE CUSTO'!B:E,4,FALSE)," ")</f>
        <v>JEFFERSON</v>
      </c>
      <c r="D941" s="12">
        <v>101</v>
      </c>
      <c r="E941" s="16">
        <v>101004</v>
      </c>
      <c r="F941" s="10" t="s">
        <v>1905</v>
      </c>
      <c r="G941" s="10">
        <v>220</v>
      </c>
      <c r="H941" s="11">
        <v>44447</v>
      </c>
      <c r="I941" s="10" t="s">
        <v>947</v>
      </c>
      <c r="J941" s="12" t="str">
        <f>IF(OR(TED[[#This Row],[SITUACAO]]=1,TED[[#This Row],[SITUACAO]]=9,TED[[#This Row],[SITUACAO]]=18),"ATIVO","AFASTADO")</f>
        <v>ATIVO</v>
      </c>
      <c r="K941" s="12">
        <v>1</v>
      </c>
    </row>
    <row r="942" spans="1:11" x14ac:dyDescent="0.25">
      <c r="A942" s="10">
        <v>8011</v>
      </c>
      <c r="B942" s="9" t="s">
        <v>994</v>
      </c>
      <c r="C942" s="12" t="str">
        <f>IFERROR(VLOOKUP(TED[[#This Row],[CENTRO]],'CENTRO DE CUSTO'!B:E,4,FALSE)," ")</f>
        <v>JEFFERSON</v>
      </c>
      <c r="D942" s="12">
        <v>101</v>
      </c>
      <c r="E942" s="16">
        <v>101002</v>
      </c>
      <c r="F942" s="10" t="s">
        <v>1903</v>
      </c>
      <c r="G942" s="10">
        <v>220</v>
      </c>
      <c r="H942" s="11">
        <v>42660</v>
      </c>
      <c r="I942" s="10" t="s">
        <v>957</v>
      </c>
      <c r="J942" s="12" t="str">
        <f>IF(OR(TED[[#This Row],[SITUACAO]]=1,TED[[#This Row],[SITUACAO]]=9,TED[[#This Row],[SITUACAO]]=18),"ATIVO","AFASTADO")</f>
        <v>ATIVO</v>
      </c>
      <c r="K942" s="12">
        <v>1</v>
      </c>
    </row>
    <row r="943" spans="1:11" x14ac:dyDescent="0.25">
      <c r="A943" s="10">
        <v>32577</v>
      </c>
      <c r="B943" s="9" t="s">
        <v>1192</v>
      </c>
      <c r="C943" s="12" t="str">
        <f>IFERROR(VLOOKUP(TED[[#This Row],[CENTRO]],'CENTRO DE CUSTO'!B:E,4,FALSE)," ")</f>
        <v>MARCOS</v>
      </c>
      <c r="D943" s="12">
        <v>101</v>
      </c>
      <c r="E943" s="16">
        <v>101001</v>
      </c>
      <c r="F943" s="10" t="s">
        <v>1902</v>
      </c>
      <c r="G943" s="10">
        <v>220</v>
      </c>
      <c r="H943" s="11">
        <v>45428</v>
      </c>
      <c r="I943" s="10" t="s">
        <v>947</v>
      </c>
      <c r="J943" s="12" t="str">
        <f>IF(OR(TED[[#This Row],[SITUACAO]]=1,TED[[#This Row],[SITUACAO]]=9,TED[[#This Row],[SITUACAO]]=18),"ATIVO","AFASTADO")</f>
        <v>ATIVO</v>
      </c>
      <c r="K943" s="12">
        <v>1</v>
      </c>
    </row>
    <row r="944" spans="1:11" x14ac:dyDescent="0.25">
      <c r="A944" s="10">
        <v>38859</v>
      </c>
      <c r="B944" s="9" t="s">
        <v>1484</v>
      </c>
      <c r="C944" s="12" t="str">
        <f>IFERROR(VLOOKUP(TED[[#This Row],[CENTRO]],'CENTRO DE CUSTO'!B:E,4,FALSE)," ")</f>
        <v>JEFFERSON</v>
      </c>
      <c r="D944" s="12">
        <v>101</v>
      </c>
      <c r="E944" s="16">
        <v>101007</v>
      </c>
      <c r="F944" s="10" t="s">
        <v>1908</v>
      </c>
      <c r="G944" s="10">
        <v>220</v>
      </c>
      <c r="H944" s="11">
        <v>45799</v>
      </c>
      <c r="I944" s="10" t="s">
        <v>946</v>
      </c>
      <c r="J944" s="12" t="str">
        <f>IF(OR(TED[[#This Row],[SITUACAO]]=1,TED[[#This Row],[SITUACAO]]=9,TED[[#This Row],[SITUACAO]]=18),"ATIVO","AFASTADO")</f>
        <v>ATIVO</v>
      </c>
      <c r="K944" s="12">
        <v>1</v>
      </c>
    </row>
    <row r="945" spans="1:11" x14ac:dyDescent="0.25">
      <c r="A945" s="10">
        <v>26216</v>
      </c>
      <c r="B945" s="9" t="s">
        <v>1478</v>
      </c>
      <c r="C945" s="12" t="str">
        <f>IFERROR(VLOOKUP(TED[[#This Row],[CENTRO]],'CENTRO DE CUSTO'!B:E,4,FALSE)," ")</f>
        <v>JEFFERSON</v>
      </c>
      <c r="D945" s="12">
        <v>101</v>
      </c>
      <c r="E945" s="16">
        <v>101006</v>
      </c>
      <c r="F945" s="10" t="s">
        <v>1907</v>
      </c>
      <c r="G945" s="10">
        <v>220</v>
      </c>
      <c r="H945" s="11">
        <v>45020</v>
      </c>
      <c r="I945" s="10" t="s">
        <v>947</v>
      </c>
      <c r="J945" s="12" t="str">
        <f>IF(OR(TED[[#This Row],[SITUACAO]]=1,TED[[#This Row],[SITUACAO]]=9,TED[[#This Row],[SITUACAO]]=18),"ATIVO","AFASTADO")</f>
        <v>AFASTADO</v>
      </c>
      <c r="K945" s="12">
        <v>12</v>
      </c>
    </row>
    <row r="946" spans="1:11" x14ac:dyDescent="0.25">
      <c r="A946" s="10">
        <v>9101</v>
      </c>
      <c r="B946" s="9" t="s">
        <v>993</v>
      </c>
      <c r="C946" s="12" t="str">
        <f>IFERROR(VLOOKUP(TED[[#This Row],[CENTRO]],'CENTRO DE CUSTO'!B:E,4,FALSE)," ")</f>
        <v>JEFFERSON</v>
      </c>
      <c r="D946" s="12">
        <v>101</v>
      </c>
      <c r="E946" s="16">
        <v>101004</v>
      </c>
      <c r="F946" s="10" t="s">
        <v>1905</v>
      </c>
      <c r="G946" s="10">
        <v>220</v>
      </c>
      <c r="H946" s="11">
        <v>42830</v>
      </c>
      <c r="I946" s="10" t="s">
        <v>21</v>
      </c>
      <c r="J946" s="12" t="str">
        <f>IF(OR(TED[[#This Row],[SITUACAO]]=1,TED[[#This Row],[SITUACAO]]=9,TED[[#This Row],[SITUACAO]]=18),"ATIVO","AFASTADO")</f>
        <v>ATIVO</v>
      </c>
      <c r="K946" s="12">
        <v>1</v>
      </c>
    </row>
    <row r="947" spans="1:11" x14ac:dyDescent="0.25">
      <c r="A947" s="10">
        <v>45096</v>
      </c>
      <c r="B947" s="9" t="s">
        <v>2179</v>
      </c>
      <c r="C947" s="12" t="str">
        <f>IFERROR(VLOOKUP(TED[[#This Row],[CENTRO]],'CENTRO DE CUSTO'!B:E,4,FALSE)," ")</f>
        <v>MARCOS</v>
      </c>
      <c r="D947" s="12">
        <v>101</v>
      </c>
      <c r="E947" s="16">
        <v>101008</v>
      </c>
      <c r="F947" s="10" t="s">
        <v>1909</v>
      </c>
      <c r="G947" s="10">
        <v>220</v>
      </c>
      <c r="H947" s="11">
        <v>46127</v>
      </c>
      <c r="I947" s="10" t="s">
        <v>957</v>
      </c>
      <c r="J947" s="12" t="str">
        <f>IF(OR(TED[[#This Row],[SITUACAO]]=1,TED[[#This Row],[SITUACAO]]=9,TED[[#This Row],[SITUACAO]]=18),"ATIVO","AFASTADO")</f>
        <v>ATIVO</v>
      </c>
      <c r="K947" s="12">
        <v>1</v>
      </c>
    </row>
    <row r="948" spans="1:11" x14ac:dyDescent="0.25">
      <c r="A948" s="10">
        <v>29310</v>
      </c>
      <c r="B948" s="9" t="s">
        <v>1566</v>
      </c>
      <c r="C948" s="12" t="str">
        <f>IFERROR(VLOOKUP(TED[[#This Row],[CENTRO]],'CENTRO DE CUSTO'!B:E,4,FALSE)," ")</f>
        <v>MARCOS</v>
      </c>
      <c r="D948" s="12">
        <v>101</v>
      </c>
      <c r="E948" s="16">
        <v>101010</v>
      </c>
      <c r="F948" s="10" t="s">
        <v>1911</v>
      </c>
      <c r="G948" s="10">
        <v>220</v>
      </c>
      <c r="H948" s="11">
        <v>45251</v>
      </c>
      <c r="I948" s="10" t="s">
        <v>1</v>
      </c>
      <c r="J948" s="12" t="str">
        <f>IF(OR(TED[[#This Row],[SITUACAO]]=1,TED[[#This Row],[SITUACAO]]=9,TED[[#This Row],[SITUACAO]]=18),"ATIVO","AFASTADO")</f>
        <v>ATIVO</v>
      </c>
      <c r="K948" s="12">
        <v>1</v>
      </c>
    </row>
    <row r="949" spans="1:11" x14ac:dyDescent="0.25">
      <c r="A949" s="10">
        <v>7624</v>
      </c>
      <c r="B949" s="9" t="s">
        <v>1327</v>
      </c>
      <c r="C949" s="12" t="str">
        <f>IFERROR(VLOOKUP(TED[[#This Row],[CENTRO]],'CENTRO DE CUSTO'!B:E,4,FALSE)," ")</f>
        <v>JEFFERSON</v>
      </c>
      <c r="D949" s="12">
        <v>101</v>
      </c>
      <c r="E949" s="16">
        <v>101004</v>
      </c>
      <c r="F949" s="10" t="s">
        <v>1905</v>
      </c>
      <c r="G949" s="10">
        <v>220</v>
      </c>
      <c r="H949" s="11">
        <v>42552</v>
      </c>
      <c r="I949" s="10" t="s">
        <v>937</v>
      </c>
      <c r="J949" s="12" t="str">
        <f>IF(OR(TED[[#This Row],[SITUACAO]]=1,TED[[#This Row],[SITUACAO]]=9,TED[[#This Row],[SITUACAO]]=18),"ATIVO","AFASTADO")</f>
        <v>ATIVO</v>
      </c>
      <c r="K949" s="12">
        <v>1</v>
      </c>
    </row>
    <row r="950" spans="1:11" x14ac:dyDescent="0.25">
      <c r="A950" s="10">
        <v>7855</v>
      </c>
      <c r="B950" s="9" t="s">
        <v>1532</v>
      </c>
      <c r="C950" s="12" t="str">
        <f>IFERROR(VLOOKUP(TED[[#This Row],[CENTRO]],'CENTRO DE CUSTO'!B:E,4,FALSE)," ")</f>
        <v>MARCOS</v>
      </c>
      <c r="D950" s="12">
        <v>101</v>
      </c>
      <c r="E950" s="16">
        <v>101010</v>
      </c>
      <c r="F950" s="10" t="s">
        <v>1911</v>
      </c>
      <c r="G950" s="10">
        <v>220</v>
      </c>
      <c r="H950" s="11">
        <v>42576</v>
      </c>
      <c r="I950" s="10" t="s">
        <v>948</v>
      </c>
      <c r="J950" s="12" t="str">
        <f>IF(OR(TED[[#This Row],[SITUACAO]]=1,TED[[#This Row],[SITUACAO]]=9,TED[[#This Row],[SITUACAO]]=18),"ATIVO","AFASTADO")</f>
        <v>ATIVO</v>
      </c>
      <c r="K950" s="12">
        <v>1</v>
      </c>
    </row>
    <row r="951" spans="1:11" x14ac:dyDescent="0.25">
      <c r="A951" s="10">
        <v>47438</v>
      </c>
      <c r="B951" s="9" t="s">
        <v>2341</v>
      </c>
      <c r="C951" s="12" t="str">
        <f>IFERROR(VLOOKUP(TED[[#This Row],[CENTRO]],'CENTRO DE CUSTO'!B:E,4,FALSE)," ")</f>
        <v>JEFFERSON</v>
      </c>
      <c r="D951" s="12">
        <v>101</v>
      </c>
      <c r="E951" s="16">
        <v>101007</v>
      </c>
      <c r="F951" s="10" t="s">
        <v>1908</v>
      </c>
      <c r="G951" s="10">
        <v>220</v>
      </c>
      <c r="H951" s="11">
        <v>46204</v>
      </c>
      <c r="I951" s="10" t="s">
        <v>935</v>
      </c>
      <c r="J951" s="12" t="str">
        <f>IF(OR(TED[[#This Row],[SITUACAO]]=1,TED[[#This Row],[SITUACAO]]=9,TED[[#This Row],[SITUACAO]]=18),"ATIVO","AFASTADO")</f>
        <v>ATIVO</v>
      </c>
      <c r="K951" s="12">
        <v>1</v>
      </c>
    </row>
    <row r="952" spans="1:11" x14ac:dyDescent="0.25">
      <c r="A952" s="10">
        <v>8338</v>
      </c>
      <c r="B952" s="9" t="s">
        <v>992</v>
      </c>
      <c r="C952" s="12" t="str">
        <f>IFERROR(VLOOKUP(TED[[#This Row],[CENTRO]],'CENTRO DE CUSTO'!B:E,4,FALSE)," ")</f>
        <v>MARCOS</v>
      </c>
      <c r="D952" s="12">
        <v>101</v>
      </c>
      <c r="E952" s="16">
        <v>101010</v>
      </c>
      <c r="F952" s="10" t="s">
        <v>1911</v>
      </c>
      <c r="G952" s="10">
        <v>220</v>
      </c>
      <c r="H952" s="11">
        <v>42748</v>
      </c>
      <c r="I952" s="10" t="s">
        <v>1</v>
      </c>
      <c r="J952" s="12" t="str">
        <f>IF(OR(TED[[#This Row],[SITUACAO]]=1,TED[[#This Row],[SITUACAO]]=9,TED[[#This Row],[SITUACAO]]=18),"ATIVO","AFASTADO")</f>
        <v>ATIVO</v>
      </c>
      <c r="K952" s="12">
        <v>1</v>
      </c>
    </row>
    <row r="953" spans="1:11" x14ac:dyDescent="0.25">
      <c r="A953" s="10">
        <v>33862</v>
      </c>
      <c r="B953" s="9" t="s">
        <v>1176</v>
      </c>
      <c r="C953" s="12" t="str">
        <f>IFERROR(VLOOKUP(TED[[#This Row],[CENTRO]],'CENTRO DE CUSTO'!B:E,4,FALSE)," ")</f>
        <v>MARCOS</v>
      </c>
      <c r="D953" s="12">
        <v>101</v>
      </c>
      <c r="E953" s="16">
        <v>101001</v>
      </c>
      <c r="F953" s="10" t="s">
        <v>1902</v>
      </c>
      <c r="G953" s="10">
        <v>220</v>
      </c>
      <c r="H953" s="11">
        <v>45552</v>
      </c>
      <c r="I953" s="10" t="s">
        <v>933</v>
      </c>
      <c r="J953" s="12" t="str">
        <f>IF(OR(TED[[#This Row],[SITUACAO]]=1,TED[[#This Row],[SITUACAO]]=9,TED[[#This Row],[SITUACAO]]=18),"ATIVO","AFASTADO")</f>
        <v>ATIVO</v>
      </c>
      <c r="K953" s="12">
        <v>1</v>
      </c>
    </row>
    <row r="954" spans="1:11" x14ac:dyDescent="0.25">
      <c r="A954" s="10">
        <v>16063</v>
      </c>
      <c r="B954" s="9" t="s">
        <v>1472</v>
      </c>
      <c r="C954" s="12" t="str">
        <f>IFERROR(VLOOKUP(TED[[#This Row],[CENTRO]],'CENTRO DE CUSTO'!B:E,4,FALSE)," ")</f>
        <v>JEFFERSON</v>
      </c>
      <c r="D954" s="12">
        <v>101</v>
      </c>
      <c r="E954" s="16">
        <v>101007</v>
      </c>
      <c r="F954" s="10" t="s">
        <v>1908</v>
      </c>
      <c r="G954" s="10">
        <v>220</v>
      </c>
      <c r="H954" s="11">
        <v>44321</v>
      </c>
      <c r="I954" s="10" t="s">
        <v>961</v>
      </c>
      <c r="J954" s="12" t="str">
        <f>IF(OR(TED[[#This Row],[SITUACAO]]=1,TED[[#This Row],[SITUACAO]]=9,TED[[#This Row],[SITUACAO]]=18),"ATIVO","AFASTADO")</f>
        <v>ATIVO</v>
      </c>
      <c r="K954" s="12">
        <v>1</v>
      </c>
    </row>
    <row r="955" spans="1:11" x14ac:dyDescent="0.25">
      <c r="A955" s="10">
        <v>22243</v>
      </c>
      <c r="B955" s="9" t="s">
        <v>1482</v>
      </c>
      <c r="C955" s="12" t="str">
        <f>IFERROR(VLOOKUP(TED[[#This Row],[CENTRO]],'CENTRO DE CUSTO'!B:E,4,FALSE)," ")</f>
        <v>JEFFERSON</v>
      </c>
      <c r="D955" s="12">
        <v>101</v>
      </c>
      <c r="E955" s="16">
        <v>101007</v>
      </c>
      <c r="F955" s="10" t="s">
        <v>1908</v>
      </c>
      <c r="G955" s="10">
        <v>220</v>
      </c>
      <c r="H955" s="11">
        <v>44732</v>
      </c>
      <c r="I955" s="10" t="s">
        <v>935</v>
      </c>
      <c r="J955" s="12" t="str">
        <f>IF(OR(TED[[#This Row],[SITUACAO]]=1,TED[[#This Row],[SITUACAO]]=9,TED[[#This Row],[SITUACAO]]=18),"ATIVO","AFASTADO")</f>
        <v>ATIVO</v>
      </c>
      <c r="K955" s="12">
        <v>1</v>
      </c>
    </row>
    <row r="956" spans="1:11" x14ac:dyDescent="0.25">
      <c r="A956" s="10">
        <v>22316</v>
      </c>
      <c r="B956" s="9" t="s">
        <v>1540</v>
      </c>
      <c r="C956" s="12" t="str">
        <f>IFERROR(VLOOKUP(TED[[#This Row],[CENTRO]],'CENTRO DE CUSTO'!B:E,4,FALSE)," ")</f>
        <v>MARCOS</v>
      </c>
      <c r="D956" s="12">
        <v>101</v>
      </c>
      <c r="E956" s="16">
        <v>101010</v>
      </c>
      <c r="F956" s="10" t="s">
        <v>1911</v>
      </c>
      <c r="G956" s="10">
        <v>220</v>
      </c>
      <c r="H956" s="11">
        <v>44743</v>
      </c>
      <c r="I956" s="10" t="s">
        <v>937</v>
      </c>
      <c r="J956" s="12" t="str">
        <f>IF(OR(TED[[#This Row],[SITUACAO]]=1,TED[[#This Row],[SITUACAO]]=9,TED[[#This Row],[SITUACAO]]=18),"ATIVO","AFASTADO")</f>
        <v>ATIVO</v>
      </c>
      <c r="K956" s="12">
        <v>1</v>
      </c>
    </row>
    <row r="957" spans="1:11" x14ac:dyDescent="0.25">
      <c r="A957" s="10">
        <v>11191</v>
      </c>
      <c r="B957" s="9" t="s">
        <v>1563</v>
      </c>
      <c r="C957" s="12" t="str">
        <f>IFERROR(VLOOKUP(TED[[#This Row],[CENTRO]],'CENTRO DE CUSTO'!B:E,4,FALSE)," ")</f>
        <v>MARCOS</v>
      </c>
      <c r="D957" s="12">
        <v>101</v>
      </c>
      <c r="E957" s="16">
        <v>101010</v>
      </c>
      <c r="F957" s="10" t="s">
        <v>1911</v>
      </c>
      <c r="G957" s="10">
        <v>220</v>
      </c>
      <c r="H957" s="11">
        <v>43353</v>
      </c>
      <c r="I957" s="10" t="s">
        <v>941</v>
      </c>
      <c r="J957" s="12" t="str">
        <f>IF(OR(TED[[#This Row],[SITUACAO]]=1,TED[[#This Row],[SITUACAO]]=9,TED[[#This Row],[SITUACAO]]=18),"ATIVO","AFASTADO")</f>
        <v>AFASTADO</v>
      </c>
      <c r="K957" s="12">
        <v>6</v>
      </c>
    </row>
    <row r="958" spans="1:11" x14ac:dyDescent="0.25">
      <c r="A958" s="10">
        <v>33196</v>
      </c>
      <c r="B958" s="9" t="s">
        <v>1366</v>
      </c>
      <c r="C958" s="12" t="str">
        <f>IFERROR(VLOOKUP(TED[[#This Row],[CENTRO]],'CENTRO DE CUSTO'!B:E,4,FALSE)," ")</f>
        <v>JEFFERSON</v>
      </c>
      <c r="D958" s="12">
        <v>101</v>
      </c>
      <c r="E958" s="16">
        <v>101004</v>
      </c>
      <c r="F958" s="10" t="s">
        <v>1905</v>
      </c>
      <c r="G958" s="10">
        <v>220</v>
      </c>
      <c r="H958" s="11">
        <v>45484</v>
      </c>
      <c r="I958" s="10" t="s">
        <v>21</v>
      </c>
      <c r="J958" s="12" t="str">
        <f>IF(OR(TED[[#This Row],[SITUACAO]]=1,TED[[#This Row],[SITUACAO]]=9,TED[[#This Row],[SITUACAO]]=18),"ATIVO","AFASTADO")</f>
        <v>ATIVO</v>
      </c>
      <c r="K958" s="12">
        <v>1</v>
      </c>
    </row>
    <row r="959" spans="1:11" x14ac:dyDescent="0.25">
      <c r="A959" s="10">
        <v>10838</v>
      </c>
      <c r="B959" s="9" t="s">
        <v>1311</v>
      </c>
      <c r="C959" s="12" t="str">
        <f>IFERROR(VLOOKUP(TED[[#This Row],[CENTRO]],'CENTRO DE CUSTO'!B:E,4,FALSE)," ")</f>
        <v>JEFFERSON</v>
      </c>
      <c r="D959" s="12">
        <v>101</v>
      </c>
      <c r="E959" s="16">
        <v>101004</v>
      </c>
      <c r="F959" s="10" t="s">
        <v>1905</v>
      </c>
      <c r="G959" s="10">
        <v>220</v>
      </c>
      <c r="H959" s="11">
        <v>43262</v>
      </c>
      <c r="I959" s="10" t="s">
        <v>948</v>
      </c>
      <c r="J959" s="12" t="str">
        <f>IF(OR(TED[[#This Row],[SITUACAO]]=1,TED[[#This Row],[SITUACAO]]=9,TED[[#This Row],[SITUACAO]]=18),"ATIVO","AFASTADO")</f>
        <v>ATIVO</v>
      </c>
      <c r="K959" s="12">
        <v>1</v>
      </c>
    </row>
    <row r="960" spans="1:11" x14ac:dyDescent="0.25">
      <c r="A960" s="10">
        <v>40209</v>
      </c>
      <c r="B960" s="9" t="s">
        <v>1197</v>
      </c>
      <c r="C960" s="12" t="str">
        <f>IFERROR(VLOOKUP(TED[[#This Row],[CENTRO]],'CENTRO DE CUSTO'!B:E,4,FALSE)," ")</f>
        <v>MARCOS</v>
      </c>
      <c r="D960" s="12">
        <v>101</v>
      </c>
      <c r="E960" s="16">
        <v>101001</v>
      </c>
      <c r="F960" s="10" t="s">
        <v>1902</v>
      </c>
      <c r="G960" s="10">
        <v>220</v>
      </c>
      <c r="H960" s="11">
        <v>45897</v>
      </c>
      <c r="I960" s="10" t="s">
        <v>947</v>
      </c>
      <c r="J960" s="12" t="str">
        <f>IF(OR(TED[[#This Row],[SITUACAO]]=1,TED[[#This Row],[SITUACAO]]=9,TED[[#This Row],[SITUACAO]]=18),"ATIVO","AFASTADO")</f>
        <v>ATIVO</v>
      </c>
      <c r="K960" s="12">
        <v>1</v>
      </c>
    </row>
    <row r="961" spans="1:11" x14ac:dyDescent="0.25">
      <c r="A961" s="10">
        <v>42313</v>
      </c>
      <c r="B961" s="9" t="s">
        <v>1257</v>
      </c>
      <c r="C961" s="12" t="str">
        <f>IFERROR(VLOOKUP(TED[[#This Row],[CENTRO]],'CENTRO DE CUSTO'!B:E,4,FALSE)," ")</f>
        <v>JEFFERSON</v>
      </c>
      <c r="D961" s="12">
        <v>101</v>
      </c>
      <c r="E961" s="16">
        <v>101002</v>
      </c>
      <c r="F961" s="10" t="s">
        <v>1903</v>
      </c>
      <c r="G961" s="10">
        <v>220</v>
      </c>
      <c r="H961" s="11">
        <v>45979</v>
      </c>
      <c r="I961" s="10" t="s">
        <v>947</v>
      </c>
      <c r="J961" s="12" t="str">
        <f>IF(OR(TED[[#This Row],[SITUACAO]]=1,TED[[#This Row],[SITUACAO]]=9,TED[[#This Row],[SITUACAO]]=18),"ATIVO","AFASTADO")</f>
        <v>ATIVO</v>
      </c>
      <c r="K961" s="12">
        <v>1</v>
      </c>
    </row>
    <row r="962" spans="1:11" x14ac:dyDescent="0.25">
      <c r="A962" s="10">
        <v>32054</v>
      </c>
      <c r="B962" s="9" t="s">
        <v>1557</v>
      </c>
      <c r="C962" s="12" t="str">
        <f>IFERROR(VLOOKUP(TED[[#This Row],[CENTRO]],'CENTRO DE CUSTO'!B:E,4,FALSE)," ")</f>
        <v>MARCOS</v>
      </c>
      <c r="D962" s="12">
        <v>101</v>
      </c>
      <c r="E962" s="16">
        <v>101010</v>
      </c>
      <c r="F962" s="10" t="s">
        <v>1911</v>
      </c>
      <c r="G962" s="10">
        <v>220</v>
      </c>
      <c r="H962" s="11">
        <v>45392</v>
      </c>
      <c r="I962" s="10" t="s">
        <v>941</v>
      </c>
      <c r="J962" s="12" t="str">
        <f>IF(OR(TED[[#This Row],[SITUACAO]]=1,TED[[#This Row],[SITUACAO]]=9,TED[[#This Row],[SITUACAO]]=18),"ATIVO","AFASTADO")</f>
        <v>ATIVO</v>
      </c>
      <c r="K962" s="12">
        <v>1</v>
      </c>
    </row>
    <row r="963" spans="1:11" x14ac:dyDescent="0.25">
      <c r="A963" s="10">
        <v>22875</v>
      </c>
      <c r="B963" s="9" t="s">
        <v>1519</v>
      </c>
      <c r="C963" s="12" t="str">
        <f>IFERROR(VLOOKUP(TED[[#This Row],[CENTRO]],'CENTRO DE CUSTO'!B:E,4,FALSE)," ")</f>
        <v>MARCOS</v>
      </c>
      <c r="D963" s="12">
        <v>101</v>
      </c>
      <c r="E963" s="16">
        <v>101010</v>
      </c>
      <c r="F963" s="10" t="s">
        <v>1911</v>
      </c>
      <c r="G963" s="10">
        <v>220</v>
      </c>
      <c r="H963" s="11">
        <v>44799</v>
      </c>
      <c r="I963" s="10" t="s">
        <v>1</v>
      </c>
      <c r="J963" s="12" t="str">
        <f>IF(OR(TED[[#This Row],[SITUACAO]]=1,TED[[#This Row],[SITUACAO]]=9,TED[[#This Row],[SITUACAO]]=18),"ATIVO","AFASTADO")</f>
        <v>ATIVO</v>
      </c>
      <c r="K963" s="12">
        <v>9</v>
      </c>
    </row>
    <row r="964" spans="1:11" x14ac:dyDescent="0.25">
      <c r="A964" s="10">
        <v>43218</v>
      </c>
      <c r="B964" s="9" t="s">
        <v>2050</v>
      </c>
      <c r="C964" s="12" t="str">
        <f>IFERROR(VLOOKUP(TED[[#This Row],[CENTRO]],'CENTRO DE CUSTO'!B:E,4,FALSE)," ")</f>
        <v>JEFFERSON</v>
      </c>
      <c r="D964" s="12">
        <v>101</v>
      </c>
      <c r="E964" s="16">
        <v>101007</v>
      </c>
      <c r="F964" s="10" t="s">
        <v>1908</v>
      </c>
      <c r="G964" s="10">
        <v>200</v>
      </c>
      <c r="H964" s="11">
        <v>46034</v>
      </c>
      <c r="I964" s="10" t="s">
        <v>935</v>
      </c>
      <c r="J964" s="12" t="str">
        <f>IF(OR(TED[[#This Row],[SITUACAO]]=1,TED[[#This Row],[SITUACAO]]=9,TED[[#This Row],[SITUACAO]]=18),"ATIVO","AFASTADO")</f>
        <v>ATIVO</v>
      </c>
      <c r="K964" s="12">
        <v>1</v>
      </c>
    </row>
    <row r="965" spans="1:11" x14ac:dyDescent="0.25">
      <c r="A965" s="10">
        <v>17917</v>
      </c>
      <c r="B965" s="9" t="s">
        <v>1558</v>
      </c>
      <c r="C965" s="12" t="str">
        <f>IFERROR(VLOOKUP(TED[[#This Row],[CENTRO]],'CENTRO DE CUSTO'!B:E,4,FALSE)," ")</f>
        <v>MARCOS</v>
      </c>
      <c r="D965" s="12">
        <v>101</v>
      </c>
      <c r="E965" s="16">
        <v>101010</v>
      </c>
      <c r="F965" s="10" t="s">
        <v>1911</v>
      </c>
      <c r="G965" s="10">
        <v>220</v>
      </c>
      <c r="H965" s="11">
        <v>44511</v>
      </c>
      <c r="I965" s="10" t="s">
        <v>941</v>
      </c>
      <c r="J965" s="12" t="str">
        <f>IF(OR(TED[[#This Row],[SITUACAO]]=1,TED[[#This Row],[SITUACAO]]=9,TED[[#This Row],[SITUACAO]]=18),"ATIVO","AFASTADO")</f>
        <v>ATIVO</v>
      </c>
      <c r="K965" s="12">
        <v>1</v>
      </c>
    </row>
    <row r="966" spans="1:11" x14ac:dyDescent="0.25">
      <c r="A966" s="10">
        <v>34755</v>
      </c>
      <c r="B966" s="9" t="s">
        <v>1211</v>
      </c>
      <c r="C966" s="12" t="str">
        <f>IFERROR(VLOOKUP(TED[[#This Row],[CENTRO]],'CENTRO DE CUSTO'!B:E,4,FALSE)," ")</f>
        <v>MARCOS</v>
      </c>
      <c r="D966" s="12">
        <v>101</v>
      </c>
      <c r="E966" s="16">
        <v>101001</v>
      </c>
      <c r="F966" s="10" t="s">
        <v>1902</v>
      </c>
      <c r="G966" s="10">
        <v>220</v>
      </c>
      <c r="H966" s="11">
        <v>45628</v>
      </c>
      <c r="I966" s="10" t="s">
        <v>21</v>
      </c>
      <c r="J966" s="12" t="str">
        <f>IF(OR(TED[[#This Row],[SITUACAO]]=1,TED[[#This Row],[SITUACAO]]=9,TED[[#This Row],[SITUACAO]]=18),"ATIVO","AFASTADO")</f>
        <v>ATIVO</v>
      </c>
      <c r="K966" s="12">
        <v>1</v>
      </c>
    </row>
    <row r="967" spans="1:11" x14ac:dyDescent="0.25">
      <c r="A967" s="10">
        <v>37092</v>
      </c>
      <c r="B967" s="9" t="s">
        <v>1210</v>
      </c>
      <c r="C967" s="12" t="str">
        <f>IFERROR(VLOOKUP(TED[[#This Row],[CENTRO]],'CENTRO DE CUSTO'!B:E,4,FALSE)," ")</f>
        <v>MARCOS</v>
      </c>
      <c r="D967" s="12">
        <v>101</v>
      </c>
      <c r="E967" s="16">
        <v>101001</v>
      </c>
      <c r="F967" s="10" t="s">
        <v>1902</v>
      </c>
      <c r="G967" s="10">
        <v>220</v>
      </c>
      <c r="H967" s="11">
        <v>45702</v>
      </c>
      <c r="I967" s="10" t="s">
        <v>947</v>
      </c>
      <c r="J967" s="12" t="str">
        <f>IF(OR(TED[[#This Row],[SITUACAO]]=1,TED[[#This Row],[SITUACAO]]=9,TED[[#This Row],[SITUACAO]]=18),"ATIVO","AFASTADO")</f>
        <v>ATIVO</v>
      </c>
      <c r="K967" s="12">
        <v>1</v>
      </c>
    </row>
    <row r="968" spans="1:11" x14ac:dyDescent="0.25">
      <c r="A968" s="10">
        <v>45632</v>
      </c>
      <c r="B968" s="9" t="s">
        <v>2234</v>
      </c>
      <c r="C968" s="12" t="str">
        <f>IFERROR(VLOOKUP(TED[[#This Row],[CENTRO]],'CENTRO DE CUSTO'!B:E,4,FALSE)," ")</f>
        <v>JEFFERSON</v>
      </c>
      <c r="D968" s="12">
        <v>101</v>
      </c>
      <c r="E968" s="16">
        <v>101007</v>
      </c>
      <c r="F968" s="10" t="s">
        <v>1908</v>
      </c>
      <c r="G968" s="10">
        <v>220</v>
      </c>
      <c r="H968" s="11">
        <v>46156</v>
      </c>
      <c r="I968" s="10" t="s">
        <v>935</v>
      </c>
      <c r="J968" s="12" t="str">
        <f>IF(OR(TED[[#This Row],[SITUACAO]]=1,TED[[#This Row],[SITUACAO]]=9,TED[[#This Row],[SITUACAO]]=18),"ATIVO","AFASTADO")</f>
        <v>ATIVO</v>
      </c>
      <c r="K968" s="12">
        <v>1</v>
      </c>
    </row>
    <row r="969" spans="1:11" x14ac:dyDescent="0.25">
      <c r="A969" s="10">
        <v>26800</v>
      </c>
      <c r="B969" s="9" t="s">
        <v>1223</v>
      </c>
      <c r="C969" s="12" t="str">
        <f>IFERROR(VLOOKUP(TED[[#This Row],[CENTRO]],'CENTRO DE CUSTO'!B:E,4,FALSE)," ")</f>
        <v>MARCOS</v>
      </c>
      <c r="D969" s="12">
        <v>101</v>
      </c>
      <c r="E969" s="16">
        <v>101001</v>
      </c>
      <c r="F969" s="10" t="s">
        <v>1902</v>
      </c>
      <c r="G969" s="10">
        <v>220</v>
      </c>
      <c r="H969" s="11">
        <v>45041</v>
      </c>
      <c r="I969" s="10" t="s">
        <v>947</v>
      </c>
      <c r="J969" s="12" t="str">
        <f>IF(OR(TED[[#This Row],[SITUACAO]]=1,TED[[#This Row],[SITUACAO]]=9,TED[[#This Row],[SITUACAO]]=18),"ATIVO","AFASTADO")</f>
        <v>ATIVO</v>
      </c>
      <c r="K969" s="12">
        <v>1</v>
      </c>
    </row>
    <row r="970" spans="1:11" x14ac:dyDescent="0.25">
      <c r="A970" s="10">
        <v>20979</v>
      </c>
      <c r="B970" s="9" t="s">
        <v>1228</v>
      </c>
      <c r="C970" s="12" t="str">
        <f>IFERROR(VLOOKUP(TED[[#This Row],[CENTRO]],'CENTRO DE CUSTO'!B:E,4,FALSE)," ")</f>
        <v>MARCOS</v>
      </c>
      <c r="D970" s="12">
        <v>101</v>
      </c>
      <c r="E970" s="16">
        <v>101001</v>
      </c>
      <c r="F970" s="10" t="s">
        <v>1902</v>
      </c>
      <c r="G970" s="10">
        <v>220</v>
      </c>
      <c r="H970" s="11">
        <v>44683</v>
      </c>
      <c r="I970" s="10" t="s">
        <v>947</v>
      </c>
      <c r="J970" s="12" t="str">
        <f>IF(OR(TED[[#This Row],[SITUACAO]]=1,TED[[#This Row],[SITUACAO]]=9,TED[[#This Row],[SITUACAO]]=18),"ATIVO","AFASTADO")</f>
        <v>ATIVO</v>
      </c>
      <c r="K970" s="12">
        <v>1</v>
      </c>
    </row>
    <row r="971" spans="1:11" x14ac:dyDescent="0.25">
      <c r="A971" s="10">
        <v>34971</v>
      </c>
      <c r="B971" s="9" t="s">
        <v>1569</v>
      </c>
      <c r="C971" s="12" t="str">
        <f>IFERROR(VLOOKUP(TED[[#This Row],[CENTRO]],'CENTRO DE CUSTO'!B:E,4,FALSE)," ")</f>
        <v>MARCOS</v>
      </c>
      <c r="D971" s="12">
        <v>101</v>
      </c>
      <c r="E971" s="16">
        <v>101001</v>
      </c>
      <c r="F971" s="10" t="s">
        <v>1902</v>
      </c>
      <c r="G971" s="10">
        <v>220</v>
      </c>
      <c r="H971" s="11">
        <v>45664</v>
      </c>
      <c r="I971" s="10" t="s">
        <v>947</v>
      </c>
      <c r="J971" s="12" t="str">
        <f>IF(OR(TED[[#This Row],[SITUACAO]]=1,TED[[#This Row],[SITUACAO]]=9,TED[[#This Row],[SITUACAO]]=18),"ATIVO","AFASTADO")</f>
        <v>ATIVO</v>
      </c>
      <c r="K971" s="12">
        <v>1</v>
      </c>
    </row>
    <row r="972" spans="1:11" x14ac:dyDescent="0.25">
      <c r="A972" s="10">
        <v>20984</v>
      </c>
      <c r="B972" s="9" t="s">
        <v>1227</v>
      </c>
      <c r="C972" s="12" t="str">
        <f>IFERROR(VLOOKUP(TED[[#This Row],[CENTRO]],'CENTRO DE CUSTO'!B:E,4,FALSE)," ")</f>
        <v>MARCOS</v>
      </c>
      <c r="D972" s="12">
        <v>101</v>
      </c>
      <c r="E972" s="16">
        <v>101001</v>
      </c>
      <c r="F972" s="10" t="s">
        <v>1902</v>
      </c>
      <c r="G972" s="10">
        <v>220</v>
      </c>
      <c r="H972" s="11">
        <v>44683</v>
      </c>
      <c r="I972" s="10" t="s">
        <v>947</v>
      </c>
      <c r="J972" s="12" t="str">
        <f>IF(OR(TED[[#This Row],[SITUACAO]]=1,TED[[#This Row],[SITUACAO]]=9,TED[[#This Row],[SITUACAO]]=18),"ATIVO","AFASTADO")</f>
        <v>ATIVO</v>
      </c>
      <c r="K972" s="12">
        <v>1</v>
      </c>
    </row>
    <row r="973" spans="1:11" x14ac:dyDescent="0.25">
      <c r="A973" s="10">
        <v>47447</v>
      </c>
      <c r="B973" s="9" t="s">
        <v>2342</v>
      </c>
      <c r="C973" s="12" t="str">
        <f>IFERROR(VLOOKUP(TED[[#This Row],[CENTRO]],'CENTRO DE CUSTO'!B:E,4,FALSE)," ")</f>
        <v>JEFFERSON</v>
      </c>
      <c r="D973" s="12">
        <v>101</v>
      </c>
      <c r="E973" s="16">
        <v>101009</v>
      </c>
      <c r="F973" s="10" t="s">
        <v>1910</v>
      </c>
      <c r="G973" s="10">
        <v>220</v>
      </c>
      <c r="H973" s="11">
        <v>46204</v>
      </c>
      <c r="I973" s="10" t="s">
        <v>935</v>
      </c>
      <c r="J973" s="12" t="str">
        <f>IF(OR(TED[[#This Row],[SITUACAO]]=1,TED[[#This Row],[SITUACAO]]=9,TED[[#This Row],[SITUACAO]]=18),"ATIVO","AFASTADO")</f>
        <v>ATIVO</v>
      </c>
      <c r="K973" s="12">
        <v>1</v>
      </c>
    </row>
    <row r="974" spans="1:11" x14ac:dyDescent="0.25">
      <c r="A974" s="10">
        <v>7368</v>
      </c>
      <c r="B974" s="9" t="s">
        <v>1209</v>
      </c>
      <c r="C974" s="12" t="str">
        <f>IFERROR(VLOOKUP(TED[[#This Row],[CENTRO]],'CENTRO DE CUSTO'!B:E,4,FALSE)," ")</f>
        <v>MARCOS</v>
      </c>
      <c r="D974" s="12">
        <v>101</v>
      </c>
      <c r="E974" s="16">
        <v>101005</v>
      </c>
      <c r="F974" s="10" t="s">
        <v>1906</v>
      </c>
      <c r="G974" s="10">
        <v>220</v>
      </c>
      <c r="H974" s="11">
        <v>42461</v>
      </c>
      <c r="I974" s="10" t="s">
        <v>933</v>
      </c>
      <c r="J974" s="12" t="str">
        <f>IF(OR(TED[[#This Row],[SITUACAO]]=1,TED[[#This Row],[SITUACAO]]=9,TED[[#This Row],[SITUACAO]]=18),"ATIVO","AFASTADO")</f>
        <v>ATIVO</v>
      </c>
      <c r="K974" s="12">
        <v>1</v>
      </c>
    </row>
    <row r="975" spans="1:11" x14ac:dyDescent="0.25">
      <c r="A975" s="10">
        <v>20890</v>
      </c>
      <c r="B975" s="9" t="s">
        <v>1579</v>
      </c>
      <c r="C975" s="12" t="str">
        <f>IFERROR(VLOOKUP(TED[[#This Row],[CENTRO]],'CENTRO DE CUSTO'!B:E,4,FALSE)," ")</f>
        <v>MARCOS</v>
      </c>
      <c r="D975" s="12">
        <v>101</v>
      </c>
      <c r="E975" s="16">
        <v>101012</v>
      </c>
      <c r="F975" s="10" t="s">
        <v>1913</v>
      </c>
      <c r="G975" s="10">
        <v>220</v>
      </c>
      <c r="H975" s="11">
        <v>44669</v>
      </c>
      <c r="I975" s="10" t="s">
        <v>933</v>
      </c>
      <c r="J975" s="12" t="str">
        <f>IF(OR(TED[[#This Row],[SITUACAO]]=1,TED[[#This Row],[SITUACAO]]=9,TED[[#This Row],[SITUACAO]]=18),"ATIVO","AFASTADO")</f>
        <v>ATIVO</v>
      </c>
      <c r="K975" s="12">
        <v>1</v>
      </c>
    </row>
    <row r="976" spans="1:11" x14ac:dyDescent="0.25">
      <c r="A976" s="10">
        <v>34795</v>
      </c>
      <c r="B976" s="9" t="s">
        <v>1445</v>
      </c>
      <c r="C976" s="12" t="str">
        <f>IFERROR(VLOOKUP(TED[[#This Row],[CENTRO]],'CENTRO DE CUSTO'!B:E,4,FALSE)," ")</f>
        <v>JEFFERSON</v>
      </c>
      <c r="D976" s="12">
        <v>101</v>
      </c>
      <c r="E976" s="16">
        <v>101006</v>
      </c>
      <c r="F976" s="10" t="s">
        <v>1907</v>
      </c>
      <c r="G976" s="10">
        <v>220</v>
      </c>
      <c r="H976" s="11">
        <v>45635</v>
      </c>
      <c r="I976" s="10" t="s">
        <v>947</v>
      </c>
      <c r="J976" s="12" t="str">
        <f>IF(OR(TED[[#This Row],[SITUACAO]]=1,TED[[#This Row],[SITUACAO]]=9,TED[[#This Row],[SITUACAO]]=18),"ATIVO","AFASTADO")</f>
        <v>ATIVO</v>
      </c>
      <c r="K976" s="12">
        <v>1</v>
      </c>
    </row>
    <row r="977" spans="1:11" x14ac:dyDescent="0.25">
      <c r="A977" s="10">
        <v>44216</v>
      </c>
      <c r="B977" s="9" t="s">
        <v>2082</v>
      </c>
      <c r="C977" s="12" t="str">
        <f>IFERROR(VLOOKUP(TED[[#This Row],[CENTRO]],'CENTRO DE CUSTO'!B:E,4,FALSE)," ")</f>
        <v>MARCOS</v>
      </c>
      <c r="D977" s="12">
        <v>101</v>
      </c>
      <c r="E977" s="16">
        <v>101008</v>
      </c>
      <c r="F977" s="10" t="s">
        <v>1909</v>
      </c>
      <c r="G977" s="10">
        <v>220</v>
      </c>
      <c r="H977" s="11">
        <v>46078</v>
      </c>
      <c r="I977" s="10" t="s">
        <v>947</v>
      </c>
      <c r="J977" s="12" t="str">
        <f>IF(OR(TED[[#This Row],[SITUACAO]]=1,TED[[#This Row],[SITUACAO]]=9,TED[[#This Row],[SITUACAO]]=18),"ATIVO","AFASTADO")</f>
        <v>ATIVO</v>
      </c>
      <c r="K977" s="12">
        <v>1</v>
      </c>
    </row>
    <row r="978" spans="1:11" x14ac:dyDescent="0.25">
      <c r="A978" s="10">
        <v>17326</v>
      </c>
      <c r="B978" s="9" t="s">
        <v>1547</v>
      </c>
      <c r="C978" s="12" t="str">
        <f>IFERROR(VLOOKUP(TED[[#This Row],[CENTRO]],'CENTRO DE CUSTO'!B:E,4,FALSE)," ")</f>
        <v>MARCOS</v>
      </c>
      <c r="D978" s="12">
        <v>101</v>
      </c>
      <c r="E978" s="16">
        <v>101010</v>
      </c>
      <c r="F978" s="10" t="s">
        <v>1911</v>
      </c>
      <c r="G978" s="10">
        <v>220</v>
      </c>
      <c r="H978" s="11">
        <v>44414</v>
      </c>
      <c r="I978" s="10" t="s">
        <v>941</v>
      </c>
      <c r="J978" s="12" t="str">
        <f>IF(OR(TED[[#This Row],[SITUACAO]]=1,TED[[#This Row],[SITUACAO]]=9,TED[[#This Row],[SITUACAO]]=18),"ATIVO","AFASTADO")</f>
        <v>ATIVO</v>
      </c>
      <c r="K978" s="12">
        <v>1</v>
      </c>
    </row>
    <row r="979" spans="1:11" x14ac:dyDescent="0.25">
      <c r="A979" s="10">
        <v>7670</v>
      </c>
      <c r="B979" s="9" t="s">
        <v>1543</v>
      </c>
      <c r="C979" s="12" t="str">
        <f>IFERROR(VLOOKUP(TED[[#This Row],[CENTRO]],'CENTRO DE CUSTO'!B:E,4,FALSE)," ")</f>
        <v>MARCOS</v>
      </c>
      <c r="D979" s="12">
        <v>101</v>
      </c>
      <c r="E979" s="16">
        <v>101010</v>
      </c>
      <c r="F979" s="10" t="s">
        <v>1911</v>
      </c>
      <c r="G979" s="10">
        <v>220</v>
      </c>
      <c r="H979" s="11">
        <v>42527</v>
      </c>
      <c r="I979" s="10" t="s">
        <v>937</v>
      </c>
      <c r="J979" s="12" t="str">
        <f>IF(OR(TED[[#This Row],[SITUACAO]]=1,TED[[#This Row],[SITUACAO]]=9,TED[[#This Row],[SITUACAO]]=18),"ATIVO","AFASTADO")</f>
        <v>ATIVO</v>
      </c>
      <c r="K979" s="12">
        <v>1</v>
      </c>
    </row>
    <row r="980" spans="1:11" x14ac:dyDescent="0.25">
      <c r="A980" s="10">
        <v>44334</v>
      </c>
      <c r="B980" s="9" t="s">
        <v>2108</v>
      </c>
      <c r="C980" s="12" t="str">
        <f>IFERROR(VLOOKUP(TED[[#This Row],[CENTRO]],'CENTRO DE CUSTO'!B:E,4,FALSE)," ")</f>
        <v>JEFFERSON</v>
      </c>
      <c r="D980" s="12">
        <v>101</v>
      </c>
      <c r="E980" s="16">
        <v>101006</v>
      </c>
      <c r="F980" s="10" t="s">
        <v>1907</v>
      </c>
      <c r="G980" s="10">
        <v>220</v>
      </c>
      <c r="H980" s="11">
        <v>46084</v>
      </c>
      <c r="I980" s="10" t="s">
        <v>947</v>
      </c>
      <c r="J980" s="12" t="str">
        <f>IF(OR(TED[[#This Row],[SITUACAO]]=1,TED[[#This Row],[SITUACAO]]=9,TED[[#This Row],[SITUACAO]]=18),"ATIVO","AFASTADO")</f>
        <v>ATIVO</v>
      </c>
      <c r="K980" s="12">
        <v>1</v>
      </c>
    </row>
    <row r="981" spans="1:11" x14ac:dyDescent="0.25">
      <c r="A981" s="10">
        <v>36284</v>
      </c>
      <c r="B981" s="9" t="s">
        <v>1268</v>
      </c>
      <c r="C981" s="12" t="str">
        <f>IFERROR(VLOOKUP(TED[[#This Row],[CENTRO]],'CENTRO DE CUSTO'!B:E,4,FALSE)," ")</f>
        <v>JEFFERSON</v>
      </c>
      <c r="D981" s="12">
        <v>101</v>
      </c>
      <c r="E981" s="16">
        <v>101003</v>
      </c>
      <c r="F981" s="10" t="s">
        <v>1904</v>
      </c>
      <c r="G981" s="10">
        <v>220</v>
      </c>
      <c r="H981" s="11">
        <v>45693</v>
      </c>
      <c r="I981" s="10" t="s">
        <v>957</v>
      </c>
      <c r="J981" s="12" t="str">
        <f>IF(OR(TED[[#This Row],[SITUACAO]]=1,TED[[#This Row],[SITUACAO]]=9,TED[[#This Row],[SITUACAO]]=18),"ATIVO","AFASTADO")</f>
        <v>ATIVO</v>
      </c>
      <c r="K981" s="12">
        <v>1</v>
      </c>
    </row>
    <row r="982" spans="1:11" x14ac:dyDescent="0.25">
      <c r="A982" s="10">
        <v>39173</v>
      </c>
      <c r="B982" s="9" t="s">
        <v>1581</v>
      </c>
      <c r="C982" s="12" t="str">
        <f>IFERROR(VLOOKUP(TED[[#This Row],[CENTRO]],'CENTRO DE CUSTO'!B:E,4,FALSE)," ")</f>
        <v>MARCOS</v>
      </c>
      <c r="D982" s="12">
        <v>101</v>
      </c>
      <c r="E982" s="16">
        <v>101012</v>
      </c>
      <c r="F982" s="10" t="s">
        <v>1913</v>
      </c>
      <c r="G982" s="10">
        <v>220</v>
      </c>
      <c r="H982" s="11">
        <v>45832</v>
      </c>
      <c r="I982" s="10" t="s">
        <v>947</v>
      </c>
      <c r="J982" s="12" t="str">
        <f>IF(OR(TED[[#This Row],[SITUACAO]]=1,TED[[#This Row],[SITUACAO]]=9,TED[[#This Row],[SITUACAO]]=18),"ATIVO","AFASTADO")</f>
        <v>ATIVO</v>
      </c>
      <c r="K982" s="12">
        <v>1</v>
      </c>
    </row>
    <row r="983" spans="1:11" x14ac:dyDescent="0.25">
      <c r="A983" s="10">
        <v>47048</v>
      </c>
      <c r="B983" s="9" t="s">
        <v>2343</v>
      </c>
      <c r="C983" s="12" t="str">
        <f>IFERROR(VLOOKUP(TED[[#This Row],[CENTRO]],'CENTRO DE CUSTO'!B:E,4,FALSE)," ")</f>
        <v>JEFFERSON</v>
      </c>
      <c r="D983" s="12">
        <v>101</v>
      </c>
      <c r="E983" s="16">
        <v>101007</v>
      </c>
      <c r="F983" s="10" t="s">
        <v>1908</v>
      </c>
      <c r="G983" s="10">
        <v>220</v>
      </c>
      <c r="H983" s="11">
        <v>46196</v>
      </c>
      <c r="I983" s="10" t="s">
        <v>935</v>
      </c>
      <c r="J983" s="12" t="str">
        <f>IF(OR(TED[[#This Row],[SITUACAO]]=1,TED[[#This Row],[SITUACAO]]=9,TED[[#This Row],[SITUACAO]]=18),"ATIVO","AFASTADO")</f>
        <v>ATIVO</v>
      </c>
      <c r="K983" s="12">
        <v>1</v>
      </c>
    </row>
    <row r="984" spans="1:11" x14ac:dyDescent="0.25">
      <c r="A984" s="10">
        <v>46039</v>
      </c>
      <c r="B984" s="9" t="s">
        <v>2344</v>
      </c>
      <c r="C984" s="12" t="str">
        <f>IFERROR(VLOOKUP(TED[[#This Row],[CENTRO]],'CENTRO DE CUSTO'!B:E,4,FALSE)," ")</f>
        <v>JEFFERSON</v>
      </c>
      <c r="D984" s="12">
        <v>101</v>
      </c>
      <c r="E984" s="16">
        <v>101002</v>
      </c>
      <c r="F984" s="10" t="s">
        <v>1903</v>
      </c>
      <c r="G984" s="10">
        <v>220</v>
      </c>
      <c r="H984" s="11">
        <v>46178</v>
      </c>
      <c r="I984" s="10" t="s">
        <v>933</v>
      </c>
      <c r="J984" s="12" t="str">
        <f>IF(OR(TED[[#This Row],[SITUACAO]]=1,TED[[#This Row],[SITUACAO]]=9,TED[[#This Row],[SITUACAO]]=18),"ATIVO","AFASTADO")</f>
        <v>ATIVO</v>
      </c>
      <c r="K984" s="12">
        <v>1</v>
      </c>
    </row>
    <row r="985" spans="1:11" x14ac:dyDescent="0.25">
      <c r="A985" s="10">
        <v>42079</v>
      </c>
      <c r="B985" s="9" t="s">
        <v>1446</v>
      </c>
      <c r="C985" s="12" t="str">
        <f>IFERROR(VLOOKUP(TED[[#This Row],[CENTRO]],'CENTRO DE CUSTO'!B:E,4,FALSE)," ")</f>
        <v>JEFFERSON</v>
      </c>
      <c r="D985" s="12">
        <v>101</v>
      </c>
      <c r="E985" s="16">
        <v>101006</v>
      </c>
      <c r="F985" s="10" t="s">
        <v>1907</v>
      </c>
      <c r="G985" s="10">
        <v>220</v>
      </c>
      <c r="H985" s="11">
        <v>45972</v>
      </c>
      <c r="I985" s="10" t="s">
        <v>948</v>
      </c>
      <c r="J985" s="12" t="str">
        <f>IF(OR(TED[[#This Row],[SITUACAO]]=1,TED[[#This Row],[SITUACAO]]=9,TED[[#This Row],[SITUACAO]]=18),"ATIVO","AFASTADO")</f>
        <v>ATIVO</v>
      </c>
      <c r="K985" s="12">
        <v>1</v>
      </c>
    </row>
    <row r="986" spans="1:11" x14ac:dyDescent="0.25">
      <c r="A986" s="10">
        <v>11407</v>
      </c>
      <c r="B986" s="9" t="s">
        <v>1406</v>
      </c>
      <c r="C986" s="12" t="str">
        <f>IFERROR(VLOOKUP(TED[[#This Row],[CENTRO]],'CENTRO DE CUSTO'!B:E,4,FALSE)," ")</f>
        <v>MARCOS</v>
      </c>
      <c r="D986" s="12">
        <v>101</v>
      </c>
      <c r="E986" s="16">
        <v>101005</v>
      </c>
      <c r="F986" s="10" t="s">
        <v>1906</v>
      </c>
      <c r="G986" s="10">
        <v>220</v>
      </c>
      <c r="H986" s="11">
        <v>43409</v>
      </c>
      <c r="I986" s="10" t="s">
        <v>942</v>
      </c>
      <c r="J986" s="12" t="str">
        <f>IF(OR(TED[[#This Row],[SITUACAO]]=1,TED[[#This Row],[SITUACAO]]=9,TED[[#This Row],[SITUACAO]]=18),"ATIVO","AFASTADO")</f>
        <v>ATIVO</v>
      </c>
      <c r="K986" s="12">
        <v>1</v>
      </c>
    </row>
    <row r="987" spans="1:11" x14ac:dyDescent="0.25">
      <c r="A987" s="10">
        <v>20456</v>
      </c>
      <c r="B987" s="9" t="s">
        <v>1384</v>
      </c>
      <c r="C987" s="12" t="str">
        <f>IFERROR(VLOOKUP(TED[[#This Row],[CENTRO]],'CENTRO DE CUSTO'!B:E,4,FALSE)," ")</f>
        <v>JEFFERSON</v>
      </c>
      <c r="D987" s="12">
        <v>101</v>
      </c>
      <c r="E987" s="16">
        <v>101004</v>
      </c>
      <c r="F987" s="10" t="s">
        <v>1905</v>
      </c>
      <c r="G987" s="10">
        <v>220</v>
      </c>
      <c r="H987" s="11">
        <v>44615</v>
      </c>
      <c r="I987" s="10" t="s">
        <v>1</v>
      </c>
      <c r="J987" s="12" t="str">
        <f>IF(OR(TED[[#This Row],[SITUACAO]]=1,TED[[#This Row],[SITUACAO]]=9,TED[[#This Row],[SITUACAO]]=18),"ATIVO","AFASTADO")</f>
        <v>ATIVO</v>
      </c>
      <c r="K987" s="12">
        <v>1</v>
      </c>
    </row>
    <row r="988" spans="1:11" x14ac:dyDescent="0.25">
      <c r="A988" s="10">
        <v>39858</v>
      </c>
      <c r="B988" s="9" t="s">
        <v>1457</v>
      </c>
      <c r="C988" s="12" t="str">
        <f>IFERROR(VLOOKUP(TED[[#This Row],[CENTRO]],'CENTRO DE CUSTO'!B:E,4,FALSE)," ")</f>
        <v>JEFFERSON</v>
      </c>
      <c r="D988" s="12">
        <v>101</v>
      </c>
      <c r="E988" s="16">
        <v>101007</v>
      </c>
      <c r="F988" s="10" t="s">
        <v>1908</v>
      </c>
      <c r="G988" s="10">
        <v>220</v>
      </c>
      <c r="H988" s="11">
        <v>45876</v>
      </c>
      <c r="I988" s="10" t="s">
        <v>935</v>
      </c>
      <c r="J988" s="12" t="str">
        <f>IF(OR(TED[[#This Row],[SITUACAO]]=1,TED[[#This Row],[SITUACAO]]=9,TED[[#This Row],[SITUACAO]]=18),"ATIVO","AFASTADO")</f>
        <v>ATIVO</v>
      </c>
      <c r="K988" s="12">
        <v>1</v>
      </c>
    </row>
    <row r="989" spans="1:11" x14ac:dyDescent="0.25">
      <c r="A989" s="10">
        <v>33713</v>
      </c>
      <c r="B989" s="9" t="s">
        <v>1375</v>
      </c>
      <c r="C989" s="12" t="str">
        <f>IFERROR(VLOOKUP(TED[[#This Row],[CENTRO]],'CENTRO DE CUSTO'!B:E,4,FALSE)," ")</f>
        <v>JEFFERSON</v>
      </c>
      <c r="D989" s="12">
        <v>101</v>
      </c>
      <c r="E989" s="16">
        <v>101004</v>
      </c>
      <c r="F989" s="10" t="s">
        <v>1905</v>
      </c>
      <c r="G989" s="10">
        <v>220</v>
      </c>
      <c r="H989" s="11">
        <v>45537</v>
      </c>
      <c r="I989" s="10" t="s">
        <v>941</v>
      </c>
      <c r="J989" s="12" t="str">
        <f>IF(OR(TED[[#This Row],[SITUACAO]]=1,TED[[#This Row],[SITUACAO]]=9,TED[[#This Row],[SITUACAO]]=18),"ATIVO","AFASTADO")</f>
        <v>ATIVO</v>
      </c>
      <c r="K989" s="12">
        <v>1</v>
      </c>
    </row>
    <row r="990" spans="1:11" x14ac:dyDescent="0.25">
      <c r="A990" s="10">
        <v>9883</v>
      </c>
      <c r="B990" s="9" t="s">
        <v>1393</v>
      </c>
      <c r="C990" s="12" t="str">
        <f>IFERROR(VLOOKUP(TED[[#This Row],[CENTRO]],'CENTRO DE CUSTO'!B:E,4,FALSE)," ")</f>
        <v>JEFFERSON</v>
      </c>
      <c r="D990" s="12">
        <v>101</v>
      </c>
      <c r="E990" s="16">
        <v>101004</v>
      </c>
      <c r="F990" s="10" t="s">
        <v>1905</v>
      </c>
      <c r="G990" s="10">
        <v>220</v>
      </c>
      <c r="H990" s="11">
        <v>43070</v>
      </c>
      <c r="I990" s="10" t="s">
        <v>941</v>
      </c>
      <c r="J990" s="12" t="str">
        <f>IF(OR(TED[[#This Row],[SITUACAO]]=1,TED[[#This Row],[SITUACAO]]=9,TED[[#This Row],[SITUACAO]]=18),"ATIVO","AFASTADO")</f>
        <v>ATIVO</v>
      </c>
      <c r="K990" s="12">
        <v>1</v>
      </c>
    </row>
    <row r="991" spans="1:11" x14ac:dyDescent="0.25">
      <c r="A991" s="10">
        <v>8305</v>
      </c>
      <c r="B991" s="9" t="s">
        <v>988</v>
      </c>
      <c r="C991" s="12" t="str">
        <f>IFERROR(VLOOKUP(TED[[#This Row],[CENTRO]],'CENTRO DE CUSTO'!B:E,4,FALSE)," ")</f>
        <v>JEFFERSON</v>
      </c>
      <c r="D991" s="12">
        <v>101</v>
      </c>
      <c r="E991" s="16">
        <v>101002</v>
      </c>
      <c r="F991" s="10" t="s">
        <v>1903</v>
      </c>
      <c r="G991" s="10">
        <v>220</v>
      </c>
      <c r="H991" s="11">
        <v>42682</v>
      </c>
      <c r="I991" s="10" t="s">
        <v>941</v>
      </c>
      <c r="J991" s="12" t="str">
        <f>IF(OR(TED[[#This Row],[SITUACAO]]=1,TED[[#This Row],[SITUACAO]]=9,TED[[#This Row],[SITUACAO]]=18),"ATIVO","AFASTADO")</f>
        <v>ATIVO</v>
      </c>
      <c r="K991" s="12">
        <v>1</v>
      </c>
    </row>
    <row r="992" spans="1:11" x14ac:dyDescent="0.25">
      <c r="A992" s="10">
        <v>34575</v>
      </c>
      <c r="B992" s="9" t="s">
        <v>1552</v>
      </c>
      <c r="C992" s="12" t="str">
        <f>IFERROR(VLOOKUP(TED[[#This Row],[CENTRO]],'CENTRO DE CUSTO'!B:E,4,FALSE)," ")</f>
        <v>MARCOS</v>
      </c>
      <c r="D992" s="12">
        <v>101</v>
      </c>
      <c r="E992" s="16">
        <v>101010</v>
      </c>
      <c r="F992" s="10" t="s">
        <v>1911</v>
      </c>
      <c r="G992" s="10">
        <v>220</v>
      </c>
      <c r="H992" s="11">
        <v>45608</v>
      </c>
      <c r="I992" s="10" t="s">
        <v>21</v>
      </c>
      <c r="J992" s="12" t="str">
        <f>IF(OR(TED[[#This Row],[SITUACAO]]=1,TED[[#This Row],[SITUACAO]]=9,TED[[#This Row],[SITUACAO]]=18),"ATIVO","AFASTADO")</f>
        <v>ATIVO</v>
      </c>
      <c r="K992" s="12">
        <v>1</v>
      </c>
    </row>
    <row r="993" spans="1:11" x14ac:dyDescent="0.25">
      <c r="A993" s="10">
        <v>39369</v>
      </c>
      <c r="B993" s="9" t="s">
        <v>1356</v>
      </c>
      <c r="C993" s="12" t="str">
        <f>IFERROR(VLOOKUP(TED[[#This Row],[CENTRO]],'CENTRO DE CUSTO'!B:E,4,FALSE)," ")</f>
        <v>JEFFERSON</v>
      </c>
      <c r="D993" s="12">
        <v>101</v>
      </c>
      <c r="E993" s="16">
        <v>101004</v>
      </c>
      <c r="F993" s="10" t="s">
        <v>1905</v>
      </c>
      <c r="G993" s="10">
        <v>220</v>
      </c>
      <c r="H993" s="11">
        <v>45845</v>
      </c>
      <c r="I993" s="10" t="s">
        <v>21</v>
      </c>
      <c r="J993" s="12" t="str">
        <f>IF(OR(TED[[#This Row],[SITUACAO]]=1,TED[[#This Row],[SITUACAO]]=9,TED[[#This Row],[SITUACAO]]=18),"ATIVO","AFASTADO")</f>
        <v>ATIVO</v>
      </c>
      <c r="K993" s="12">
        <v>1</v>
      </c>
    </row>
    <row r="994" spans="1:11" x14ac:dyDescent="0.25">
      <c r="A994" s="10">
        <v>17098</v>
      </c>
      <c r="B994" s="9" t="s">
        <v>1414</v>
      </c>
      <c r="C994" s="12" t="str">
        <f>IFERROR(VLOOKUP(TED[[#This Row],[CENTRO]],'CENTRO DE CUSTO'!B:E,4,FALSE)," ")</f>
        <v>MARCOS</v>
      </c>
      <c r="D994" s="12">
        <v>101</v>
      </c>
      <c r="E994" s="16">
        <v>101005</v>
      </c>
      <c r="F994" s="10" t="s">
        <v>1906</v>
      </c>
      <c r="G994" s="10">
        <v>220</v>
      </c>
      <c r="H994" s="11">
        <v>44389</v>
      </c>
      <c r="I994" s="10" t="s">
        <v>942</v>
      </c>
      <c r="J994" s="12" t="str">
        <f>IF(OR(TED[[#This Row],[SITUACAO]]=1,TED[[#This Row],[SITUACAO]]=9,TED[[#This Row],[SITUACAO]]=18),"ATIVO","AFASTADO")</f>
        <v>AFASTADO</v>
      </c>
      <c r="K994" s="12">
        <v>6</v>
      </c>
    </row>
    <row r="995" spans="1:11" x14ac:dyDescent="0.25">
      <c r="A995" s="10">
        <v>33080</v>
      </c>
      <c r="B995" s="9" t="s">
        <v>1222</v>
      </c>
      <c r="C995" s="12" t="str">
        <f>IFERROR(VLOOKUP(TED[[#This Row],[CENTRO]],'CENTRO DE CUSTO'!B:E,4,FALSE)," ")</f>
        <v>MARCOS</v>
      </c>
      <c r="D995" s="12">
        <v>101</v>
      </c>
      <c r="E995" s="16">
        <v>101001</v>
      </c>
      <c r="F995" s="10" t="s">
        <v>1902</v>
      </c>
      <c r="G995" s="10">
        <v>220</v>
      </c>
      <c r="H995" s="11">
        <v>45475</v>
      </c>
      <c r="I995" s="10" t="s">
        <v>947</v>
      </c>
      <c r="J995" s="12" t="str">
        <f>IF(OR(TED[[#This Row],[SITUACAO]]=1,TED[[#This Row],[SITUACAO]]=9,TED[[#This Row],[SITUACAO]]=18),"ATIVO","AFASTADO")</f>
        <v>ATIVO</v>
      </c>
      <c r="K995" s="12">
        <v>1</v>
      </c>
    </row>
    <row r="996" spans="1:11" x14ac:dyDescent="0.25">
      <c r="A996" s="10">
        <v>33018</v>
      </c>
      <c r="B996" s="9" t="s">
        <v>1572</v>
      </c>
      <c r="C996" s="12" t="str">
        <f>IFERROR(VLOOKUP(TED[[#This Row],[CENTRO]],'CENTRO DE CUSTO'!B:E,4,FALSE)," ")</f>
        <v>MARCOS</v>
      </c>
      <c r="D996" s="12">
        <v>101</v>
      </c>
      <c r="E996" s="16">
        <v>101011</v>
      </c>
      <c r="F996" s="10" t="s">
        <v>1912</v>
      </c>
      <c r="G996" s="10">
        <v>220</v>
      </c>
      <c r="H996" s="11">
        <v>45469</v>
      </c>
      <c r="I996" s="10" t="s">
        <v>947</v>
      </c>
      <c r="J996" s="12" t="str">
        <f>IF(OR(TED[[#This Row],[SITUACAO]]=1,TED[[#This Row],[SITUACAO]]=9,TED[[#This Row],[SITUACAO]]=18),"ATIVO","AFASTADO")</f>
        <v>ATIVO</v>
      </c>
      <c r="K996" s="12">
        <v>1</v>
      </c>
    </row>
    <row r="997" spans="1:11" x14ac:dyDescent="0.25">
      <c r="A997" s="10">
        <v>33368</v>
      </c>
      <c r="B997" s="9" t="s">
        <v>1323</v>
      </c>
      <c r="C997" s="12" t="str">
        <f>IFERROR(VLOOKUP(TED[[#This Row],[CENTRO]],'CENTRO DE CUSTO'!B:E,4,FALSE)," ")</f>
        <v>JEFFERSON</v>
      </c>
      <c r="D997" s="12">
        <v>101</v>
      </c>
      <c r="E997" s="16">
        <v>101004</v>
      </c>
      <c r="F997" s="10" t="s">
        <v>1905</v>
      </c>
      <c r="G997" s="10">
        <v>220</v>
      </c>
      <c r="H997" s="11">
        <v>45505</v>
      </c>
      <c r="I997" s="10" t="s">
        <v>937</v>
      </c>
      <c r="J997" s="12" t="str">
        <f>IF(OR(TED[[#This Row],[SITUACAO]]=1,TED[[#This Row],[SITUACAO]]=9,TED[[#This Row],[SITUACAO]]=18),"ATIVO","AFASTADO")</f>
        <v>ATIVO</v>
      </c>
      <c r="K997" s="12">
        <v>1</v>
      </c>
    </row>
    <row r="998" spans="1:11" x14ac:dyDescent="0.25">
      <c r="A998" s="10">
        <v>20334</v>
      </c>
      <c r="B998" s="9" t="s">
        <v>1470</v>
      </c>
      <c r="C998" s="12" t="str">
        <f>IFERROR(VLOOKUP(TED[[#This Row],[CENTRO]],'CENTRO DE CUSTO'!B:E,4,FALSE)," ")</f>
        <v>JEFFERSON</v>
      </c>
      <c r="D998" s="12">
        <v>101</v>
      </c>
      <c r="E998" s="16">
        <v>101007</v>
      </c>
      <c r="F998" s="10" t="s">
        <v>1908</v>
      </c>
      <c r="G998" s="10">
        <v>220</v>
      </c>
      <c r="H998" s="11">
        <v>44607</v>
      </c>
      <c r="I998" s="10" t="s">
        <v>946</v>
      </c>
      <c r="J998" s="12" t="str">
        <f>IF(OR(TED[[#This Row],[SITUACAO]]=1,TED[[#This Row],[SITUACAO]]=9,TED[[#This Row],[SITUACAO]]=18),"ATIVO","AFASTADO")</f>
        <v>ATIVO</v>
      </c>
      <c r="K998" s="12">
        <v>1</v>
      </c>
    </row>
    <row r="999" spans="1:11" x14ac:dyDescent="0.25">
      <c r="A999" s="10">
        <v>10503</v>
      </c>
      <c r="B999" s="9" t="s">
        <v>1195</v>
      </c>
      <c r="C999" s="12" t="str">
        <f>IFERROR(VLOOKUP(TED[[#This Row],[CENTRO]],'CENTRO DE CUSTO'!B:E,4,FALSE)," ")</f>
        <v>MARCOS</v>
      </c>
      <c r="D999" s="12">
        <v>101</v>
      </c>
      <c r="E999" s="16">
        <v>101001</v>
      </c>
      <c r="F999" s="10" t="s">
        <v>1902</v>
      </c>
      <c r="G999" s="10">
        <v>220</v>
      </c>
      <c r="H999" s="11">
        <v>43201</v>
      </c>
      <c r="I999" s="10" t="s">
        <v>935</v>
      </c>
      <c r="J999" s="12" t="str">
        <f>IF(OR(TED[[#This Row],[SITUACAO]]=1,TED[[#This Row],[SITUACAO]]=9,TED[[#This Row],[SITUACAO]]=18),"ATIVO","AFASTADO")</f>
        <v>ATIVO</v>
      </c>
      <c r="K999" s="12">
        <v>1</v>
      </c>
    </row>
    <row r="1000" spans="1:11" x14ac:dyDescent="0.25">
      <c r="A1000" s="10">
        <v>33338</v>
      </c>
      <c r="B1000" s="9" t="s">
        <v>1492</v>
      </c>
      <c r="C1000" s="12" t="str">
        <f>IFERROR(VLOOKUP(TED[[#This Row],[CENTRO]],'CENTRO DE CUSTO'!B:E,4,FALSE)," ")</f>
        <v>MARCOS</v>
      </c>
      <c r="D1000" s="12">
        <v>101</v>
      </c>
      <c r="E1000" s="16">
        <v>101008</v>
      </c>
      <c r="F1000" s="10" t="s">
        <v>1909</v>
      </c>
      <c r="G1000" s="10">
        <v>220</v>
      </c>
      <c r="H1000" s="11">
        <v>45502</v>
      </c>
      <c r="I1000" s="10" t="s">
        <v>957</v>
      </c>
      <c r="J1000" s="12" t="str">
        <f>IF(OR(TED[[#This Row],[SITUACAO]]=1,TED[[#This Row],[SITUACAO]]=9,TED[[#This Row],[SITUACAO]]=18),"ATIVO","AFASTADO")</f>
        <v>ATIVO</v>
      </c>
      <c r="K1000" s="12">
        <v>1</v>
      </c>
    </row>
    <row r="1001" spans="1:11" x14ac:dyDescent="0.25">
      <c r="A1001" s="10">
        <v>14965</v>
      </c>
      <c r="B1001" s="9" t="s">
        <v>1205</v>
      </c>
      <c r="C1001" s="12" t="str">
        <f>IFERROR(VLOOKUP(TED[[#This Row],[CENTRO]],'CENTRO DE CUSTO'!B:E,4,FALSE)," ")</f>
        <v>MARCOS</v>
      </c>
      <c r="D1001" s="12">
        <v>101</v>
      </c>
      <c r="E1001" s="16">
        <v>101001</v>
      </c>
      <c r="F1001" s="10" t="s">
        <v>1902</v>
      </c>
      <c r="G1001" s="10">
        <v>220</v>
      </c>
      <c r="H1001" s="11">
        <v>44188</v>
      </c>
      <c r="I1001" s="10" t="s">
        <v>21</v>
      </c>
      <c r="J1001" s="12" t="str">
        <f>IF(OR(TED[[#This Row],[SITUACAO]]=1,TED[[#This Row],[SITUACAO]]=9,TED[[#This Row],[SITUACAO]]=18),"ATIVO","AFASTADO")</f>
        <v>ATIVO</v>
      </c>
      <c r="K1001" s="12">
        <v>1</v>
      </c>
    </row>
    <row r="1002" spans="1:11" x14ac:dyDescent="0.25">
      <c r="A1002" s="10">
        <v>31468</v>
      </c>
      <c r="B1002" s="9" t="s">
        <v>1181</v>
      </c>
      <c r="C1002" s="12" t="str">
        <f>IFERROR(VLOOKUP(TED[[#This Row],[CENTRO]],'CENTRO DE CUSTO'!B:E,4,FALSE)," ")</f>
        <v>MARCOS</v>
      </c>
      <c r="D1002" s="12">
        <v>101</v>
      </c>
      <c r="E1002" s="16">
        <v>101001</v>
      </c>
      <c r="F1002" s="10" t="s">
        <v>1902</v>
      </c>
      <c r="G1002" s="10">
        <v>220</v>
      </c>
      <c r="H1002" s="11">
        <v>45357</v>
      </c>
      <c r="I1002" s="10" t="s">
        <v>947</v>
      </c>
      <c r="J1002" s="12" t="str">
        <f>IF(OR(TED[[#This Row],[SITUACAO]]=1,TED[[#This Row],[SITUACAO]]=9,TED[[#This Row],[SITUACAO]]=18),"ATIVO","AFASTADO")</f>
        <v>ATIVO</v>
      </c>
      <c r="K1002" s="12">
        <v>1</v>
      </c>
    </row>
    <row r="1003" spans="1:11" x14ac:dyDescent="0.25">
      <c r="A1003" s="10">
        <v>28531</v>
      </c>
      <c r="B1003" s="9" t="s">
        <v>1296</v>
      </c>
      <c r="C1003" s="12" t="str">
        <f>IFERROR(VLOOKUP(TED[[#This Row],[CENTRO]],'CENTRO DE CUSTO'!B:E,4,FALSE)," ")</f>
        <v>JEFFERSON</v>
      </c>
      <c r="D1003" s="12">
        <v>101</v>
      </c>
      <c r="E1003" s="16">
        <v>101004</v>
      </c>
      <c r="F1003" s="10" t="s">
        <v>1905</v>
      </c>
      <c r="G1003" s="10">
        <v>220</v>
      </c>
      <c r="H1003" s="11">
        <v>45187</v>
      </c>
      <c r="I1003" s="10" t="s">
        <v>21</v>
      </c>
      <c r="J1003" s="12" t="str">
        <f>IF(OR(TED[[#This Row],[SITUACAO]]=1,TED[[#This Row],[SITUACAO]]=9,TED[[#This Row],[SITUACAO]]=18),"ATIVO","AFASTADO")</f>
        <v>ATIVO</v>
      </c>
      <c r="K1003" s="12">
        <v>1</v>
      </c>
    </row>
    <row r="1004" spans="1:11" x14ac:dyDescent="0.25">
      <c r="A1004" s="10">
        <v>17288</v>
      </c>
      <c r="B1004" s="9" t="s">
        <v>1326</v>
      </c>
      <c r="C1004" s="12" t="str">
        <f>IFERROR(VLOOKUP(TED[[#This Row],[CENTRO]],'CENTRO DE CUSTO'!B:E,4,FALSE)," ")</f>
        <v>JEFFERSON</v>
      </c>
      <c r="D1004" s="12">
        <v>101</v>
      </c>
      <c r="E1004" s="16">
        <v>101004</v>
      </c>
      <c r="F1004" s="10" t="s">
        <v>1905</v>
      </c>
      <c r="G1004" s="10">
        <v>220</v>
      </c>
      <c r="H1004" s="11">
        <v>44414</v>
      </c>
      <c r="I1004" s="10" t="s">
        <v>941</v>
      </c>
      <c r="J1004" s="12" t="str">
        <f>IF(OR(TED[[#This Row],[SITUACAO]]=1,TED[[#This Row],[SITUACAO]]=9,TED[[#This Row],[SITUACAO]]=18),"ATIVO","AFASTADO")</f>
        <v>ATIVO</v>
      </c>
      <c r="K1004" s="12">
        <v>1</v>
      </c>
    </row>
    <row r="1005" spans="1:11" x14ac:dyDescent="0.25">
      <c r="A1005" s="10">
        <v>8304</v>
      </c>
      <c r="B1005" s="9" t="s">
        <v>1400</v>
      </c>
      <c r="C1005" s="12" t="str">
        <f>IFERROR(VLOOKUP(TED[[#This Row],[CENTRO]],'CENTRO DE CUSTO'!B:E,4,FALSE)," ")</f>
        <v>MARCOS</v>
      </c>
      <c r="D1005" s="12">
        <v>101</v>
      </c>
      <c r="E1005" s="16">
        <v>101005</v>
      </c>
      <c r="F1005" s="10" t="s">
        <v>1906</v>
      </c>
      <c r="G1005" s="10">
        <v>220</v>
      </c>
      <c r="H1005" s="11">
        <v>42682</v>
      </c>
      <c r="I1005" s="10" t="s">
        <v>1007</v>
      </c>
      <c r="J1005" s="12" t="str">
        <f>IF(OR(TED[[#This Row],[SITUACAO]]=1,TED[[#This Row],[SITUACAO]]=9,TED[[#This Row],[SITUACAO]]=18),"ATIVO","AFASTADO")</f>
        <v>ATIVO</v>
      </c>
      <c r="K1005" s="12">
        <v>1</v>
      </c>
    </row>
    <row r="1006" spans="1:11" x14ac:dyDescent="0.25">
      <c r="A1006" s="10">
        <v>12950</v>
      </c>
      <c r="B1006" s="9" t="s">
        <v>1398</v>
      </c>
      <c r="C1006" s="12" t="str">
        <f>IFERROR(VLOOKUP(TED[[#This Row],[CENTRO]],'CENTRO DE CUSTO'!B:E,4,FALSE)," ")</f>
        <v>MARCOS</v>
      </c>
      <c r="D1006" s="12">
        <v>101</v>
      </c>
      <c r="E1006" s="16">
        <v>101005</v>
      </c>
      <c r="F1006" s="10" t="s">
        <v>1906</v>
      </c>
      <c r="G1006" s="10">
        <v>220</v>
      </c>
      <c r="H1006" s="11">
        <v>43642</v>
      </c>
      <c r="I1006" s="10" t="s">
        <v>1007</v>
      </c>
      <c r="J1006" s="12" t="str">
        <f>IF(OR(TED[[#This Row],[SITUACAO]]=1,TED[[#This Row],[SITUACAO]]=9,TED[[#This Row],[SITUACAO]]=18),"ATIVO","AFASTADO")</f>
        <v>ATIVO</v>
      </c>
      <c r="K1006" s="12">
        <v>1</v>
      </c>
    </row>
    <row r="1007" spans="1:11" x14ac:dyDescent="0.25">
      <c r="A1007" s="10">
        <v>33364</v>
      </c>
      <c r="B1007" s="9" t="s">
        <v>1231</v>
      </c>
      <c r="C1007" s="12" t="str">
        <f>IFERROR(VLOOKUP(TED[[#This Row],[CENTRO]],'CENTRO DE CUSTO'!B:E,4,FALSE)," ")</f>
        <v>MARCOS</v>
      </c>
      <c r="D1007" s="12">
        <v>101</v>
      </c>
      <c r="E1007" s="16">
        <v>101001</v>
      </c>
      <c r="F1007" s="10" t="s">
        <v>1902</v>
      </c>
      <c r="G1007" s="10">
        <v>220</v>
      </c>
      <c r="H1007" s="11">
        <v>45505</v>
      </c>
      <c r="I1007" s="10" t="s">
        <v>942</v>
      </c>
      <c r="J1007" s="12" t="str">
        <f>IF(OR(TED[[#This Row],[SITUACAO]]=1,TED[[#This Row],[SITUACAO]]=9,TED[[#This Row],[SITUACAO]]=18),"ATIVO","AFASTADO")</f>
        <v>ATIVO</v>
      </c>
      <c r="K1007" s="12">
        <v>1</v>
      </c>
    </row>
    <row r="1008" spans="1:11" x14ac:dyDescent="0.25">
      <c r="A1008" s="10">
        <v>32821</v>
      </c>
      <c r="B1008" s="9" t="s">
        <v>1309</v>
      </c>
      <c r="C1008" s="12" t="str">
        <f>IFERROR(VLOOKUP(TED[[#This Row],[CENTRO]],'CENTRO DE CUSTO'!B:E,4,FALSE)," ")</f>
        <v>JEFFERSON</v>
      </c>
      <c r="D1008" s="12">
        <v>101</v>
      </c>
      <c r="E1008" s="16">
        <v>101004</v>
      </c>
      <c r="F1008" s="10" t="s">
        <v>1905</v>
      </c>
      <c r="G1008" s="10">
        <v>220</v>
      </c>
      <c r="H1008" s="11">
        <v>45453</v>
      </c>
      <c r="I1008" s="10" t="s">
        <v>937</v>
      </c>
      <c r="J1008" s="12" t="str">
        <f>IF(OR(TED[[#This Row],[SITUACAO]]=1,TED[[#This Row],[SITUACAO]]=9,TED[[#This Row],[SITUACAO]]=18),"ATIVO","AFASTADO")</f>
        <v>ATIVO</v>
      </c>
      <c r="K1008" s="12">
        <v>1</v>
      </c>
    </row>
    <row r="1009" spans="1:11" x14ac:dyDescent="0.25">
      <c r="A1009" s="10">
        <v>39610</v>
      </c>
      <c r="B1009" s="9" t="s">
        <v>1357</v>
      </c>
      <c r="C1009" s="12" t="str">
        <f>IFERROR(VLOOKUP(TED[[#This Row],[CENTRO]],'CENTRO DE CUSTO'!B:E,4,FALSE)," ")</f>
        <v>JEFFERSON</v>
      </c>
      <c r="D1009" s="12">
        <v>101</v>
      </c>
      <c r="E1009" s="16">
        <v>101004</v>
      </c>
      <c r="F1009" s="10" t="s">
        <v>1905</v>
      </c>
      <c r="G1009" s="10">
        <v>220</v>
      </c>
      <c r="H1009" s="11">
        <v>45853</v>
      </c>
      <c r="I1009" s="10" t="s">
        <v>948</v>
      </c>
      <c r="J1009" s="12" t="str">
        <f>IF(OR(TED[[#This Row],[SITUACAO]]=1,TED[[#This Row],[SITUACAO]]=9,TED[[#This Row],[SITUACAO]]=18),"ATIVO","AFASTADO")</f>
        <v>ATIVO</v>
      </c>
      <c r="K1009" s="12">
        <v>1</v>
      </c>
    </row>
    <row r="1010" spans="1:11" x14ac:dyDescent="0.25">
      <c r="A1010" s="10">
        <v>38882</v>
      </c>
      <c r="B1010" s="9" t="s">
        <v>1322</v>
      </c>
      <c r="C1010" s="12" t="str">
        <f>IFERROR(VLOOKUP(TED[[#This Row],[CENTRO]],'CENTRO DE CUSTO'!B:E,4,FALSE)," ")</f>
        <v>JEFFERSON</v>
      </c>
      <c r="D1010" s="12">
        <v>101</v>
      </c>
      <c r="E1010" s="16">
        <v>101004</v>
      </c>
      <c r="F1010" s="10" t="s">
        <v>1905</v>
      </c>
      <c r="G1010" s="10">
        <v>220</v>
      </c>
      <c r="H1010" s="11">
        <v>45800</v>
      </c>
      <c r="I1010" s="10" t="s">
        <v>937</v>
      </c>
      <c r="J1010" s="12" t="str">
        <f>IF(OR(TED[[#This Row],[SITUACAO]]=1,TED[[#This Row],[SITUACAO]]=9,TED[[#This Row],[SITUACAO]]=18),"ATIVO","AFASTADO")</f>
        <v>ATIVO</v>
      </c>
      <c r="K1010" s="12">
        <v>1</v>
      </c>
    </row>
    <row r="1011" spans="1:11" x14ac:dyDescent="0.25">
      <c r="A1011" s="10">
        <v>17715</v>
      </c>
      <c r="B1011" s="9" t="s">
        <v>1401</v>
      </c>
      <c r="C1011" s="12" t="str">
        <f>IFERROR(VLOOKUP(TED[[#This Row],[CENTRO]],'CENTRO DE CUSTO'!B:E,4,FALSE)," ")</f>
        <v>MARCOS</v>
      </c>
      <c r="D1011" s="12">
        <v>101</v>
      </c>
      <c r="E1011" s="16">
        <v>101005</v>
      </c>
      <c r="F1011" s="10" t="s">
        <v>1906</v>
      </c>
      <c r="G1011" s="10">
        <v>220</v>
      </c>
      <c r="H1011" s="11">
        <v>44474</v>
      </c>
      <c r="I1011" s="10" t="s">
        <v>1</v>
      </c>
      <c r="J1011" s="12" t="str">
        <f>IF(OR(TED[[#This Row],[SITUACAO]]=1,TED[[#This Row],[SITUACAO]]=9,TED[[#This Row],[SITUACAO]]=18),"ATIVO","AFASTADO")</f>
        <v>ATIVO</v>
      </c>
      <c r="K1011" s="12">
        <v>1</v>
      </c>
    </row>
    <row r="1012" spans="1:11" x14ac:dyDescent="0.25">
      <c r="A1012" s="10">
        <v>27588</v>
      </c>
      <c r="B1012" s="9" t="s">
        <v>1292</v>
      </c>
      <c r="C1012" s="12" t="str">
        <f>IFERROR(VLOOKUP(TED[[#This Row],[CENTRO]],'CENTRO DE CUSTO'!B:E,4,FALSE)," ")</f>
        <v>JEFFERSON</v>
      </c>
      <c r="D1012" s="12">
        <v>101</v>
      </c>
      <c r="E1012" s="16">
        <v>101004</v>
      </c>
      <c r="F1012" s="10" t="s">
        <v>1905</v>
      </c>
      <c r="G1012" s="10">
        <v>220</v>
      </c>
      <c r="H1012" s="11">
        <v>45096</v>
      </c>
      <c r="I1012" s="10" t="s">
        <v>21</v>
      </c>
      <c r="J1012" s="12" t="str">
        <f>IF(OR(TED[[#This Row],[SITUACAO]]=1,TED[[#This Row],[SITUACAO]]=9,TED[[#This Row],[SITUACAO]]=18),"ATIVO","AFASTADO")</f>
        <v>ATIVO</v>
      </c>
      <c r="K1012" s="12">
        <v>1</v>
      </c>
    </row>
    <row r="1013" spans="1:11" x14ac:dyDescent="0.25">
      <c r="A1013" s="10">
        <v>41527</v>
      </c>
      <c r="B1013" s="9" t="s">
        <v>1578</v>
      </c>
      <c r="C1013" s="12" t="str">
        <f>IFERROR(VLOOKUP(TED[[#This Row],[CENTRO]],'CENTRO DE CUSTO'!B:E,4,FALSE)," ")</f>
        <v>MARCOS</v>
      </c>
      <c r="D1013" s="12">
        <v>101</v>
      </c>
      <c r="E1013" s="16">
        <v>101012</v>
      </c>
      <c r="F1013" s="10" t="s">
        <v>1913</v>
      </c>
      <c r="G1013" s="10">
        <v>220</v>
      </c>
      <c r="H1013" s="11">
        <v>45932</v>
      </c>
      <c r="I1013" s="10" t="s">
        <v>933</v>
      </c>
      <c r="J1013" s="12" t="str">
        <f>IF(OR(TED[[#This Row],[SITUACAO]]=1,TED[[#This Row],[SITUACAO]]=9,TED[[#This Row],[SITUACAO]]=18),"ATIVO","AFASTADO")</f>
        <v>ATIVO</v>
      </c>
      <c r="K1013" s="12">
        <v>1</v>
      </c>
    </row>
    <row r="1014" spans="1:11" x14ac:dyDescent="0.25">
      <c r="A1014" s="10">
        <v>46213</v>
      </c>
      <c r="B1014" s="9" t="s">
        <v>2345</v>
      </c>
      <c r="C1014" s="12" t="str">
        <f>IFERROR(VLOOKUP(TED[[#This Row],[CENTRO]],'CENTRO DE CUSTO'!B:E,4,FALSE)," ")</f>
        <v>JEFFERSON</v>
      </c>
      <c r="D1014" s="12">
        <v>101</v>
      </c>
      <c r="E1014" s="16">
        <v>101007</v>
      </c>
      <c r="F1014" s="10" t="s">
        <v>1908</v>
      </c>
      <c r="G1014" s="10">
        <v>220</v>
      </c>
      <c r="H1014" s="11">
        <v>46189</v>
      </c>
      <c r="I1014" s="10" t="s">
        <v>935</v>
      </c>
      <c r="J1014" s="12" t="str">
        <f>IF(OR(TED[[#This Row],[SITUACAO]]=1,TED[[#This Row],[SITUACAO]]=9,TED[[#This Row],[SITUACAO]]=18),"ATIVO","AFASTADO")</f>
        <v>ATIVO</v>
      </c>
      <c r="K1014" s="12">
        <v>1</v>
      </c>
    </row>
    <row r="1015" spans="1:11" x14ac:dyDescent="0.25">
      <c r="A1015" s="10">
        <v>22898</v>
      </c>
      <c r="B1015" s="9" t="s">
        <v>1425</v>
      </c>
      <c r="C1015" s="12" t="str">
        <f>IFERROR(VLOOKUP(TED[[#This Row],[CENTRO]],'CENTRO DE CUSTO'!B:E,4,FALSE)," ")</f>
        <v>MARCOS</v>
      </c>
      <c r="D1015" s="12">
        <v>101</v>
      </c>
      <c r="E1015" s="16">
        <v>101005</v>
      </c>
      <c r="F1015" s="10" t="s">
        <v>1906</v>
      </c>
      <c r="G1015" s="10">
        <v>220</v>
      </c>
      <c r="H1015" s="11">
        <v>44805</v>
      </c>
      <c r="I1015" s="10" t="s">
        <v>973</v>
      </c>
      <c r="J1015" s="12" t="str">
        <f>IF(OR(TED[[#This Row],[SITUACAO]]=1,TED[[#This Row],[SITUACAO]]=9,TED[[#This Row],[SITUACAO]]=18),"ATIVO","AFASTADO")</f>
        <v>ATIVO</v>
      </c>
      <c r="K1015" s="12">
        <v>1</v>
      </c>
    </row>
    <row r="1016" spans="1:11" x14ac:dyDescent="0.25">
      <c r="A1016" s="10">
        <v>14494</v>
      </c>
      <c r="B1016" s="9" t="s">
        <v>1243</v>
      </c>
      <c r="C1016" s="12" t="str">
        <f>IFERROR(VLOOKUP(TED[[#This Row],[CENTRO]],'CENTRO DE CUSTO'!B:E,4,FALSE)," ")</f>
        <v>JEFFERSON</v>
      </c>
      <c r="D1016" s="12">
        <v>101</v>
      </c>
      <c r="E1016" s="16">
        <v>101002</v>
      </c>
      <c r="F1016" s="10" t="s">
        <v>1903</v>
      </c>
      <c r="G1016" s="10">
        <v>220</v>
      </c>
      <c r="H1016" s="11">
        <v>44000</v>
      </c>
      <c r="I1016" s="10" t="s">
        <v>942</v>
      </c>
      <c r="J1016" s="12" t="str">
        <f>IF(OR(TED[[#This Row],[SITUACAO]]=1,TED[[#This Row],[SITUACAO]]=9,TED[[#This Row],[SITUACAO]]=18),"ATIVO","AFASTADO")</f>
        <v>ATIVO</v>
      </c>
      <c r="K1016" s="12">
        <v>1</v>
      </c>
    </row>
    <row r="1017" spans="1:11" x14ac:dyDescent="0.25">
      <c r="A1017" s="10">
        <v>32303</v>
      </c>
      <c r="B1017" s="9" t="s">
        <v>984</v>
      </c>
      <c r="C1017" s="12" t="str">
        <f>IFERROR(VLOOKUP(TED[[#This Row],[CENTRO]],'CENTRO DE CUSTO'!B:E,4,FALSE)," ")</f>
        <v>MARCOS</v>
      </c>
      <c r="D1017" s="12">
        <v>101</v>
      </c>
      <c r="E1017" s="16">
        <v>101001</v>
      </c>
      <c r="F1017" s="10" t="s">
        <v>1902</v>
      </c>
      <c r="G1017" s="10">
        <v>220</v>
      </c>
      <c r="H1017" s="11">
        <v>45407</v>
      </c>
      <c r="I1017" s="10" t="s">
        <v>942</v>
      </c>
      <c r="J1017" s="12" t="str">
        <f>IF(OR(TED[[#This Row],[SITUACAO]]=1,TED[[#This Row],[SITUACAO]]=9,TED[[#This Row],[SITUACAO]]=18),"ATIVO","AFASTADO")</f>
        <v>ATIVO</v>
      </c>
      <c r="K1017" s="12">
        <v>1</v>
      </c>
    </row>
    <row r="1018" spans="1:11" x14ac:dyDescent="0.25">
      <c r="A1018" s="10">
        <v>40257</v>
      </c>
      <c r="B1018" s="9" t="s">
        <v>1486</v>
      </c>
      <c r="C1018" s="12" t="str">
        <f>IFERROR(VLOOKUP(TED[[#This Row],[CENTRO]],'CENTRO DE CUSTO'!B:E,4,FALSE)," ")</f>
        <v>MARCOS</v>
      </c>
      <c r="D1018" s="12">
        <v>101</v>
      </c>
      <c r="E1018" s="16">
        <v>101008</v>
      </c>
      <c r="F1018" s="10" t="s">
        <v>1909</v>
      </c>
      <c r="G1018" s="10">
        <v>220</v>
      </c>
      <c r="H1018" s="11">
        <v>45901</v>
      </c>
      <c r="I1018" s="10" t="s">
        <v>957</v>
      </c>
      <c r="J1018" s="12" t="str">
        <f>IF(OR(TED[[#This Row],[SITUACAO]]=1,TED[[#This Row],[SITUACAO]]=9,TED[[#This Row],[SITUACAO]]=18),"ATIVO","AFASTADO")</f>
        <v>ATIVO</v>
      </c>
      <c r="K1018" s="12">
        <v>1</v>
      </c>
    </row>
    <row r="1019" spans="1:11" x14ac:dyDescent="0.25">
      <c r="A1019" s="10">
        <v>35186</v>
      </c>
      <c r="B1019" s="9" t="s">
        <v>1512</v>
      </c>
      <c r="C1019" s="12" t="str">
        <f>IFERROR(VLOOKUP(TED[[#This Row],[CENTRO]],'CENTRO DE CUSTO'!B:E,4,FALSE)," ")</f>
        <v>JEFFERSON</v>
      </c>
      <c r="D1019" s="12">
        <v>101</v>
      </c>
      <c r="E1019" s="16">
        <v>101009</v>
      </c>
      <c r="F1019" s="10" t="s">
        <v>1910</v>
      </c>
      <c r="G1019" s="10">
        <v>220</v>
      </c>
      <c r="H1019" s="11">
        <v>45679</v>
      </c>
      <c r="I1019" s="10" t="s">
        <v>935</v>
      </c>
      <c r="J1019" s="12" t="str">
        <f>IF(OR(TED[[#This Row],[SITUACAO]]=1,TED[[#This Row],[SITUACAO]]=9,TED[[#This Row],[SITUACAO]]=18),"ATIVO","AFASTADO")</f>
        <v>ATIVO</v>
      </c>
      <c r="K1019" s="12">
        <v>1</v>
      </c>
    </row>
    <row r="1020" spans="1:11" x14ac:dyDescent="0.25">
      <c r="A1020" s="10">
        <v>22315</v>
      </c>
      <c r="B1020" s="9" t="s">
        <v>1460</v>
      </c>
      <c r="C1020" s="12" t="str">
        <f>IFERROR(VLOOKUP(TED[[#This Row],[CENTRO]],'CENTRO DE CUSTO'!B:E,4,FALSE)," ")</f>
        <v>JEFFERSON</v>
      </c>
      <c r="D1020" s="12">
        <v>101</v>
      </c>
      <c r="E1020" s="16">
        <v>101007</v>
      </c>
      <c r="F1020" s="10" t="s">
        <v>1908</v>
      </c>
      <c r="G1020" s="10">
        <v>220</v>
      </c>
      <c r="H1020" s="11">
        <v>44743</v>
      </c>
      <c r="I1020" s="10" t="s">
        <v>946</v>
      </c>
      <c r="J1020" s="12" t="str">
        <f>IF(OR(TED[[#This Row],[SITUACAO]]=1,TED[[#This Row],[SITUACAO]]=9,TED[[#This Row],[SITUACAO]]=18),"ATIVO","AFASTADO")</f>
        <v>ATIVO</v>
      </c>
      <c r="K1020" s="12">
        <v>1</v>
      </c>
    </row>
    <row r="1021" spans="1:11" x14ac:dyDescent="0.25">
      <c r="A1021" s="10">
        <v>33980</v>
      </c>
      <c r="B1021" s="9" t="s">
        <v>1496</v>
      </c>
      <c r="C1021" s="12" t="str">
        <f>IFERROR(VLOOKUP(TED[[#This Row],[CENTRO]],'CENTRO DE CUSTO'!B:E,4,FALSE)," ")</f>
        <v>MARCOS</v>
      </c>
      <c r="D1021" s="12">
        <v>101</v>
      </c>
      <c r="E1021" s="16">
        <v>101008</v>
      </c>
      <c r="F1021" s="10" t="s">
        <v>1909</v>
      </c>
      <c r="G1021" s="10">
        <v>220</v>
      </c>
      <c r="H1021" s="11">
        <v>45559</v>
      </c>
      <c r="I1021" s="10" t="s">
        <v>937</v>
      </c>
      <c r="J1021" s="12" t="str">
        <f>IF(OR(TED[[#This Row],[SITUACAO]]=1,TED[[#This Row],[SITUACAO]]=9,TED[[#This Row],[SITUACAO]]=18),"ATIVO","AFASTADO")</f>
        <v>ATIVO</v>
      </c>
      <c r="K1021" s="12">
        <v>1</v>
      </c>
    </row>
    <row r="1022" spans="1:11" x14ac:dyDescent="0.25">
      <c r="A1022" s="10">
        <v>39648</v>
      </c>
      <c r="B1022" s="9" t="s">
        <v>1514</v>
      </c>
      <c r="C1022" s="12" t="str">
        <f>IFERROR(VLOOKUP(TED[[#This Row],[CENTRO]],'CENTRO DE CUSTO'!B:E,4,FALSE)," ")</f>
        <v>JEFFERSON</v>
      </c>
      <c r="D1022" s="12">
        <v>101</v>
      </c>
      <c r="E1022" s="16">
        <v>101007</v>
      </c>
      <c r="F1022" s="10" t="s">
        <v>1908</v>
      </c>
      <c r="G1022" s="10">
        <v>220</v>
      </c>
      <c r="H1022" s="11">
        <v>45855</v>
      </c>
      <c r="I1022" s="10" t="s">
        <v>946</v>
      </c>
      <c r="J1022" s="12" t="str">
        <f>IF(OR(TED[[#This Row],[SITUACAO]]=1,TED[[#This Row],[SITUACAO]]=9,TED[[#This Row],[SITUACAO]]=18),"ATIVO","AFASTADO")</f>
        <v>ATIVO</v>
      </c>
      <c r="K1022" s="12">
        <v>1</v>
      </c>
    </row>
    <row r="1023" spans="1:11" x14ac:dyDescent="0.25">
      <c r="A1023" s="10">
        <v>31537</v>
      </c>
      <c r="B1023" s="9" t="s">
        <v>1509</v>
      </c>
      <c r="C1023" s="12" t="str">
        <f>IFERROR(VLOOKUP(TED[[#This Row],[CENTRO]],'CENTRO DE CUSTO'!B:E,4,FALSE)," ")</f>
        <v>MARCOS</v>
      </c>
      <c r="D1023" s="12">
        <v>101</v>
      </c>
      <c r="E1023" s="16">
        <v>101008</v>
      </c>
      <c r="F1023" s="10" t="s">
        <v>1909</v>
      </c>
      <c r="G1023" s="10">
        <v>220</v>
      </c>
      <c r="H1023" s="11">
        <v>45359</v>
      </c>
      <c r="I1023" s="10" t="s">
        <v>957</v>
      </c>
      <c r="J1023" s="12" t="str">
        <f>IF(OR(TED[[#This Row],[SITUACAO]]=1,TED[[#This Row],[SITUACAO]]=9,TED[[#This Row],[SITUACAO]]=18),"ATIVO","AFASTADO")</f>
        <v>ATIVO</v>
      </c>
      <c r="K1023" s="12">
        <v>1</v>
      </c>
    </row>
    <row r="1024" spans="1:11" x14ac:dyDescent="0.25">
      <c r="A1024" s="10">
        <v>17542</v>
      </c>
      <c r="B1024" s="9" t="s">
        <v>1498</v>
      </c>
      <c r="C1024" s="12" t="str">
        <f>IFERROR(VLOOKUP(TED[[#This Row],[CENTRO]],'CENTRO DE CUSTO'!B:E,4,FALSE)," ")</f>
        <v>MARCOS</v>
      </c>
      <c r="D1024" s="12">
        <v>101</v>
      </c>
      <c r="E1024" s="16">
        <v>101008</v>
      </c>
      <c r="F1024" s="10" t="s">
        <v>1909</v>
      </c>
      <c r="G1024" s="10">
        <v>220</v>
      </c>
      <c r="H1024" s="11">
        <v>44445</v>
      </c>
      <c r="I1024" s="10" t="s">
        <v>957</v>
      </c>
      <c r="J1024" s="12" t="str">
        <f>IF(OR(TED[[#This Row],[SITUACAO]]=1,TED[[#This Row],[SITUACAO]]=9,TED[[#This Row],[SITUACAO]]=18),"ATIVO","AFASTADO")</f>
        <v>ATIVO</v>
      </c>
      <c r="K1024" s="12">
        <v>9</v>
      </c>
    </row>
    <row r="1025" spans="1:11" x14ac:dyDescent="0.25">
      <c r="A1025" s="10">
        <v>31565</v>
      </c>
      <c r="B1025" s="9" t="s">
        <v>1411</v>
      </c>
      <c r="C1025" s="12" t="str">
        <f>IFERROR(VLOOKUP(TED[[#This Row],[CENTRO]],'CENTRO DE CUSTO'!B:E,4,FALSE)," ")</f>
        <v>MARCOS</v>
      </c>
      <c r="D1025" s="12">
        <v>101</v>
      </c>
      <c r="E1025" s="16">
        <v>101005</v>
      </c>
      <c r="F1025" s="10" t="s">
        <v>1906</v>
      </c>
      <c r="G1025" s="10">
        <v>220</v>
      </c>
      <c r="H1025" s="11">
        <v>45362</v>
      </c>
      <c r="I1025" s="10" t="s">
        <v>933</v>
      </c>
      <c r="J1025" s="12" t="str">
        <f>IF(OR(TED[[#This Row],[SITUACAO]]=1,TED[[#This Row],[SITUACAO]]=9,TED[[#This Row],[SITUACAO]]=18),"ATIVO","AFASTADO")</f>
        <v>ATIVO</v>
      </c>
      <c r="K1025" s="12">
        <v>1</v>
      </c>
    </row>
    <row r="1026" spans="1:11" x14ac:dyDescent="0.25">
      <c r="A1026" s="10">
        <v>38788</v>
      </c>
      <c r="B1026" s="9" t="s">
        <v>1575</v>
      </c>
      <c r="C1026" s="12" t="str">
        <f>IFERROR(VLOOKUP(TED[[#This Row],[CENTRO]],'CENTRO DE CUSTO'!B:E,4,FALSE)," ")</f>
        <v>MARCOS</v>
      </c>
      <c r="D1026" s="12">
        <v>101</v>
      </c>
      <c r="E1026" s="16">
        <v>101012</v>
      </c>
      <c r="F1026" s="10" t="s">
        <v>1913</v>
      </c>
      <c r="G1026" s="10">
        <v>220</v>
      </c>
      <c r="H1026" s="11">
        <v>45796</v>
      </c>
      <c r="I1026" s="10" t="s">
        <v>1991</v>
      </c>
      <c r="J1026" s="12" t="str">
        <f>IF(OR(TED[[#This Row],[SITUACAO]]=1,TED[[#This Row],[SITUACAO]]=9,TED[[#This Row],[SITUACAO]]=18),"ATIVO","AFASTADO")</f>
        <v>ATIVO</v>
      </c>
      <c r="K1026" s="12">
        <v>1</v>
      </c>
    </row>
    <row r="1027" spans="1:11" x14ac:dyDescent="0.25">
      <c r="A1027" s="10">
        <v>44567</v>
      </c>
      <c r="B1027" s="9" t="s">
        <v>2136</v>
      </c>
      <c r="C1027" s="12" t="str">
        <f>IFERROR(VLOOKUP(TED[[#This Row],[CENTRO]],'CENTRO DE CUSTO'!B:E,4,FALSE)," ")</f>
        <v>JEFFERSON</v>
      </c>
      <c r="D1027" s="12">
        <v>101</v>
      </c>
      <c r="E1027" s="16">
        <v>101009</v>
      </c>
      <c r="F1027" s="10" t="s">
        <v>1910</v>
      </c>
      <c r="G1027" s="10">
        <v>220</v>
      </c>
      <c r="H1027" s="11">
        <v>46097</v>
      </c>
      <c r="I1027" s="10" t="s">
        <v>935</v>
      </c>
      <c r="J1027" s="12" t="str">
        <f>IF(OR(TED[[#This Row],[SITUACAO]]=1,TED[[#This Row],[SITUACAO]]=9,TED[[#This Row],[SITUACAO]]=18),"ATIVO","AFASTADO")</f>
        <v>ATIVO</v>
      </c>
      <c r="K1027" s="12">
        <v>1</v>
      </c>
    </row>
    <row r="1028" spans="1:11" x14ac:dyDescent="0.25">
      <c r="A1028" s="10">
        <v>37916</v>
      </c>
      <c r="B1028" s="9" t="s">
        <v>1487</v>
      </c>
      <c r="C1028" s="12" t="str">
        <f>IFERROR(VLOOKUP(TED[[#This Row],[CENTRO]],'CENTRO DE CUSTO'!B:E,4,FALSE)," ")</f>
        <v>MARCOS</v>
      </c>
      <c r="D1028" s="12">
        <v>101</v>
      </c>
      <c r="E1028" s="16">
        <v>101008</v>
      </c>
      <c r="F1028" s="10" t="s">
        <v>1909</v>
      </c>
      <c r="G1028" s="10">
        <v>220</v>
      </c>
      <c r="H1028" s="11">
        <v>45748</v>
      </c>
      <c r="I1028" s="10" t="s">
        <v>957</v>
      </c>
      <c r="J1028" s="12" t="str">
        <f>IF(OR(TED[[#This Row],[SITUACAO]]=1,TED[[#This Row],[SITUACAO]]=9,TED[[#This Row],[SITUACAO]]=18),"ATIVO","AFASTADO")</f>
        <v>ATIVO</v>
      </c>
      <c r="K1028" s="12">
        <v>1</v>
      </c>
    </row>
    <row r="1029" spans="1:11" x14ac:dyDescent="0.25">
      <c r="A1029" s="10">
        <v>28137</v>
      </c>
      <c r="B1029" s="9" t="s">
        <v>1189</v>
      </c>
      <c r="C1029" s="12" t="str">
        <f>IFERROR(VLOOKUP(TED[[#This Row],[CENTRO]],'CENTRO DE CUSTO'!B:E,4,FALSE)," ")</f>
        <v>MARCOS</v>
      </c>
      <c r="D1029" s="12">
        <v>101</v>
      </c>
      <c r="E1029" s="16">
        <v>101001</v>
      </c>
      <c r="F1029" s="10" t="s">
        <v>1902</v>
      </c>
      <c r="G1029" s="10">
        <v>220</v>
      </c>
      <c r="H1029" s="11">
        <v>45147</v>
      </c>
      <c r="I1029" s="10" t="s">
        <v>933</v>
      </c>
      <c r="J1029" s="12" t="str">
        <f>IF(OR(TED[[#This Row],[SITUACAO]]=1,TED[[#This Row],[SITUACAO]]=9,TED[[#This Row],[SITUACAO]]=18),"ATIVO","AFASTADO")</f>
        <v>ATIVO</v>
      </c>
      <c r="K1029" s="12">
        <v>1</v>
      </c>
    </row>
    <row r="1030" spans="1:11" x14ac:dyDescent="0.25">
      <c r="A1030" s="10">
        <v>16618</v>
      </c>
      <c r="B1030" s="9" t="s">
        <v>1463</v>
      </c>
      <c r="C1030" s="12" t="str">
        <f>IFERROR(VLOOKUP(TED[[#This Row],[CENTRO]],'CENTRO DE CUSTO'!B:E,4,FALSE)," ")</f>
        <v>JEFFERSON</v>
      </c>
      <c r="D1030" s="12">
        <v>101</v>
      </c>
      <c r="E1030" s="16">
        <v>101007</v>
      </c>
      <c r="F1030" s="10" t="s">
        <v>1908</v>
      </c>
      <c r="G1030" s="10">
        <v>220</v>
      </c>
      <c r="H1030" s="11">
        <v>44358</v>
      </c>
      <c r="I1030" s="10" t="s">
        <v>961</v>
      </c>
      <c r="J1030" s="12" t="str">
        <f>IF(OR(TED[[#This Row],[SITUACAO]]=1,TED[[#This Row],[SITUACAO]]=9,TED[[#This Row],[SITUACAO]]=18),"ATIVO","AFASTADO")</f>
        <v>ATIVO</v>
      </c>
      <c r="K1030" s="12">
        <v>1</v>
      </c>
    </row>
    <row r="1031" spans="1:11" x14ac:dyDescent="0.25">
      <c r="A1031" s="10">
        <v>22015</v>
      </c>
      <c r="B1031" s="9" t="s">
        <v>1461</v>
      </c>
      <c r="C1031" s="12" t="str">
        <f>IFERROR(VLOOKUP(TED[[#This Row],[CENTRO]],'CENTRO DE CUSTO'!B:E,4,FALSE)," ")</f>
        <v>JEFFERSON</v>
      </c>
      <c r="D1031" s="12">
        <v>101</v>
      </c>
      <c r="E1031" s="16">
        <v>101007</v>
      </c>
      <c r="F1031" s="10" t="s">
        <v>1908</v>
      </c>
      <c r="G1031" s="10">
        <v>220</v>
      </c>
      <c r="H1031" s="11">
        <v>44690</v>
      </c>
      <c r="I1031" s="10" t="s">
        <v>935</v>
      </c>
      <c r="J1031" s="12" t="str">
        <f>IF(OR(TED[[#This Row],[SITUACAO]]=1,TED[[#This Row],[SITUACAO]]=9,TED[[#This Row],[SITUACAO]]=18),"ATIVO","AFASTADO")</f>
        <v>ATIVO</v>
      </c>
      <c r="K1031" s="12">
        <v>1</v>
      </c>
    </row>
    <row r="1032" spans="1:11" x14ac:dyDescent="0.25">
      <c r="A1032" s="10">
        <v>24343</v>
      </c>
      <c r="B1032" s="9" t="s">
        <v>1217</v>
      </c>
      <c r="C1032" s="12" t="str">
        <f>IFERROR(VLOOKUP(TED[[#This Row],[CENTRO]],'CENTRO DE CUSTO'!B:E,4,FALSE)," ")</f>
        <v>MARCOS</v>
      </c>
      <c r="D1032" s="12">
        <v>101</v>
      </c>
      <c r="E1032" s="16">
        <v>101001</v>
      </c>
      <c r="F1032" s="10" t="s">
        <v>1902</v>
      </c>
      <c r="G1032" s="10">
        <v>220</v>
      </c>
      <c r="H1032" s="11">
        <v>44903</v>
      </c>
      <c r="I1032" s="10" t="s">
        <v>935</v>
      </c>
      <c r="J1032" s="12" t="str">
        <f>IF(OR(TED[[#This Row],[SITUACAO]]=1,TED[[#This Row],[SITUACAO]]=9,TED[[#This Row],[SITUACAO]]=18),"ATIVO","AFASTADO")</f>
        <v>ATIVO</v>
      </c>
      <c r="K1032" s="12">
        <v>1</v>
      </c>
    </row>
    <row r="1033" spans="1:11" x14ac:dyDescent="0.25">
      <c r="A1033" s="10">
        <v>7397</v>
      </c>
      <c r="B1033" s="9" t="s">
        <v>1350</v>
      </c>
      <c r="C1033" s="12" t="str">
        <f>IFERROR(VLOOKUP(TED[[#This Row],[CENTRO]],'CENTRO DE CUSTO'!B:E,4,FALSE)," ")</f>
        <v>JEFFERSON</v>
      </c>
      <c r="D1033" s="12">
        <v>101</v>
      </c>
      <c r="E1033" s="16">
        <v>101004</v>
      </c>
      <c r="F1033" s="10" t="s">
        <v>1905</v>
      </c>
      <c r="G1033" s="10">
        <v>220</v>
      </c>
      <c r="H1033" s="11">
        <v>42461</v>
      </c>
      <c r="I1033" s="10" t="s">
        <v>941</v>
      </c>
      <c r="J1033" s="12" t="str">
        <f>IF(OR(TED[[#This Row],[SITUACAO]]=1,TED[[#This Row],[SITUACAO]]=9,TED[[#This Row],[SITUACAO]]=18),"ATIVO","AFASTADO")</f>
        <v>ATIVO</v>
      </c>
      <c r="K1033" s="12">
        <v>1</v>
      </c>
    </row>
    <row r="1034" spans="1:11" x14ac:dyDescent="0.25">
      <c r="A1034" s="10">
        <v>43779</v>
      </c>
      <c r="B1034" s="9" t="s">
        <v>2083</v>
      </c>
      <c r="C1034" s="12" t="str">
        <f>IFERROR(VLOOKUP(TED[[#This Row],[CENTRO]],'CENTRO DE CUSTO'!B:E,4,FALSE)," ")</f>
        <v>MARCOS</v>
      </c>
      <c r="D1034" s="12">
        <v>101</v>
      </c>
      <c r="E1034" s="16">
        <v>101010</v>
      </c>
      <c r="F1034" s="10" t="s">
        <v>1911</v>
      </c>
      <c r="G1034" s="10">
        <v>220</v>
      </c>
      <c r="H1034" s="11">
        <v>46058</v>
      </c>
      <c r="I1034" s="10" t="s">
        <v>937</v>
      </c>
      <c r="J1034" s="12" t="str">
        <f>IF(OR(TED[[#This Row],[SITUACAO]]=1,TED[[#This Row],[SITUACAO]]=9,TED[[#This Row],[SITUACAO]]=18),"ATIVO","AFASTADO")</f>
        <v>ATIVO</v>
      </c>
      <c r="K1034" s="12">
        <v>1</v>
      </c>
    </row>
    <row r="1035" spans="1:11" x14ac:dyDescent="0.25">
      <c r="A1035" s="10">
        <v>20992</v>
      </c>
      <c r="B1035" s="9" t="s">
        <v>1229</v>
      </c>
      <c r="C1035" s="12" t="str">
        <f>IFERROR(VLOOKUP(TED[[#This Row],[CENTRO]],'CENTRO DE CUSTO'!B:E,4,FALSE)," ")</f>
        <v>MARCOS</v>
      </c>
      <c r="D1035" s="12">
        <v>101</v>
      </c>
      <c r="E1035" s="16">
        <v>101001</v>
      </c>
      <c r="F1035" s="10" t="s">
        <v>1902</v>
      </c>
      <c r="G1035" s="10">
        <v>220</v>
      </c>
      <c r="H1035" s="11">
        <v>44683</v>
      </c>
      <c r="I1035" s="10" t="s">
        <v>947</v>
      </c>
      <c r="J1035" s="12" t="str">
        <f>IF(OR(TED[[#This Row],[SITUACAO]]=1,TED[[#This Row],[SITUACAO]]=9,TED[[#This Row],[SITUACAO]]=18),"ATIVO","AFASTADO")</f>
        <v>ATIVO</v>
      </c>
      <c r="K1035" s="12">
        <v>1</v>
      </c>
    </row>
    <row r="1036" spans="1:11" x14ac:dyDescent="0.25">
      <c r="A1036" s="10">
        <v>39690</v>
      </c>
      <c r="B1036" s="9" t="s">
        <v>1365</v>
      </c>
      <c r="C1036" s="12" t="str">
        <f>IFERROR(VLOOKUP(TED[[#This Row],[CENTRO]],'CENTRO DE CUSTO'!B:E,4,FALSE)," ")</f>
        <v>JEFFERSON</v>
      </c>
      <c r="D1036" s="12">
        <v>101</v>
      </c>
      <c r="E1036" s="16">
        <v>101004</v>
      </c>
      <c r="F1036" s="10" t="s">
        <v>1905</v>
      </c>
      <c r="G1036" s="10">
        <v>220</v>
      </c>
      <c r="H1036" s="11">
        <v>45861</v>
      </c>
      <c r="I1036" s="10" t="s">
        <v>948</v>
      </c>
      <c r="J1036" s="12" t="str">
        <f>IF(OR(TED[[#This Row],[SITUACAO]]=1,TED[[#This Row],[SITUACAO]]=9,TED[[#This Row],[SITUACAO]]=18),"ATIVO","AFASTADO")</f>
        <v>ATIVO</v>
      </c>
      <c r="K1036" s="12">
        <v>1</v>
      </c>
    </row>
    <row r="1037" spans="1:11" x14ac:dyDescent="0.25">
      <c r="A1037" s="10">
        <v>28033</v>
      </c>
      <c r="B1037" s="9" t="s">
        <v>1347</v>
      </c>
      <c r="C1037" s="12" t="str">
        <f>IFERROR(VLOOKUP(TED[[#This Row],[CENTRO]],'CENTRO DE CUSTO'!B:E,4,FALSE)," ")</f>
        <v>JEFFERSON</v>
      </c>
      <c r="D1037" s="12">
        <v>101</v>
      </c>
      <c r="E1037" s="16">
        <v>101004</v>
      </c>
      <c r="F1037" s="10" t="s">
        <v>1905</v>
      </c>
      <c r="G1037" s="10">
        <v>220</v>
      </c>
      <c r="H1037" s="11">
        <v>45134</v>
      </c>
      <c r="I1037" s="10" t="s">
        <v>937</v>
      </c>
      <c r="J1037" s="12" t="str">
        <f>IF(OR(TED[[#This Row],[SITUACAO]]=1,TED[[#This Row],[SITUACAO]]=9,TED[[#This Row],[SITUACAO]]=18),"ATIVO","AFASTADO")</f>
        <v>ATIVO</v>
      </c>
      <c r="K1037" s="12">
        <v>1</v>
      </c>
    </row>
    <row r="1038" spans="1:11" x14ac:dyDescent="0.25">
      <c r="A1038" s="10">
        <v>27055</v>
      </c>
      <c r="B1038" s="9" t="s">
        <v>1255</v>
      </c>
      <c r="C1038" s="12" t="str">
        <f>IFERROR(VLOOKUP(TED[[#This Row],[CENTRO]],'CENTRO DE CUSTO'!B:E,4,FALSE)," ")</f>
        <v>JEFFERSON</v>
      </c>
      <c r="D1038" s="12">
        <v>101</v>
      </c>
      <c r="E1038" s="16">
        <v>101002</v>
      </c>
      <c r="F1038" s="10" t="s">
        <v>1903</v>
      </c>
      <c r="G1038" s="10">
        <v>220</v>
      </c>
      <c r="H1038" s="11">
        <v>45061</v>
      </c>
      <c r="I1038" s="10" t="s">
        <v>942</v>
      </c>
      <c r="J1038" s="12" t="str">
        <f>IF(OR(TED[[#This Row],[SITUACAO]]=1,TED[[#This Row],[SITUACAO]]=9,TED[[#This Row],[SITUACAO]]=18),"ATIVO","AFASTADO")</f>
        <v>ATIVO</v>
      </c>
      <c r="K1038" s="12">
        <v>1</v>
      </c>
    </row>
    <row r="1039" spans="1:11" x14ac:dyDescent="0.25">
      <c r="A1039" s="10">
        <v>12229</v>
      </c>
      <c r="B1039" s="9" t="s">
        <v>1494</v>
      </c>
      <c r="C1039" s="12" t="str">
        <f>IFERROR(VLOOKUP(TED[[#This Row],[CENTRO]],'CENTRO DE CUSTO'!B:E,4,FALSE)," ")</f>
        <v>MARCOS</v>
      </c>
      <c r="D1039" s="12">
        <v>101</v>
      </c>
      <c r="E1039" s="16">
        <v>101008</v>
      </c>
      <c r="F1039" s="10" t="s">
        <v>1909</v>
      </c>
      <c r="G1039" s="10">
        <v>220</v>
      </c>
      <c r="H1039" s="11">
        <v>43503</v>
      </c>
      <c r="I1039" s="10" t="s">
        <v>957</v>
      </c>
      <c r="J1039" s="12" t="str">
        <f>IF(OR(TED[[#This Row],[SITUACAO]]=1,TED[[#This Row],[SITUACAO]]=9,TED[[#This Row],[SITUACAO]]=18),"ATIVO","AFASTADO")</f>
        <v>ATIVO</v>
      </c>
      <c r="K1039" s="12">
        <v>1</v>
      </c>
    </row>
    <row r="1040" spans="1:11" x14ac:dyDescent="0.25">
      <c r="A1040" s="10">
        <v>12602</v>
      </c>
      <c r="B1040" s="9" t="s">
        <v>978</v>
      </c>
      <c r="C1040" s="12" t="str">
        <f>IFERROR(VLOOKUP(TED[[#This Row],[CENTRO]],'CENTRO DE CUSTO'!B:E,4,FALSE)," ")</f>
        <v>JEFFERSON</v>
      </c>
      <c r="D1040" s="12">
        <v>101</v>
      </c>
      <c r="E1040" s="16">
        <v>101004</v>
      </c>
      <c r="F1040" s="10" t="s">
        <v>1905</v>
      </c>
      <c r="G1040" s="10">
        <v>220</v>
      </c>
      <c r="H1040" s="11">
        <v>43577</v>
      </c>
      <c r="I1040" s="10" t="s">
        <v>941</v>
      </c>
      <c r="J1040" s="12" t="str">
        <f>IF(OR(TED[[#This Row],[SITUACAO]]=1,TED[[#This Row],[SITUACAO]]=9,TED[[#This Row],[SITUACAO]]=18),"ATIVO","AFASTADO")</f>
        <v>ATIVO</v>
      </c>
      <c r="K1040" s="12">
        <v>1</v>
      </c>
    </row>
    <row r="1041" spans="1:11" x14ac:dyDescent="0.25">
      <c r="A1041" s="10">
        <v>9913</v>
      </c>
      <c r="B1041" s="9" t="s">
        <v>1495</v>
      </c>
      <c r="C1041" s="12" t="str">
        <f>IFERROR(VLOOKUP(TED[[#This Row],[CENTRO]],'CENTRO DE CUSTO'!B:E,4,FALSE)," ")</f>
        <v>MARCOS</v>
      </c>
      <c r="D1041" s="12">
        <v>101</v>
      </c>
      <c r="E1041" s="16">
        <v>101008</v>
      </c>
      <c r="F1041" s="10" t="s">
        <v>1909</v>
      </c>
      <c r="G1041" s="10">
        <v>220</v>
      </c>
      <c r="H1041" s="11">
        <v>43089</v>
      </c>
      <c r="I1041" s="10" t="s">
        <v>957</v>
      </c>
      <c r="J1041" s="12" t="str">
        <f>IF(OR(TED[[#This Row],[SITUACAO]]=1,TED[[#This Row],[SITUACAO]]=9,TED[[#This Row],[SITUACAO]]=18),"ATIVO","AFASTADO")</f>
        <v>ATIVO</v>
      </c>
      <c r="K1041" s="12">
        <v>1</v>
      </c>
    </row>
    <row r="1042" spans="1:11" x14ac:dyDescent="0.25">
      <c r="A1042" s="10">
        <v>44228</v>
      </c>
      <c r="B1042" s="9" t="s">
        <v>2081</v>
      </c>
      <c r="C1042" s="12" t="str">
        <f>IFERROR(VLOOKUP(TED[[#This Row],[CENTRO]],'CENTRO DE CUSTO'!B:E,4,FALSE)," ")</f>
        <v>JEFFERSON</v>
      </c>
      <c r="D1042" s="12">
        <v>101</v>
      </c>
      <c r="E1042" s="16">
        <v>101004</v>
      </c>
      <c r="F1042" s="10" t="s">
        <v>1905</v>
      </c>
      <c r="G1042" s="10">
        <v>220</v>
      </c>
      <c r="H1042" s="11">
        <v>46079</v>
      </c>
      <c r="I1042" s="10" t="s">
        <v>948</v>
      </c>
      <c r="J1042" s="12" t="str">
        <f>IF(OR(TED[[#This Row],[SITUACAO]]=1,TED[[#This Row],[SITUACAO]]=9,TED[[#This Row],[SITUACAO]]=18),"ATIVO","AFASTADO")</f>
        <v>AFASTADO</v>
      </c>
      <c r="K1042" s="12">
        <v>12</v>
      </c>
    </row>
    <row r="1043" spans="1:11" x14ac:dyDescent="0.25">
      <c r="A1043" s="10">
        <v>7417</v>
      </c>
      <c r="B1043" s="9" t="s">
        <v>977</v>
      </c>
      <c r="C1043" s="12" t="str">
        <f>IFERROR(VLOOKUP(TED[[#This Row],[CENTRO]],'CENTRO DE CUSTO'!B:E,4,FALSE)," ")</f>
        <v>MARCOS</v>
      </c>
      <c r="D1043" s="12">
        <v>101</v>
      </c>
      <c r="E1043" s="16">
        <v>101010</v>
      </c>
      <c r="F1043" s="10" t="s">
        <v>1911</v>
      </c>
      <c r="G1043" s="10">
        <v>220</v>
      </c>
      <c r="H1043" s="11">
        <v>42461</v>
      </c>
      <c r="I1043" s="10" t="s">
        <v>941</v>
      </c>
      <c r="J1043" s="12" t="str">
        <f>IF(OR(TED[[#This Row],[SITUACAO]]=1,TED[[#This Row],[SITUACAO]]=9,TED[[#This Row],[SITUACAO]]=18),"ATIVO","AFASTADO")</f>
        <v>ATIVO</v>
      </c>
      <c r="K1043" s="12">
        <v>1</v>
      </c>
    </row>
    <row r="1044" spans="1:11" x14ac:dyDescent="0.25">
      <c r="A1044" s="10">
        <v>45725</v>
      </c>
      <c r="B1044" s="9" t="s">
        <v>2232</v>
      </c>
      <c r="C1044" s="12" t="str">
        <f>IFERROR(VLOOKUP(TED[[#This Row],[CENTRO]],'CENTRO DE CUSTO'!B:E,4,FALSE)," ")</f>
        <v>JEFFERSON</v>
      </c>
      <c r="D1044" s="12">
        <v>101</v>
      </c>
      <c r="E1044" s="16">
        <v>101007</v>
      </c>
      <c r="F1044" s="10" t="s">
        <v>1908</v>
      </c>
      <c r="G1044" s="10">
        <v>220</v>
      </c>
      <c r="H1044" s="11">
        <v>46162</v>
      </c>
      <c r="I1044" s="10" t="s">
        <v>935</v>
      </c>
      <c r="J1044" s="12" t="str">
        <f>IF(OR(TED[[#This Row],[SITUACAO]]=1,TED[[#This Row],[SITUACAO]]=9,TED[[#This Row],[SITUACAO]]=18),"ATIVO","AFASTADO")</f>
        <v>ATIVO</v>
      </c>
      <c r="K1044" s="12">
        <v>1</v>
      </c>
    </row>
    <row r="1045" spans="1:11" x14ac:dyDescent="0.25">
      <c r="A1045" s="10">
        <v>7359</v>
      </c>
      <c r="B1045" s="9" t="s">
        <v>1427</v>
      </c>
      <c r="C1045" s="12" t="str">
        <f>IFERROR(VLOOKUP(TED[[#This Row],[CENTRO]],'CENTRO DE CUSTO'!B:E,4,FALSE)," ")</f>
        <v>MARCOS</v>
      </c>
      <c r="D1045" s="12">
        <v>101</v>
      </c>
      <c r="E1045" s="16">
        <v>101005</v>
      </c>
      <c r="F1045" s="10" t="s">
        <v>1906</v>
      </c>
      <c r="G1045" s="10">
        <v>220</v>
      </c>
      <c r="H1045" s="11">
        <v>42461</v>
      </c>
      <c r="I1045" s="10" t="s">
        <v>933</v>
      </c>
      <c r="J1045" s="12" t="str">
        <f>IF(OR(TED[[#This Row],[SITUACAO]]=1,TED[[#This Row],[SITUACAO]]=9,TED[[#This Row],[SITUACAO]]=18),"ATIVO","AFASTADO")</f>
        <v>ATIVO</v>
      </c>
      <c r="K1045" s="12">
        <v>1</v>
      </c>
    </row>
    <row r="1046" spans="1:11" x14ac:dyDescent="0.25">
      <c r="A1046" s="10">
        <v>31488</v>
      </c>
      <c r="B1046" s="9" t="s">
        <v>1410</v>
      </c>
      <c r="C1046" s="12" t="str">
        <f>IFERROR(VLOOKUP(TED[[#This Row],[CENTRO]],'CENTRO DE CUSTO'!B:E,4,FALSE)," ")</f>
        <v>MARCOS</v>
      </c>
      <c r="D1046" s="12">
        <v>101</v>
      </c>
      <c r="E1046" s="16">
        <v>101005</v>
      </c>
      <c r="F1046" s="10" t="s">
        <v>1906</v>
      </c>
      <c r="G1046" s="10">
        <v>220</v>
      </c>
      <c r="H1046" s="11">
        <v>45357</v>
      </c>
      <c r="I1046" s="10" t="s">
        <v>973</v>
      </c>
      <c r="J1046" s="12" t="str">
        <f>IF(OR(TED[[#This Row],[SITUACAO]]=1,TED[[#This Row],[SITUACAO]]=9,TED[[#This Row],[SITUACAO]]=18),"ATIVO","AFASTADO")</f>
        <v>ATIVO</v>
      </c>
      <c r="K1046" s="12">
        <v>1</v>
      </c>
    </row>
    <row r="1047" spans="1:11" x14ac:dyDescent="0.25">
      <c r="A1047" s="10">
        <v>42141</v>
      </c>
      <c r="B1047" s="9" t="s">
        <v>1451</v>
      </c>
      <c r="C1047" s="12" t="str">
        <f>IFERROR(VLOOKUP(TED[[#This Row],[CENTRO]],'CENTRO DE CUSTO'!B:E,4,FALSE)," ")</f>
        <v>JEFFERSON</v>
      </c>
      <c r="D1047" s="12">
        <v>101</v>
      </c>
      <c r="E1047" s="16">
        <v>101007</v>
      </c>
      <c r="F1047" s="10" t="s">
        <v>1908</v>
      </c>
      <c r="G1047" s="10">
        <v>220</v>
      </c>
      <c r="H1047" s="11">
        <v>45973</v>
      </c>
      <c r="I1047" s="10" t="s">
        <v>1991</v>
      </c>
      <c r="J1047" s="12" t="str">
        <f>IF(OR(TED[[#This Row],[SITUACAO]]=1,TED[[#This Row],[SITUACAO]]=9,TED[[#This Row],[SITUACAO]]=18),"ATIVO","AFASTADO")</f>
        <v>ATIVO</v>
      </c>
      <c r="K1047" s="12">
        <v>1</v>
      </c>
    </row>
    <row r="1048" spans="1:11" x14ac:dyDescent="0.25">
      <c r="A1048" s="10">
        <v>37746</v>
      </c>
      <c r="B1048" s="9" t="s">
        <v>1477</v>
      </c>
      <c r="C1048" s="12" t="str">
        <f>IFERROR(VLOOKUP(TED[[#This Row],[CENTRO]],'CENTRO DE CUSTO'!B:E,4,FALSE)," ")</f>
        <v>JEFFERSON</v>
      </c>
      <c r="D1048" s="12">
        <v>101</v>
      </c>
      <c r="E1048" s="16">
        <v>101007</v>
      </c>
      <c r="F1048" s="10" t="s">
        <v>1908</v>
      </c>
      <c r="G1048" s="10">
        <v>220</v>
      </c>
      <c r="H1048" s="11">
        <v>45733</v>
      </c>
      <c r="I1048" s="10" t="s">
        <v>935</v>
      </c>
      <c r="J1048" s="12" t="str">
        <f>IF(OR(TED[[#This Row],[SITUACAO]]=1,TED[[#This Row],[SITUACAO]]=9,TED[[#This Row],[SITUACAO]]=18),"ATIVO","AFASTADO")</f>
        <v>ATIVO</v>
      </c>
      <c r="K1048" s="12">
        <v>1</v>
      </c>
    </row>
    <row r="1049" spans="1:11" x14ac:dyDescent="0.25">
      <c r="A1049" s="10">
        <v>33289</v>
      </c>
      <c r="B1049" s="9" t="s">
        <v>975</v>
      </c>
      <c r="C1049" s="12" t="str">
        <f>IFERROR(VLOOKUP(TED[[#This Row],[CENTRO]],'CENTRO DE CUSTO'!B:E,4,FALSE)," ")</f>
        <v>MARCOS</v>
      </c>
      <c r="D1049" s="12">
        <v>101</v>
      </c>
      <c r="E1049" s="16">
        <v>101011</v>
      </c>
      <c r="F1049" s="10" t="s">
        <v>1912</v>
      </c>
      <c r="G1049" s="10">
        <v>220</v>
      </c>
      <c r="H1049" s="11">
        <v>45496</v>
      </c>
      <c r="I1049" s="10" t="s">
        <v>21</v>
      </c>
      <c r="J1049" s="12" t="str">
        <f>IF(OR(TED[[#This Row],[SITUACAO]]=1,TED[[#This Row],[SITUACAO]]=9,TED[[#This Row],[SITUACAO]]=18),"ATIVO","AFASTADO")</f>
        <v>ATIVO</v>
      </c>
      <c r="K1049" s="12">
        <v>1</v>
      </c>
    </row>
    <row r="1050" spans="1:11" x14ac:dyDescent="0.25">
      <c r="A1050" s="10">
        <v>12344</v>
      </c>
      <c r="B1050" s="9" t="s">
        <v>1360</v>
      </c>
      <c r="C1050" s="12" t="str">
        <f>IFERROR(VLOOKUP(TED[[#This Row],[CENTRO]],'CENTRO DE CUSTO'!B:E,4,FALSE)," ")</f>
        <v>JEFFERSON</v>
      </c>
      <c r="D1050" s="12">
        <v>101</v>
      </c>
      <c r="E1050" s="16">
        <v>101004</v>
      </c>
      <c r="F1050" s="10" t="s">
        <v>1905</v>
      </c>
      <c r="G1050" s="10">
        <v>220</v>
      </c>
      <c r="H1050" s="11">
        <v>43531</v>
      </c>
      <c r="I1050" s="10" t="s">
        <v>1</v>
      </c>
      <c r="J1050" s="12" t="str">
        <f>IF(OR(TED[[#This Row],[SITUACAO]]=1,TED[[#This Row],[SITUACAO]]=9,TED[[#This Row],[SITUACAO]]=18),"ATIVO","AFASTADO")</f>
        <v>ATIVO</v>
      </c>
      <c r="K1050" s="12">
        <v>1</v>
      </c>
    </row>
    <row r="1051" spans="1:11" x14ac:dyDescent="0.25">
      <c r="A1051" s="10">
        <v>21223</v>
      </c>
      <c r="B1051" s="9" t="s">
        <v>1301</v>
      </c>
      <c r="C1051" s="12" t="str">
        <f>IFERROR(VLOOKUP(TED[[#This Row],[CENTRO]],'CENTRO DE CUSTO'!B:E,4,FALSE)," ")</f>
        <v>JEFFERSON</v>
      </c>
      <c r="D1051" s="12">
        <v>101</v>
      </c>
      <c r="E1051" s="16">
        <v>101004</v>
      </c>
      <c r="F1051" s="10" t="s">
        <v>1905</v>
      </c>
      <c r="G1051" s="10">
        <v>220</v>
      </c>
      <c r="H1051" s="11">
        <v>44705</v>
      </c>
      <c r="I1051" s="10" t="s">
        <v>937</v>
      </c>
      <c r="J1051" s="12" t="str">
        <f>IF(OR(TED[[#This Row],[SITUACAO]]=1,TED[[#This Row],[SITUACAO]]=9,TED[[#This Row],[SITUACAO]]=18),"ATIVO","AFASTADO")</f>
        <v>ATIVO</v>
      </c>
      <c r="K1051" s="12">
        <v>1</v>
      </c>
    </row>
    <row r="1052" spans="1:11" x14ac:dyDescent="0.25">
      <c r="A1052" s="10">
        <v>28001</v>
      </c>
      <c r="B1052" s="9" t="s">
        <v>1244</v>
      </c>
      <c r="C1052" s="12" t="str">
        <f>IFERROR(VLOOKUP(TED[[#This Row],[CENTRO]],'CENTRO DE CUSTO'!B:E,4,FALSE)," ")</f>
        <v>JEFFERSON</v>
      </c>
      <c r="D1052" s="12">
        <v>101</v>
      </c>
      <c r="E1052" s="16">
        <v>101002</v>
      </c>
      <c r="F1052" s="10" t="s">
        <v>1903</v>
      </c>
      <c r="G1052" s="10">
        <v>220</v>
      </c>
      <c r="H1052" s="11">
        <v>45135</v>
      </c>
      <c r="I1052" s="10" t="s">
        <v>947</v>
      </c>
      <c r="J1052" s="12" t="str">
        <f>IF(OR(TED[[#This Row],[SITUACAO]]=1,TED[[#This Row],[SITUACAO]]=9,TED[[#This Row],[SITUACAO]]=18),"ATIVO","AFASTADO")</f>
        <v>ATIVO</v>
      </c>
      <c r="K1052" s="12">
        <v>1</v>
      </c>
    </row>
    <row r="1053" spans="1:11" x14ac:dyDescent="0.25">
      <c r="A1053" s="10">
        <v>31939</v>
      </c>
      <c r="B1053" s="9" t="s">
        <v>1295</v>
      </c>
      <c r="C1053" s="12" t="str">
        <f>IFERROR(VLOOKUP(TED[[#This Row],[CENTRO]],'CENTRO DE CUSTO'!B:E,4,FALSE)," ")</f>
        <v>JEFFERSON</v>
      </c>
      <c r="D1053" s="12">
        <v>101</v>
      </c>
      <c r="E1053" s="16">
        <v>101004</v>
      </c>
      <c r="F1053" s="10" t="s">
        <v>1905</v>
      </c>
      <c r="G1053" s="10">
        <v>220</v>
      </c>
      <c r="H1053" s="11">
        <v>45384</v>
      </c>
      <c r="I1053" s="10" t="s">
        <v>1</v>
      </c>
      <c r="J1053" s="12" t="str">
        <f>IF(OR(TED[[#This Row],[SITUACAO]]=1,TED[[#This Row],[SITUACAO]]=9,TED[[#This Row],[SITUACAO]]=18),"ATIVO","AFASTADO")</f>
        <v>ATIVO</v>
      </c>
      <c r="K1053" s="12">
        <v>1</v>
      </c>
    </row>
    <row r="1054" spans="1:11" x14ac:dyDescent="0.25">
      <c r="A1054" s="10">
        <v>22222</v>
      </c>
      <c r="B1054" s="9" t="s">
        <v>1574</v>
      </c>
      <c r="C1054" s="12" t="str">
        <f>IFERROR(VLOOKUP(TED[[#This Row],[CENTRO]],'CENTRO DE CUSTO'!B:E,4,FALSE)," ")</f>
        <v>MARCOS</v>
      </c>
      <c r="D1054" s="12">
        <v>101</v>
      </c>
      <c r="E1054" s="16">
        <v>101011</v>
      </c>
      <c r="F1054" s="10" t="s">
        <v>1912</v>
      </c>
      <c r="G1054" s="10">
        <v>220</v>
      </c>
      <c r="H1054" s="11">
        <v>44727</v>
      </c>
      <c r="I1054" s="10" t="s">
        <v>1</v>
      </c>
      <c r="J1054" s="12" t="str">
        <f>IF(OR(TED[[#This Row],[SITUACAO]]=1,TED[[#This Row],[SITUACAO]]=9,TED[[#This Row],[SITUACAO]]=18),"ATIVO","AFASTADO")</f>
        <v>ATIVO</v>
      </c>
      <c r="K1054" s="12">
        <v>1</v>
      </c>
    </row>
    <row r="1055" spans="1:11" x14ac:dyDescent="0.25">
      <c r="A1055" s="10">
        <v>8286</v>
      </c>
      <c r="B1055" s="9" t="s">
        <v>1213</v>
      </c>
      <c r="C1055" s="12" t="str">
        <f>IFERROR(VLOOKUP(TED[[#This Row],[CENTRO]],'CENTRO DE CUSTO'!B:E,4,FALSE)," ")</f>
        <v>MARCOS</v>
      </c>
      <c r="D1055" s="12">
        <v>101</v>
      </c>
      <c r="E1055" s="16">
        <v>101001</v>
      </c>
      <c r="F1055" s="10" t="s">
        <v>1902</v>
      </c>
      <c r="G1055" s="10">
        <v>220</v>
      </c>
      <c r="H1055" s="11">
        <v>42662</v>
      </c>
      <c r="I1055" s="10" t="s">
        <v>948</v>
      </c>
      <c r="J1055" s="12" t="str">
        <f>IF(OR(TED[[#This Row],[SITUACAO]]=1,TED[[#This Row],[SITUACAO]]=9,TED[[#This Row],[SITUACAO]]=18),"ATIVO","AFASTADO")</f>
        <v>ATIVO</v>
      </c>
      <c r="K1055" s="12">
        <v>1</v>
      </c>
    </row>
    <row r="1056" spans="1:11" x14ac:dyDescent="0.25">
      <c r="A1056" s="10">
        <v>44654</v>
      </c>
      <c r="B1056" s="9" t="s">
        <v>2150</v>
      </c>
      <c r="C1056" s="12" t="str">
        <f>IFERROR(VLOOKUP(TED[[#This Row],[CENTRO]],'CENTRO DE CUSTO'!B:E,4,FALSE)," ")</f>
        <v>MARCOS</v>
      </c>
      <c r="D1056" s="12">
        <v>101</v>
      </c>
      <c r="E1056" s="16">
        <v>101001</v>
      </c>
      <c r="F1056" s="10" t="s">
        <v>1902</v>
      </c>
      <c r="G1056" s="10">
        <v>220</v>
      </c>
      <c r="H1056" s="11">
        <v>46100</v>
      </c>
      <c r="I1056" s="10" t="s">
        <v>21</v>
      </c>
      <c r="J1056" s="12" t="str">
        <f>IF(OR(TED[[#This Row],[SITUACAO]]=1,TED[[#This Row],[SITUACAO]]=9,TED[[#This Row],[SITUACAO]]=18),"ATIVO","AFASTADO")</f>
        <v>ATIVO</v>
      </c>
      <c r="K1056" s="12">
        <v>1</v>
      </c>
    </row>
    <row r="1057" spans="1:11" x14ac:dyDescent="0.25">
      <c r="A1057" s="10">
        <v>34638</v>
      </c>
      <c r="B1057" s="9" t="s">
        <v>1422</v>
      </c>
      <c r="C1057" s="12" t="str">
        <f>IFERROR(VLOOKUP(TED[[#This Row],[CENTRO]],'CENTRO DE CUSTO'!B:E,4,FALSE)," ")</f>
        <v>MARCOS</v>
      </c>
      <c r="D1057" s="12">
        <v>101</v>
      </c>
      <c r="E1057" s="16">
        <v>101005</v>
      </c>
      <c r="F1057" s="10" t="s">
        <v>1906</v>
      </c>
      <c r="G1057" s="10">
        <v>220</v>
      </c>
      <c r="H1057" s="11">
        <v>45614</v>
      </c>
      <c r="I1057" s="10" t="s">
        <v>973</v>
      </c>
      <c r="J1057" s="12" t="str">
        <f>IF(OR(TED[[#This Row],[SITUACAO]]=1,TED[[#This Row],[SITUACAO]]=9,TED[[#This Row],[SITUACAO]]=18),"ATIVO","AFASTADO")</f>
        <v>ATIVO</v>
      </c>
      <c r="K1057" s="12">
        <v>1</v>
      </c>
    </row>
    <row r="1058" spans="1:11" x14ac:dyDescent="0.25">
      <c r="A1058" s="10">
        <v>22375</v>
      </c>
      <c r="B1058" s="9" t="s">
        <v>1450</v>
      </c>
      <c r="C1058" s="12" t="str">
        <f>IFERROR(VLOOKUP(TED[[#This Row],[CENTRO]],'CENTRO DE CUSTO'!B:E,4,FALSE)," ")</f>
        <v>JEFFERSON</v>
      </c>
      <c r="D1058" s="12">
        <v>101</v>
      </c>
      <c r="E1058" s="16">
        <v>101006</v>
      </c>
      <c r="F1058" s="10" t="s">
        <v>1907</v>
      </c>
      <c r="G1058" s="10">
        <v>220</v>
      </c>
      <c r="H1058" s="11">
        <v>44746</v>
      </c>
      <c r="I1058" s="10" t="s">
        <v>947</v>
      </c>
      <c r="J1058" s="12" t="str">
        <f>IF(OR(TED[[#This Row],[SITUACAO]]=1,TED[[#This Row],[SITUACAO]]=9,TED[[#This Row],[SITUACAO]]=18),"ATIVO","AFASTADO")</f>
        <v>ATIVO</v>
      </c>
      <c r="K1058" s="12">
        <v>1</v>
      </c>
    </row>
    <row r="1059" spans="1:11" x14ac:dyDescent="0.25">
      <c r="A1059" s="10">
        <v>22924</v>
      </c>
      <c r="B1059" s="9" t="s">
        <v>974</v>
      </c>
      <c r="C1059" s="12" t="str">
        <f>IFERROR(VLOOKUP(TED[[#This Row],[CENTRO]],'CENTRO DE CUSTO'!B:E,4,FALSE)," ")</f>
        <v>MARCOS</v>
      </c>
      <c r="D1059" s="12">
        <v>101</v>
      </c>
      <c r="E1059" s="16">
        <v>101005</v>
      </c>
      <c r="F1059" s="10" t="s">
        <v>1906</v>
      </c>
      <c r="G1059" s="10">
        <v>220</v>
      </c>
      <c r="H1059" s="11">
        <v>44805</v>
      </c>
      <c r="I1059" s="10" t="s">
        <v>973</v>
      </c>
      <c r="J1059" s="12" t="str">
        <f>IF(OR(TED[[#This Row],[SITUACAO]]=1,TED[[#This Row],[SITUACAO]]=9,TED[[#This Row],[SITUACAO]]=18),"ATIVO","AFASTADO")</f>
        <v>ATIVO</v>
      </c>
      <c r="K1059" s="12">
        <v>9</v>
      </c>
    </row>
    <row r="1060" spans="1:11" x14ac:dyDescent="0.25">
      <c r="A1060" s="10">
        <v>44621</v>
      </c>
      <c r="B1060" s="9" t="s">
        <v>2132</v>
      </c>
      <c r="C1060" s="12" t="str">
        <f>IFERROR(VLOOKUP(TED[[#This Row],[CENTRO]],'CENTRO DE CUSTO'!B:E,4,FALSE)," ")</f>
        <v>JEFFERSON</v>
      </c>
      <c r="D1060" s="12">
        <v>101</v>
      </c>
      <c r="E1060" s="16">
        <v>101004</v>
      </c>
      <c r="F1060" s="10" t="s">
        <v>1905</v>
      </c>
      <c r="G1060" s="10">
        <v>220</v>
      </c>
      <c r="H1060" s="11">
        <v>46099</v>
      </c>
      <c r="I1060" s="10" t="s">
        <v>941</v>
      </c>
      <c r="J1060" s="12" t="str">
        <f>IF(OR(TED[[#This Row],[SITUACAO]]=1,TED[[#This Row],[SITUACAO]]=9,TED[[#This Row],[SITUACAO]]=18),"ATIVO","AFASTADO")</f>
        <v>ATIVO</v>
      </c>
      <c r="K1060" s="12">
        <v>1</v>
      </c>
    </row>
    <row r="1061" spans="1:11" x14ac:dyDescent="0.25">
      <c r="A1061" s="10">
        <v>7831</v>
      </c>
      <c r="B1061" s="9" t="s">
        <v>1523</v>
      </c>
      <c r="C1061" s="12" t="str">
        <f>IFERROR(VLOOKUP(TED[[#This Row],[CENTRO]],'CENTRO DE CUSTO'!B:E,4,FALSE)," ")</f>
        <v>JEFFERSON</v>
      </c>
      <c r="D1061" s="12">
        <v>101</v>
      </c>
      <c r="E1061" s="16">
        <v>101004</v>
      </c>
      <c r="F1061" s="10" t="s">
        <v>1905</v>
      </c>
      <c r="G1061" s="10">
        <v>220</v>
      </c>
      <c r="H1061" s="11">
        <v>42559</v>
      </c>
      <c r="I1061" s="10" t="s">
        <v>1</v>
      </c>
      <c r="J1061" s="12" t="str">
        <f>IF(OR(TED[[#This Row],[SITUACAO]]=1,TED[[#This Row],[SITUACAO]]=9,TED[[#This Row],[SITUACAO]]=18),"ATIVO","AFASTADO")</f>
        <v>ATIVO</v>
      </c>
      <c r="K1061" s="12">
        <v>1</v>
      </c>
    </row>
    <row r="1062" spans="1:11" x14ac:dyDescent="0.25">
      <c r="A1062" s="10">
        <v>32091</v>
      </c>
      <c r="B1062" s="9" t="s">
        <v>1376</v>
      </c>
      <c r="C1062" s="12" t="str">
        <f>IFERROR(VLOOKUP(TED[[#This Row],[CENTRO]],'CENTRO DE CUSTO'!B:E,4,FALSE)," ")</f>
        <v>JEFFERSON</v>
      </c>
      <c r="D1062" s="12">
        <v>101</v>
      </c>
      <c r="E1062" s="16">
        <v>101004</v>
      </c>
      <c r="F1062" s="10" t="s">
        <v>1905</v>
      </c>
      <c r="G1062" s="10">
        <v>220</v>
      </c>
      <c r="H1062" s="11">
        <v>45393</v>
      </c>
      <c r="I1062" s="10" t="s">
        <v>21</v>
      </c>
      <c r="J1062" s="12" t="str">
        <f>IF(OR(TED[[#This Row],[SITUACAO]]=1,TED[[#This Row],[SITUACAO]]=9,TED[[#This Row],[SITUACAO]]=18),"ATIVO","AFASTADO")</f>
        <v>ATIVO</v>
      </c>
      <c r="K1062" s="12">
        <v>1</v>
      </c>
    </row>
    <row r="1063" spans="1:11" x14ac:dyDescent="0.25">
      <c r="A1063" s="10">
        <v>38617</v>
      </c>
      <c r="B1063" s="9" t="s">
        <v>1437</v>
      </c>
      <c r="C1063" s="12" t="str">
        <f>IFERROR(VLOOKUP(TED[[#This Row],[CENTRO]],'CENTRO DE CUSTO'!B:E,4,FALSE)," ")</f>
        <v>MARCOS</v>
      </c>
      <c r="D1063" s="12">
        <v>101</v>
      </c>
      <c r="E1063" s="16">
        <v>101005</v>
      </c>
      <c r="F1063" s="10" t="s">
        <v>1906</v>
      </c>
      <c r="G1063" s="10">
        <v>220</v>
      </c>
      <c r="H1063" s="11">
        <v>45785</v>
      </c>
      <c r="I1063" s="10" t="s">
        <v>947</v>
      </c>
      <c r="J1063" s="12" t="str">
        <f>IF(OR(TED[[#This Row],[SITUACAO]]=1,TED[[#This Row],[SITUACAO]]=9,TED[[#This Row],[SITUACAO]]=18),"ATIVO","AFASTADO")</f>
        <v>ATIVO</v>
      </c>
      <c r="K1063" s="12">
        <v>1</v>
      </c>
    </row>
    <row r="1064" spans="1:11" x14ac:dyDescent="0.25">
      <c r="A1064" s="10">
        <v>7366</v>
      </c>
      <c r="B1064" s="9" t="s">
        <v>1383</v>
      </c>
      <c r="C1064" s="12" t="str">
        <f>IFERROR(VLOOKUP(TED[[#This Row],[CENTRO]],'CENTRO DE CUSTO'!B:E,4,FALSE)," ")</f>
        <v>JEFFERSON</v>
      </c>
      <c r="D1064" s="12">
        <v>101</v>
      </c>
      <c r="E1064" s="16">
        <v>101004</v>
      </c>
      <c r="F1064" s="10" t="s">
        <v>1905</v>
      </c>
      <c r="G1064" s="10">
        <v>220</v>
      </c>
      <c r="H1064" s="11">
        <v>42461</v>
      </c>
      <c r="I1064" s="10" t="s">
        <v>1</v>
      </c>
      <c r="J1064" s="12" t="str">
        <f>IF(OR(TED[[#This Row],[SITUACAO]]=1,TED[[#This Row],[SITUACAO]]=9,TED[[#This Row],[SITUACAO]]=18),"ATIVO","AFASTADO")</f>
        <v>ATIVO</v>
      </c>
      <c r="K1064" s="12">
        <v>1</v>
      </c>
    </row>
    <row r="1065" spans="1:11" x14ac:dyDescent="0.25">
      <c r="A1065" s="10">
        <v>9475</v>
      </c>
      <c r="B1065" s="9" t="s">
        <v>971</v>
      </c>
      <c r="C1065" s="12" t="str">
        <f>IFERROR(VLOOKUP(TED[[#This Row],[CENTRO]],'CENTRO DE CUSTO'!B:E,4,FALSE)," ")</f>
        <v>JEFFERSON</v>
      </c>
      <c r="D1065" s="12">
        <v>101</v>
      </c>
      <c r="E1065" s="16">
        <v>101007</v>
      </c>
      <c r="F1065" s="10" t="s">
        <v>1908</v>
      </c>
      <c r="G1065" s="10">
        <v>220</v>
      </c>
      <c r="H1065" s="11">
        <v>42948</v>
      </c>
      <c r="I1065" s="10" t="s">
        <v>942</v>
      </c>
      <c r="J1065" s="12" t="str">
        <f>IF(OR(TED[[#This Row],[SITUACAO]]=1,TED[[#This Row],[SITUACAO]]=9,TED[[#This Row],[SITUACAO]]=18),"ATIVO","AFASTADO")</f>
        <v>ATIVO</v>
      </c>
      <c r="K1065" s="12">
        <v>1</v>
      </c>
    </row>
    <row r="1066" spans="1:11" x14ac:dyDescent="0.25">
      <c r="A1066" s="10">
        <v>38812</v>
      </c>
      <c r="B1066" s="9" t="s">
        <v>1549</v>
      </c>
      <c r="C1066" s="12" t="str">
        <f>IFERROR(VLOOKUP(TED[[#This Row],[CENTRO]],'CENTRO DE CUSTO'!B:E,4,FALSE)," ")</f>
        <v>JEFFERSON</v>
      </c>
      <c r="D1066" s="12">
        <v>101</v>
      </c>
      <c r="E1066" s="16">
        <v>101004</v>
      </c>
      <c r="F1066" s="10" t="s">
        <v>1905</v>
      </c>
      <c r="G1066" s="10">
        <v>220</v>
      </c>
      <c r="H1066" s="11">
        <v>45796</v>
      </c>
      <c r="I1066" s="10" t="s">
        <v>942</v>
      </c>
      <c r="J1066" s="12" t="str">
        <f>IF(OR(TED[[#This Row],[SITUACAO]]=1,TED[[#This Row],[SITUACAO]]=9,TED[[#This Row],[SITUACAO]]=18),"ATIVO","AFASTADO")</f>
        <v>ATIVO</v>
      </c>
      <c r="K1066" s="12">
        <v>1</v>
      </c>
    </row>
    <row r="1067" spans="1:11" x14ac:dyDescent="0.25">
      <c r="A1067" s="10">
        <v>41373</v>
      </c>
      <c r="B1067" s="9" t="s">
        <v>1234</v>
      </c>
      <c r="C1067" s="12" t="str">
        <f>IFERROR(VLOOKUP(TED[[#This Row],[CENTRO]],'CENTRO DE CUSTO'!B:E,4,FALSE)," ")</f>
        <v>MARCOS</v>
      </c>
      <c r="D1067" s="12">
        <v>101</v>
      </c>
      <c r="E1067" s="16">
        <v>101001</v>
      </c>
      <c r="F1067" s="10" t="s">
        <v>1902</v>
      </c>
      <c r="G1067" s="10">
        <v>220</v>
      </c>
      <c r="H1067" s="11">
        <v>45931</v>
      </c>
      <c r="I1067" s="10" t="s">
        <v>933</v>
      </c>
      <c r="J1067" s="12" t="str">
        <f>IF(OR(TED[[#This Row],[SITUACAO]]=1,TED[[#This Row],[SITUACAO]]=9,TED[[#This Row],[SITUACAO]]=18),"ATIVO","AFASTADO")</f>
        <v>ATIVO</v>
      </c>
      <c r="K1067" s="12">
        <v>1</v>
      </c>
    </row>
    <row r="1068" spans="1:11" x14ac:dyDescent="0.25">
      <c r="A1068" s="10">
        <v>20988</v>
      </c>
      <c r="B1068" s="9" t="s">
        <v>1230</v>
      </c>
      <c r="C1068" s="12" t="str">
        <f>IFERROR(VLOOKUP(TED[[#This Row],[CENTRO]],'CENTRO DE CUSTO'!B:E,4,FALSE)," ")</f>
        <v>MARCOS</v>
      </c>
      <c r="D1068" s="12">
        <v>101</v>
      </c>
      <c r="E1068" s="16">
        <v>101001</v>
      </c>
      <c r="F1068" s="10" t="s">
        <v>1902</v>
      </c>
      <c r="G1068" s="10">
        <v>220</v>
      </c>
      <c r="H1068" s="11">
        <v>44683</v>
      </c>
      <c r="I1068" s="10" t="s">
        <v>947</v>
      </c>
      <c r="J1068" s="12" t="str">
        <f>IF(OR(TED[[#This Row],[SITUACAO]]=1,TED[[#This Row],[SITUACAO]]=9,TED[[#This Row],[SITUACAO]]=18),"ATIVO","AFASTADO")</f>
        <v>ATIVO</v>
      </c>
      <c r="K1068" s="12">
        <v>1</v>
      </c>
    </row>
    <row r="1069" spans="1:11" x14ac:dyDescent="0.25">
      <c r="A1069" s="10">
        <v>27459</v>
      </c>
      <c r="B1069" s="9" t="s">
        <v>1388</v>
      </c>
      <c r="C1069" s="12" t="str">
        <f>IFERROR(VLOOKUP(TED[[#This Row],[CENTRO]],'CENTRO DE CUSTO'!B:E,4,FALSE)," ")</f>
        <v>JEFFERSON</v>
      </c>
      <c r="D1069" s="12">
        <v>101</v>
      </c>
      <c r="E1069" s="16">
        <v>101004</v>
      </c>
      <c r="F1069" s="10" t="s">
        <v>1905</v>
      </c>
      <c r="G1069" s="10">
        <v>220</v>
      </c>
      <c r="H1069" s="11">
        <v>45084</v>
      </c>
      <c r="I1069" s="10" t="s">
        <v>948</v>
      </c>
      <c r="J1069" s="12" t="str">
        <f>IF(OR(TED[[#This Row],[SITUACAO]]=1,TED[[#This Row],[SITUACAO]]=9,TED[[#This Row],[SITUACAO]]=18),"ATIVO","AFASTADO")</f>
        <v>ATIVO</v>
      </c>
      <c r="K1069" s="12">
        <v>1</v>
      </c>
    </row>
    <row r="1070" spans="1:11" x14ac:dyDescent="0.25">
      <c r="A1070" s="10">
        <v>42987</v>
      </c>
      <c r="B1070" s="9" t="s">
        <v>1436</v>
      </c>
      <c r="C1070" s="12" t="str">
        <f>IFERROR(VLOOKUP(TED[[#This Row],[CENTRO]],'CENTRO DE CUSTO'!B:E,4,FALSE)," ")</f>
        <v>MARCOS</v>
      </c>
      <c r="D1070" s="12">
        <v>101</v>
      </c>
      <c r="E1070" s="16">
        <v>101005</v>
      </c>
      <c r="F1070" s="10" t="s">
        <v>1906</v>
      </c>
      <c r="G1070" s="10">
        <v>220</v>
      </c>
      <c r="H1070" s="11">
        <v>45996</v>
      </c>
      <c r="I1070" s="10" t="s">
        <v>973</v>
      </c>
      <c r="J1070" s="12" t="str">
        <f>IF(OR(TED[[#This Row],[SITUACAO]]=1,TED[[#This Row],[SITUACAO]]=9,TED[[#This Row],[SITUACAO]]=18),"ATIVO","AFASTADO")</f>
        <v>ATIVO</v>
      </c>
      <c r="K1070" s="12">
        <v>1</v>
      </c>
    </row>
    <row r="1071" spans="1:11" x14ac:dyDescent="0.25">
      <c r="A1071" s="10">
        <v>40273</v>
      </c>
      <c r="B1071" s="9" t="s">
        <v>970</v>
      </c>
      <c r="C1071" s="12" t="str">
        <f>IFERROR(VLOOKUP(TED[[#This Row],[CENTRO]],'CENTRO DE CUSTO'!B:E,4,FALSE)," ")</f>
        <v>JEFFERSON</v>
      </c>
      <c r="D1071" s="12">
        <v>101</v>
      </c>
      <c r="E1071" s="16">
        <v>101004</v>
      </c>
      <c r="F1071" s="10" t="s">
        <v>1905</v>
      </c>
      <c r="G1071" s="10">
        <v>220</v>
      </c>
      <c r="H1071" s="11">
        <v>45901</v>
      </c>
      <c r="I1071" s="10" t="s">
        <v>948</v>
      </c>
      <c r="J1071" s="12" t="str">
        <f>IF(OR(TED[[#This Row],[SITUACAO]]=1,TED[[#This Row],[SITUACAO]]=9,TED[[#This Row],[SITUACAO]]=18),"ATIVO","AFASTADO")</f>
        <v>ATIVO</v>
      </c>
      <c r="K1071" s="12">
        <v>1</v>
      </c>
    </row>
    <row r="1072" spans="1:11" x14ac:dyDescent="0.25">
      <c r="A1072" s="10">
        <v>17874</v>
      </c>
      <c r="B1072" s="9" t="s">
        <v>1413</v>
      </c>
      <c r="C1072" s="12" t="str">
        <f>IFERROR(VLOOKUP(TED[[#This Row],[CENTRO]],'CENTRO DE CUSTO'!B:E,4,FALSE)," ")</f>
        <v>MARCOS</v>
      </c>
      <c r="D1072" s="12">
        <v>101</v>
      </c>
      <c r="E1072" s="16">
        <v>101005</v>
      </c>
      <c r="F1072" s="10" t="s">
        <v>1906</v>
      </c>
      <c r="G1072" s="10">
        <v>220</v>
      </c>
      <c r="H1072" s="11">
        <v>44503</v>
      </c>
      <c r="I1072" s="10" t="s">
        <v>942</v>
      </c>
      <c r="J1072" s="12" t="str">
        <f>IF(OR(TED[[#This Row],[SITUACAO]]=1,TED[[#This Row],[SITUACAO]]=9,TED[[#This Row],[SITUACAO]]=18),"ATIVO","AFASTADO")</f>
        <v>ATIVO</v>
      </c>
      <c r="K1072" s="12">
        <v>1</v>
      </c>
    </row>
    <row r="1073" spans="1:11" x14ac:dyDescent="0.25">
      <c r="A1073" s="10">
        <v>37964</v>
      </c>
      <c r="B1073" s="9" t="s">
        <v>1362</v>
      </c>
      <c r="C1073" s="12" t="str">
        <f>IFERROR(VLOOKUP(TED[[#This Row],[CENTRO]],'CENTRO DE CUSTO'!B:E,4,FALSE)," ")</f>
        <v>JEFFERSON</v>
      </c>
      <c r="D1073" s="12">
        <v>101</v>
      </c>
      <c r="E1073" s="16">
        <v>101004</v>
      </c>
      <c r="F1073" s="10" t="s">
        <v>1905</v>
      </c>
      <c r="G1073" s="10">
        <v>220</v>
      </c>
      <c r="H1073" s="11">
        <v>45751</v>
      </c>
      <c r="I1073" s="10" t="s">
        <v>947</v>
      </c>
      <c r="J1073" s="12" t="str">
        <f>IF(OR(TED[[#This Row],[SITUACAO]]=1,TED[[#This Row],[SITUACAO]]=9,TED[[#This Row],[SITUACAO]]=18),"ATIVO","AFASTADO")</f>
        <v>ATIVO</v>
      </c>
      <c r="K1073" s="12">
        <v>1</v>
      </c>
    </row>
    <row r="1074" spans="1:11" x14ac:dyDescent="0.25">
      <c r="A1074" s="10">
        <v>17344</v>
      </c>
      <c r="B1074" s="9" t="s">
        <v>1415</v>
      </c>
      <c r="C1074" s="12" t="str">
        <f>IFERROR(VLOOKUP(TED[[#This Row],[CENTRO]],'CENTRO DE CUSTO'!B:E,4,FALSE)," ")</f>
        <v>MARCOS</v>
      </c>
      <c r="D1074" s="12">
        <v>101</v>
      </c>
      <c r="E1074" s="16">
        <v>101005</v>
      </c>
      <c r="F1074" s="10" t="s">
        <v>1906</v>
      </c>
      <c r="G1074" s="10">
        <v>220</v>
      </c>
      <c r="H1074" s="11">
        <v>44419</v>
      </c>
      <c r="I1074" s="10" t="s">
        <v>1007</v>
      </c>
      <c r="J1074" s="12" t="str">
        <f>IF(OR(TED[[#This Row],[SITUACAO]]=1,TED[[#This Row],[SITUACAO]]=9,TED[[#This Row],[SITUACAO]]=18),"ATIVO","AFASTADO")</f>
        <v>ATIVO</v>
      </c>
      <c r="K1074" s="12">
        <v>1</v>
      </c>
    </row>
    <row r="1075" spans="1:11" x14ac:dyDescent="0.25">
      <c r="A1075" s="10">
        <v>7388</v>
      </c>
      <c r="B1075" s="9" t="s">
        <v>969</v>
      </c>
      <c r="C1075" s="12" t="str">
        <f>IFERROR(VLOOKUP(TED[[#This Row],[CENTRO]],'CENTRO DE CUSTO'!B:E,4,FALSE)," ")</f>
        <v>MARCOS</v>
      </c>
      <c r="D1075" s="12">
        <v>101</v>
      </c>
      <c r="E1075" s="16">
        <v>101005</v>
      </c>
      <c r="F1075" s="10" t="s">
        <v>1906</v>
      </c>
      <c r="G1075" s="10">
        <v>220</v>
      </c>
      <c r="H1075" s="11">
        <v>42461</v>
      </c>
      <c r="I1075" s="10" t="s">
        <v>933</v>
      </c>
      <c r="J1075" s="12" t="str">
        <f>IF(OR(TED[[#This Row],[SITUACAO]]=1,TED[[#This Row],[SITUACAO]]=9,TED[[#This Row],[SITUACAO]]=18),"ATIVO","AFASTADO")</f>
        <v>ATIVO</v>
      </c>
      <c r="K1075" s="12">
        <v>1</v>
      </c>
    </row>
    <row r="1076" spans="1:11" x14ac:dyDescent="0.25">
      <c r="A1076" s="10">
        <v>22825</v>
      </c>
      <c r="B1076" s="9" t="s">
        <v>1560</v>
      </c>
      <c r="C1076" s="12" t="str">
        <f>IFERROR(VLOOKUP(TED[[#This Row],[CENTRO]],'CENTRO DE CUSTO'!B:E,4,FALSE)," ")</f>
        <v>MARCOS</v>
      </c>
      <c r="D1076" s="12">
        <v>101</v>
      </c>
      <c r="E1076" s="16">
        <v>101010</v>
      </c>
      <c r="F1076" s="10" t="s">
        <v>1911</v>
      </c>
      <c r="G1076" s="10">
        <v>220</v>
      </c>
      <c r="H1076" s="11">
        <v>44795</v>
      </c>
      <c r="I1076" s="10" t="s">
        <v>941</v>
      </c>
      <c r="J1076" s="12" t="str">
        <f>IF(OR(TED[[#This Row],[SITUACAO]]=1,TED[[#This Row],[SITUACAO]]=9,TED[[#This Row],[SITUACAO]]=18),"ATIVO","AFASTADO")</f>
        <v>ATIVO</v>
      </c>
      <c r="K1076" s="12">
        <v>1</v>
      </c>
    </row>
    <row r="1077" spans="1:11" x14ac:dyDescent="0.25">
      <c r="A1077" s="10">
        <v>20672</v>
      </c>
      <c r="B1077" s="9" t="s">
        <v>1443</v>
      </c>
      <c r="C1077" s="12" t="str">
        <f>IFERROR(VLOOKUP(TED[[#This Row],[CENTRO]],'CENTRO DE CUSTO'!B:E,4,FALSE)," ")</f>
        <v>MARCOS</v>
      </c>
      <c r="D1077" s="12">
        <v>101</v>
      </c>
      <c r="E1077" s="16">
        <v>101005</v>
      </c>
      <c r="F1077" s="10" t="s">
        <v>1906</v>
      </c>
      <c r="G1077" s="10">
        <v>220</v>
      </c>
      <c r="H1077" s="11">
        <v>44634</v>
      </c>
      <c r="I1077" s="10" t="s">
        <v>1</v>
      </c>
      <c r="J1077" s="12" t="str">
        <f>IF(OR(TED[[#This Row],[SITUACAO]]=1,TED[[#This Row],[SITUACAO]]=9,TED[[#This Row],[SITUACAO]]=18),"ATIVO","AFASTADO")</f>
        <v>ATIVO</v>
      </c>
      <c r="K1077" s="12">
        <v>1</v>
      </c>
    </row>
    <row r="1078" spans="1:11" x14ac:dyDescent="0.25">
      <c r="A1078" s="10">
        <v>8835</v>
      </c>
      <c r="B1078" s="9" t="s">
        <v>1389</v>
      </c>
      <c r="C1078" s="12" t="str">
        <f>IFERROR(VLOOKUP(TED[[#This Row],[CENTRO]],'CENTRO DE CUSTO'!B:E,4,FALSE)," ")</f>
        <v>JEFFERSON</v>
      </c>
      <c r="D1078" s="12">
        <v>101</v>
      </c>
      <c r="E1078" s="16">
        <v>101004</v>
      </c>
      <c r="F1078" s="10" t="s">
        <v>1905</v>
      </c>
      <c r="G1078" s="10">
        <v>220</v>
      </c>
      <c r="H1078" s="11">
        <v>42803</v>
      </c>
      <c r="I1078" s="10" t="s">
        <v>1</v>
      </c>
      <c r="J1078" s="12" t="str">
        <f>IF(OR(TED[[#This Row],[SITUACAO]]=1,TED[[#This Row],[SITUACAO]]=9,TED[[#This Row],[SITUACAO]]=18),"ATIVO","AFASTADO")</f>
        <v>ATIVO</v>
      </c>
      <c r="K1078" s="12">
        <v>1</v>
      </c>
    </row>
    <row r="1079" spans="1:11" x14ac:dyDescent="0.25">
      <c r="A1079" s="10">
        <v>10362</v>
      </c>
      <c r="B1079" s="9" t="s">
        <v>1536</v>
      </c>
      <c r="C1079" s="12" t="str">
        <f>IFERROR(VLOOKUP(TED[[#This Row],[CENTRO]],'CENTRO DE CUSTO'!B:E,4,FALSE)," ")</f>
        <v>MARCOS</v>
      </c>
      <c r="D1079" s="12">
        <v>101</v>
      </c>
      <c r="E1079" s="16">
        <v>101010</v>
      </c>
      <c r="F1079" s="10" t="s">
        <v>1911</v>
      </c>
      <c r="G1079" s="10">
        <v>220</v>
      </c>
      <c r="H1079" s="11">
        <v>43165</v>
      </c>
      <c r="I1079" s="10" t="s">
        <v>1</v>
      </c>
      <c r="J1079" s="12" t="str">
        <f>IF(OR(TED[[#This Row],[SITUACAO]]=1,TED[[#This Row],[SITUACAO]]=9,TED[[#This Row],[SITUACAO]]=18),"ATIVO","AFASTADO")</f>
        <v>ATIVO</v>
      </c>
      <c r="K1079" s="12">
        <v>1</v>
      </c>
    </row>
    <row r="1080" spans="1:11" x14ac:dyDescent="0.25">
      <c r="A1080" s="10">
        <v>7484</v>
      </c>
      <c r="B1080" s="9" t="s">
        <v>1533</v>
      </c>
      <c r="C1080" s="12" t="str">
        <f>IFERROR(VLOOKUP(TED[[#This Row],[CENTRO]],'CENTRO DE CUSTO'!B:E,4,FALSE)," ")</f>
        <v>MARCOS</v>
      </c>
      <c r="D1080" s="12">
        <v>101</v>
      </c>
      <c r="E1080" s="16">
        <v>101010</v>
      </c>
      <c r="F1080" s="10" t="s">
        <v>1911</v>
      </c>
      <c r="G1080" s="10">
        <v>220</v>
      </c>
      <c r="H1080" s="11">
        <v>42492</v>
      </c>
      <c r="I1080" s="10" t="s">
        <v>948</v>
      </c>
      <c r="J1080" s="12" t="str">
        <f>IF(OR(TED[[#This Row],[SITUACAO]]=1,TED[[#This Row],[SITUACAO]]=9,TED[[#This Row],[SITUACAO]]=18),"ATIVO","AFASTADO")</f>
        <v>ATIVO</v>
      </c>
      <c r="K1080" s="12">
        <v>1</v>
      </c>
    </row>
    <row r="1081" spans="1:11" x14ac:dyDescent="0.25">
      <c r="A1081" s="10">
        <v>44689</v>
      </c>
      <c r="B1081" s="9" t="s">
        <v>2153</v>
      </c>
      <c r="C1081" s="12" t="str">
        <f>IFERROR(VLOOKUP(TED[[#This Row],[CENTRO]],'CENTRO DE CUSTO'!B:E,4,FALSE)," ")</f>
        <v>JEFFERSON</v>
      </c>
      <c r="D1081" s="12">
        <v>101</v>
      </c>
      <c r="E1081" s="16">
        <v>101004</v>
      </c>
      <c r="F1081" s="10" t="s">
        <v>1905</v>
      </c>
      <c r="G1081" s="10">
        <v>220</v>
      </c>
      <c r="H1081" s="11">
        <v>46104</v>
      </c>
      <c r="I1081" s="10" t="s">
        <v>941</v>
      </c>
      <c r="J1081" s="12" t="str">
        <f>IF(OR(TED[[#This Row],[SITUACAO]]=1,TED[[#This Row],[SITUACAO]]=9,TED[[#This Row],[SITUACAO]]=18),"ATIVO","AFASTADO")</f>
        <v>ATIVO</v>
      </c>
      <c r="K1081" s="12">
        <v>1</v>
      </c>
    </row>
    <row r="1082" spans="1:11" x14ac:dyDescent="0.25">
      <c r="A1082" s="10">
        <v>39026</v>
      </c>
      <c r="B1082" s="9" t="s">
        <v>1471</v>
      </c>
      <c r="C1082" s="12" t="str">
        <f>IFERROR(VLOOKUP(TED[[#This Row],[CENTRO]],'CENTRO DE CUSTO'!B:E,4,FALSE)," ")</f>
        <v>JEFFERSON</v>
      </c>
      <c r="D1082" s="12">
        <v>101</v>
      </c>
      <c r="E1082" s="16">
        <v>101007</v>
      </c>
      <c r="F1082" s="10" t="s">
        <v>1908</v>
      </c>
      <c r="G1082" s="10">
        <v>220</v>
      </c>
      <c r="H1082" s="11">
        <v>45812</v>
      </c>
      <c r="I1082" s="10" t="s">
        <v>946</v>
      </c>
      <c r="J1082" s="12" t="str">
        <f>IF(OR(TED[[#This Row],[SITUACAO]]=1,TED[[#This Row],[SITUACAO]]=9,TED[[#This Row],[SITUACAO]]=18),"ATIVO","AFASTADO")</f>
        <v>ATIVO</v>
      </c>
      <c r="K1082" s="12">
        <v>1</v>
      </c>
    </row>
    <row r="1083" spans="1:11" x14ac:dyDescent="0.25">
      <c r="A1083" s="10">
        <v>45558</v>
      </c>
      <c r="B1083" s="9" t="s">
        <v>2230</v>
      </c>
      <c r="C1083" s="12" t="str">
        <f>IFERROR(VLOOKUP(TED[[#This Row],[CENTRO]],'CENTRO DE CUSTO'!B:E,4,FALSE)," ")</f>
        <v>JEFFERSON</v>
      </c>
      <c r="D1083" s="12">
        <v>101</v>
      </c>
      <c r="E1083" s="16">
        <v>101007</v>
      </c>
      <c r="F1083" s="10" t="s">
        <v>1908</v>
      </c>
      <c r="G1083" s="10">
        <v>220</v>
      </c>
      <c r="H1083" s="11">
        <v>46154</v>
      </c>
      <c r="I1083" s="10" t="s">
        <v>935</v>
      </c>
      <c r="J1083" s="12" t="str">
        <f>IF(OR(TED[[#This Row],[SITUACAO]]=1,TED[[#This Row],[SITUACAO]]=9,TED[[#This Row],[SITUACAO]]=18),"ATIVO","AFASTADO")</f>
        <v>ATIVO</v>
      </c>
      <c r="K1083" s="12">
        <v>1</v>
      </c>
    </row>
    <row r="1084" spans="1:11" x14ac:dyDescent="0.25">
      <c r="A1084" s="10">
        <v>39857</v>
      </c>
      <c r="B1084" s="9" t="s">
        <v>1476</v>
      </c>
      <c r="C1084" s="12" t="str">
        <f>IFERROR(VLOOKUP(TED[[#This Row],[CENTRO]],'CENTRO DE CUSTO'!B:E,4,FALSE)," ")</f>
        <v>JEFFERSON</v>
      </c>
      <c r="D1084" s="12">
        <v>101</v>
      </c>
      <c r="E1084" s="16">
        <v>101007</v>
      </c>
      <c r="F1084" s="10" t="s">
        <v>1908</v>
      </c>
      <c r="G1084" s="10">
        <v>220</v>
      </c>
      <c r="H1084" s="11">
        <v>45874</v>
      </c>
      <c r="I1084" s="10" t="s">
        <v>946</v>
      </c>
      <c r="J1084" s="12" t="str">
        <f>IF(OR(TED[[#This Row],[SITUACAO]]=1,TED[[#This Row],[SITUACAO]]=9,TED[[#This Row],[SITUACAO]]=18),"ATIVO","AFASTADO")</f>
        <v>ATIVO</v>
      </c>
      <c r="K1084" s="12">
        <v>1</v>
      </c>
    </row>
    <row r="1085" spans="1:11" x14ac:dyDescent="0.25">
      <c r="A1085" s="10">
        <v>23174</v>
      </c>
      <c r="B1085" s="9" t="s">
        <v>1490</v>
      </c>
      <c r="C1085" s="12" t="str">
        <f>IFERROR(VLOOKUP(TED[[#This Row],[CENTRO]],'CENTRO DE CUSTO'!B:E,4,FALSE)," ")</f>
        <v>MARCOS</v>
      </c>
      <c r="D1085" s="12">
        <v>101</v>
      </c>
      <c r="E1085" s="16">
        <v>101008</v>
      </c>
      <c r="F1085" s="10" t="s">
        <v>1909</v>
      </c>
      <c r="G1085" s="10">
        <v>220</v>
      </c>
      <c r="H1085" s="11">
        <v>44837</v>
      </c>
      <c r="I1085" s="10" t="s">
        <v>957</v>
      </c>
      <c r="J1085" s="12" t="str">
        <f>IF(OR(TED[[#This Row],[SITUACAO]]=1,TED[[#This Row],[SITUACAO]]=9,TED[[#This Row],[SITUACAO]]=18),"ATIVO","AFASTADO")</f>
        <v>ATIVO</v>
      </c>
      <c r="K1085" s="12">
        <v>1</v>
      </c>
    </row>
    <row r="1086" spans="1:11" x14ac:dyDescent="0.25">
      <c r="A1086" s="10">
        <v>15840</v>
      </c>
      <c r="B1086" s="9" t="s">
        <v>968</v>
      </c>
      <c r="C1086" s="12" t="str">
        <f>IFERROR(VLOOKUP(TED[[#This Row],[CENTRO]],'CENTRO DE CUSTO'!B:E,4,FALSE)," ")</f>
        <v>MARCOS</v>
      </c>
      <c r="D1086" s="12">
        <v>101</v>
      </c>
      <c r="E1086" s="16">
        <v>101001</v>
      </c>
      <c r="F1086" s="10" t="s">
        <v>1902</v>
      </c>
      <c r="G1086" s="10">
        <v>220</v>
      </c>
      <c r="H1086" s="11">
        <v>44263</v>
      </c>
      <c r="I1086" s="10" t="s">
        <v>967</v>
      </c>
      <c r="J1086" s="12" t="str">
        <f>IF(OR(TED[[#This Row],[SITUACAO]]=1,TED[[#This Row],[SITUACAO]]=9,TED[[#This Row],[SITUACAO]]=18),"ATIVO","AFASTADO")</f>
        <v>AFASTADO</v>
      </c>
      <c r="K1086" s="12">
        <v>6</v>
      </c>
    </row>
    <row r="1087" spans="1:11" x14ac:dyDescent="0.25">
      <c r="A1087" s="10">
        <v>44395</v>
      </c>
      <c r="B1087" s="9" t="s">
        <v>2121</v>
      </c>
      <c r="C1087" s="12" t="str">
        <f>IFERROR(VLOOKUP(TED[[#This Row],[CENTRO]],'CENTRO DE CUSTO'!B:E,4,FALSE)," ")</f>
        <v>JEFFERSON</v>
      </c>
      <c r="D1087" s="12">
        <v>101</v>
      </c>
      <c r="E1087" s="16">
        <v>101007</v>
      </c>
      <c r="F1087" s="10" t="s">
        <v>1908</v>
      </c>
      <c r="G1087" s="10">
        <v>220</v>
      </c>
      <c r="H1087" s="11">
        <v>46090</v>
      </c>
      <c r="I1087" s="10" t="s">
        <v>961</v>
      </c>
      <c r="J1087" s="12" t="str">
        <f>IF(OR(TED[[#This Row],[SITUACAO]]=1,TED[[#This Row],[SITUACAO]]=9,TED[[#This Row],[SITUACAO]]=18),"ATIVO","AFASTADO")</f>
        <v>ATIVO</v>
      </c>
      <c r="K1087" s="12">
        <v>1</v>
      </c>
    </row>
    <row r="1088" spans="1:11" x14ac:dyDescent="0.25">
      <c r="A1088" s="10">
        <v>22488</v>
      </c>
      <c r="B1088" s="9" t="s">
        <v>1245</v>
      </c>
      <c r="C1088" s="12" t="str">
        <f>IFERROR(VLOOKUP(TED[[#This Row],[CENTRO]],'CENTRO DE CUSTO'!B:E,4,FALSE)," ")</f>
        <v>JEFFERSON</v>
      </c>
      <c r="D1088" s="12">
        <v>101</v>
      </c>
      <c r="E1088" s="16">
        <v>101002</v>
      </c>
      <c r="F1088" s="10" t="s">
        <v>1903</v>
      </c>
      <c r="G1088" s="10">
        <v>220</v>
      </c>
      <c r="H1088" s="11">
        <v>44757</v>
      </c>
      <c r="I1088" s="10" t="s">
        <v>933</v>
      </c>
      <c r="J1088" s="12" t="str">
        <f>IF(OR(TED[[#This Row],[SITUACAO]]=1,TED[[#This Row],[SITUACAO]]=9,TED[[#This Row],[SITUACAO]]=18),"ATIVO","AFASTADO")</f>
        <v>ATIVO</v>
      </c>
      <c r="K1088" s="12">
        <v>1</v>
      </c>
    </row>
    <row r="1089" spans="1:11" x14ac:dyDescent="0.25">
      <c r="A1089" s="10">
        <v>16453</v>
      </c>
      <c r="B1089" s="9" t="s">
        <v>1251</v>
      </c>
      <c r="C1089" s="12" t="str">
        <f>IFERROR(VLOOKUP(TED[[#This Row],[CENTRO]],'CENTRO DE CUSTO'!B:E,4,FALSE)," ")</f>
        <v>JEFFERSON</v>
      </c>
      <c r="D1089" s="12">
        <v>101</v>
      </c>
      <c r="E1089" s="16">
        <v>101002</v>
      </c>
      <c r="F1089" s="10" t="s">
        <v>1903</v>
      </c>
      <c r="G1089" s="10">
        <v>220</v>
      </c>
      <c r="H1089" s="11">
        <v>44355</v>
      </c>
      <c r="I1089" s="10" t="s">
        <v>933</v>
      </c>
      <c r="J1089" s="12" t="str">
        <f>IF(OR(TED[[#This Row],[SITUACAO]]=1,TED[[#This Row],[SITUACAO]]=9,TED[[#This Row],[SITUACAO]]=18),"ATIVO","AFASTADO")</f>
        <v>ATIVO</v>
      </c>
      <c r="K1089" s="12">
        <v>1</v>
      </c>
    </row>
    <row r="1090" spans="1:11" x14ac:dyDescent="0.25">
      <c r="A1090" s="10">
        <v>11054</v>
      </c>
      <c r="B1090" s="9" t="s">
        <v>1407</v>
      </c>
      <c r="C1090" s="12" t="str">
        <f>IFERROR(VLOOKUP(TED[[#This Row],[CENTRO]],'CENTRO DE CUSTO'!B:E,4,FALSE)," ")</f>
        <v>MARCOS</v>
      </c>
      <c r="D1090" s="12">
        <v>101</v>
      </c>
      <c r="E1090" s="16">
        <v>101005</v>
      </c>
      <c r="F1090" s="10" t="s">
        <v>1906</v>
      </c>
      <c r="G1090" s="10">
        <v>220</v>
      </c>
      <c r="H1090" s="11">
        <v>43319</v>
      </c>
      <c r="I1090" s="10" t="s">
        <v>942</v>
      </c>
      <c r="J1090" s="12" t="str">
        <f>IF(OR(TED[[#This Row],[SITUACAO]]=1,TED[[#This Row],[SITUACAO]]=9,TED[[#This Row],[SITUACAO]]=18),"ATIVO","AFASTADO")</f>
        <v>ATIVO</v>
      </c>
      <c r="K1090" s="12">
        <v>1</v>
      </c>
    </row>
    <row r="1091" spans="1:11" x14ac:dyDescent="0.25">
      <c r="A1091" s="10">
        <v>7396</v>
      </c>
      <c r="B1091" s="9" t="s">
        <v>1546</v>
      </c>
      <c r="C1091" s="12" t="str">
        <f>IFERROR(VLOOKUP(TED[[#This Row],[CENTRO]],'CENTRO DE CUSTO'!B:E,4,FALSE)," ")</f>
        <v>MARCOS</v>
      </c>
      <c r="D1091" s="12">
        <v>101</v>
      </c>
      <c r="E1091" s="16">
        <v>101010</v>
      </c>
      <c r="F1091" s="10" t="s">
        <v>1911</v>
      </c>
      <c r="G1091" s="10">
        <v>220</v>
      </c>
      <c r="H1091" s="11">
        <v>42461</v>
      </c>
      <c r="I1091" s="10" t="s">
        <v>21</v>
      </c>
      <c r="J1091" s="12" t="str">
        <f>IF(OR(TED[[#This Row],[SITUACAO]]=1,TED[[#This Row],[SITUACAO]]=9,TED[[#This Row],[SITUACAO]]=18),"ATIVO","AFASTADO")</f>
        <v>ATIVO</v>
      </c>
      <c r="K1091" s="12">
        <v>1</v>
      </c>
    </row>
    <row r="1092" spans="1:11" x14ac:dyDescent="0.25">
      <c r="A1092" s="10">
        <v>23684</v>
      </c>
      <c r="B1092" s="9" t="s">
        <v>1417</v>
      </c>
      <c r="C1092" s="12" t="str">
        <f>IFERROR(VLOOKUP(TED[[#This Row],[CENTRO]],'CENTRO DE CUSTO'!B:E,4,FALSE)," ")</f>
        <v>MARCOS</v>
      </c>
      <c r="D1092" s="12">
        <v>101</v>
      </c>
      <c r="E1092" s="16">
        <v>101005</v>
      </c>
      <c r="F1092" s="10" t="s">
        <v>1906</v>
      </c>
      <c r="G1092" s="10">
        <v>220</v>
      </c>
      <c r="H1092" s="11">
        <v>44847</v>
      </c>
      <c r="I1092" s="10" t="s">
        <v>933</v>
      </c>
      <c r="J1092" s="12" t="str">
        <f>IF(OR(TED[[#This Row],[SITUACAO]]=1,TED[[#This Row],[SITUACAO]]=9,TED[[#This Row],[SITUACAO]]=18),"ATIVO","AFASTADO")</f>
        <v>ATIVO</v>
      </c>
      <c r="K1092" s="12">
        <v>1</v>
      </c>
    </row>
    <row r="1093" spans="1:11" x14ac:dyDescent="0.25">
      <c r="A1093" s="10">
        <v>31357</v>
      </c>
      <c r="B1093" s="9" t="s">
        <v>1481</v>
      </c>
      <c r="C1093" s="12" t="str">
        <f>IFERROR(VLOOKUP(TED[[#This Row],[CENTRO]],'CENTRO DE CUSTO'!B:E,4,FALSE)," ")</f>
        <v>JEFFERSON</v>
      </c>
      <c r="D1093" s="12">
        <v>101</v>
      </c>
      <c r="E1093" s="16">
        <v>101007</v>
      </c>
      <c r="F1093" s="10" t="s">
        <v>1908</v>
      </c>
      <c r="G1093" s="10">
        <v>220</v>
      </c>
      <c r="H1093" s="11">
        <v>45352</v>
      </c>
      <c r="I1093" s="10" t="s">
        <v>961</v>
      </c>
      <c r="J1093" s="12" t="str">
        <f>IF(OR(TED[[#This Row],[SITUACAO]]=1,TED[[#This Row],[SITUACAO]]=9,TED[[#This Row],[SITUACAO]]=18),"ATIVO","AFASTADO")</f>
        <v>ATIVO</v>
      </c>
      <c r="K1093" s="12">
        <v>1</v>
      </c>
    </row>
    <row r="1094" spans="1:11" x14ac:dyDescent="0.25">
      <c r="A1094" s="10">
        <v>45472</v>
      </c>
      <c r="B1094" s="9" t="s">
        <v>2231</v>
      </c>
      <c r="C1094" s="12" t="str">
        <f>IFERROR(VLOOKUP(TED[[#This Row],[CENTRO]],'CENTRO DE CUSTO'!B:E,4,FALSE)," ")</f>
        <v>JEFFERSON</v>
      </c>
      <c r="D1094" s="12">
        <v>101</v>
      </c>
      <c r="E1094" s="16">
        <v>101007</v>
      </c>
      <c r="F1094" s="10" t="s">
        <v>1908</v>
      </c>
      <c r="G1094" s="10">
        <v>220</v>
      </c>
      <c r="H1094" s="11">
        <v>46162</v>
      </c>
      <c r="I1094" s="10" t="s">
        <v>961</v>
      </c>
      <c r="J1094" s="12" t="str">
        <f>IF(OR(TED[[#This Row],[SITUACAO]]=1,TED[[#This Row],[SITUACAO]]=9,TED[[#This Row],[SITUACAO]]=18),"ATIVO","AFASTADO")</f>
        <v>ATIVO</v>
      </c>
      <c r="K1094" s="12">
        <v>1</v>
      </c>
    </row>
    <row r="1095" spans="1:11" x14ac:dyDescent="0.25">
      <c r="A1095" s="10">
        <v>34283</v>
      </c>
      <c r="B1095" s="9" t="s">
        <v>1335</v>
      </c>
      <c r="C1095" s="12" t="str">
        <f>IFERROR(VLOOKUP(TED[[#This Row],[CENTRO]],'CENTRO DE CUSTO'!B:E,4,FALSE)," ")</f>
        <v>JEFFERSON</v>
      </c>
      <c r="D1095" s="12">
        <v>101</v>
      </c>
      <c r="E1095" s="16">
        <v>101004</v>
      </c>
      <c r="F1095" s="10" t="s">
        <v>1905</v>
      </c>
      <c r="G1095" s="10">
        <v>220</v>
      </c>
      <c r="H1095" s="11">
        <v>45582</v>
      </c>
      <c r="I1095" s="10" t="s">
        <v>21</v>
      </c>
      <c r="J1095" s="12" t="str">
        <f>IF(OR(TED[[#This Row],[SITUACAO]]=1,TED[[#This Row],[SITUACAO]]=9,TED[[#This Row],[SITUACAO]]=18),"ATIVO","AFASTADO")</f>
        <v>ATIVO</v>
      </c>
      <c r="K1095" s="12">
        <v>1</v>
      </c>
    </row>
    <row r="1096" spans="1:11" x14ac:dyDescent="0.25">
      <c r="A1096" s="10">
        <v>28551</v>
      </c>
      <c r="B1096" s="9" t="s">
        <v>966</v>
      </c>
      <c r="C1096" s="12" t="str">
        <f>IFERROR(VLOOKUP(TED[[#This Row],[CENTRO]],'CENTRO DE CUSTO'!B:E,4,FALSE)," ")</f>
        <v>MARCOS</v>
      </c>
      <c r="D1096" s="12">
        <v>101</v>
      </c>
      <c r="E1096" s="16">
        <v>101008</v>
      </c>
      <c r="F1096" s="10" t="s">
        <v>1909</v>
      </c>
      <c r="G1096" s="10">
        <v>220</v>
      </c>
      <c r="H1096" s="11">
        <v>45189</v>
      </c>
      <c r="I1096" s="10" t="s">
        <v>957</v>
      </c>
      <c r="J1096" s="12" t="str">
        <f>IF(OR(TED[[#This Row],[SITUACAO]]=1,TED[[#This Row],[SITUACAO]]=9,TED[[#This Row],[SITUACAO]]=18),"ATIVO","AFASTADO")</f>
        <v>AFASTADO</v>
      </c>
      <c r="K1096" s="12">
        <v>6</v>
      </c>
    </row>
    <row r="1097" spans="1:11" x14ac:dyDescent="0.25">
      <c r="A1097" s="10">
        <v>7374</v>
      </c>
      <c r="B1097" s="9" t="s">
        <v>1568</v>
      </c>
      <c r="C1097" s="12" t="str">
        <f>IFERROR(VLOOKUP(TED[[#This Row],[CENTRO]],'CENTRO DE CUSTO'!B:E,4,FALSE)," ")</f>
        <v>MARCOS</v>
      </c>
      <c r="D1097" s="12">
        <v>101</v>
      </c>
      <c r="E1097" s="16">
        <v>101010</v>
      </c>
      <c r="F1097" s="10" t="s">
        <v>1911</v>
      </c>
      <c r="G1097" s="10">
        <v>220</v>
      </c>
      <c r="H1097" s="11">
        <v>42461</v>
      </c>
      <c r="I1097" s="10" t="s">
        <v>941</v>
      </c>
      <c r="J1097" s="12" t="str">
        <f>IF(OR(TED[[#This Row],[SITUACAO]]=1,TED[[#This Row],[SITUACAO]]=9,TED[[#This Row],[SITUACAO]]=18),"ATIVO","AFASTADO")</f>
        <v>ATIVO</v>
      </c>
      <c r="K1097" s="12">
        <v>1</v>
      </c>
    </row>
    <row r="1098" spans="1:11" x14ac:dyDescent="0.25">
      <c r="A1098" s="10">
        <v>39539</v>
      </c>
      <c r="B1098" s="9" t="s">
        <v>1270</v>
      </c>
      <c r="C1098" s="12" t="str">
        <f>IFERROR(VLOOKUP(TED[[#This Row],[CENTRO]],'CENTRO DE CUSTO'!B:E,4,FALSE)," ")</f>
        <v>JEFFERSON</v>
      </c>
      <c r="D1098" s="12">
        <v>101</v>
      </c>
      <c r="E1098" s="16">
        <v>101003</v>
      </c>
      <c r="F1098" s="10" t="s">
        <v>1904</v>
      </c>
      <c r="G1098" s="10">
        <v>220</v>
      </c>
      <c r="H1098" s="11">
        <v>45852</v>
      </c>
      <c r="I1098" s="10" t="s">
        <v>942</v>
      </c>
      <c r="J1098" s="12" t="str">
        <f>IF(OR(TED[[#This Row],[SITUACAO]]=1,TED[[#This Row],[SITUACAO]]=9,TED[[#This Row],[SITUACAO]]=18),"ATIVO","AFASTADO")</f>
        <v>ATIVO</v>
      </c>
      <c r="K1098" s="12">
        <v>1</v>
      </c>
    </row>
    <row r="1099" spans="1:11" x14ac:dyDescent="0.25">
      <c r="A1099" s="10">
        <v>25228</v>
      </c>
      <c r="B1099" s="9" t="s">
        <v>1538</v>
      </c>
      <c r="C1099" s="12" t="str">
        <f>IFERROR(VLOOKUP(TED[[#This Row],[CENTRO]],'CENTRO DE CUSTO'!B:E,4,FALSE)," ")</f>
        <v>MARCOS</v>
      </c>
      <c r="D1099" s="12">
        <v>101</v>
      </c>
      <c r="E1099" s="16">
        <v>101010</v>
      </c>
      <c r="F1099" s="10" t="s">
        <v>1911</v>
      </c>
      <c r="G1099" s="10">
        <v>220</v>
      </c>
      <c r="H1099" s="11">
        <v>44964</v>
      </c>
      <c r="I1099" s="10" t="s">
        <v>937</v>
      </c>
      <c r="J1099" s="12" t="str">
        <f>IF(OR(TED[[#This Row],[SITUACAO]]=1,TED[[#This Row],[SITUACAO]]=9,TED[[#This Row],[SITUACAO]]=18),"ATIVO","AFASTADO")</f>
        <v>ATIVO</v>
      </c>
      <c r="K1099" s="12">
        <v>1</v>
      </c>
    </row>
    <row r="1100" spans="1:11" x14ac:dyDescent="0.25">
      <c r="A1100" s="10">
        <v>27464</v>
      </c>
      <c r="B1100" s="9" t="s">
        <v>1382</v>
      </c>
      <c r="C1100" s="12" t="str">
        <f>IFERROR(VLOOKUP(TED[[#This Row],[CENTRO]],'CENTRO DE CUSTO'!B:E,4,FALSE)," ")</f>
        <v>JEFFERSON</v>
      </c>
      <c r="D1100" s="12">
        <v>101</v>
      </c>
      <c r="E1100" s="16">
        <v>101004</v>
      </c>
      <c r="F1100" s="10" t="s">
        <v>1905</v>
      </c>
      <c r="G1100" s="10">
        <v>220</v>
      </c>
      <c r="H1100" s="11">
        <v>45084</v>
      </c>
      <c r="I1100" s="10" t="s">
        <v>1</v>
      </c>
      <c r="J1100" s="12" t="str">
        <f>IF(OR(TED[[#This Row],[SITUACAO]]=1,TED[[#This Row],[SITUACAO]]=9,TED[[#This Row],[SITUACAO]]=18),"ATIVO","AFASTADO")</f>
        <v>ATIVO</v>
      </c>
      <c r="K1100" s="12">
        <v>1</v>
      </c>
    </row>
    <row r="1101" spans="1:11" x14ac:dyDescent="0.25">
      <c r="A1101" s="10">
        <v>27484</v>
      </c>
      <c r="B1101" s="9" t="s">
        <v>1502</v>
      </c>
      <c r="C1101" s="12" t="str">
        <f>IFERROR(VLOOKUP(TED[[#This Row],[CENTRO]],'CENTRO DE CUSTO'!B:E,4,FALSE)," ")</f>
        <v>MARCOS</v>
      </c>
      <c r="D1101" s="12">
        <v>101</v>
      </c>
      <c r="E1101" s="16">
        <v>101008</v>
      </c>
      <c r="F1101" s="10" t="s">
        <v>1909</v>
      </c>
      <c r="G1101" s="10">
        <v>220</v>
      </c>
      <c r="H1101" s="11">
        <v>45086</v>
      </c>
      <c r="I1101" s="10" t="s">
        <v>957</v>
      </c>
      <c r="J1101" s="12" t="str">
        <f>IF(OR(TED[[#This Row],[SITUACAO]]=1,TED[[#This Row],[SITUACAO]]=9,TED[[#This Row],[SITUACAO]]=18),"ATIVO","AFASTADO")</f>
        <v>ATIVO</v>
      </c>
      <c r="K1101" s="12">
        <v>1</v>
      </c>
    </row>
    <row r="1102" spans="1:11" x14ac:dyDescent="0.25">
      <c r="A1102" s="10">
        <v>14517</v>
      </c>
      <c r="B1102" s="9" t="s">
        <v>1459</v>
      </c>
      <c r="C1102" s="12" t="str">
        <f>IFERROR(VLOOKUP(TED[[#This Row],[CENTRO]],'CENTRO DE CUSTO'!B:E,4,FALSE)," ")</f>
        <v>JEFFERSON</v>
      </c>
      <c r="D1102" s="12">
        <v>101</v>
      </c>
      <c r="E1102" s="16">
        <v>101007</v>
      </c>
      <c r="F1102" s="10" t="s">
        <v>1908</v>
      </c>
      <c r="G1102" s="10">
        <v>220</v>
      </c>
      <c r="H1102" s="11">
        <v>44013</v>
      </c>
      <c r="I1102" s="10" t="s">
        <v>961</v>
      </c>
      <c r="J1102" s="12" t="str">
        <f>IF(OR(TED[[#This Row],[SITUACAO]]=1,TED[[#This Row],[SITUACAO]]=9,TED[[#This Row],[SITUACAO]]=18),"ATIVO","AFASTADO")</f>
        <v>ATIVO</v>
      </c>
      <c r="K1102" s="12">
        <v>1</v>
      </c>
    </row>
    <row r="1103" spans="1:11" x14ac:dyDescent="0.25">
      <c r="A1103" s="10">
        <v>11360</v>
      </c>
      <c r="B1103" s="9" t="s">
        <v>1266</v>
      </c>
      <c r="C1103" s="12" t="str">
        <f>IFERROR(VLOOKUP(TED[[#This Row],[CENTRO]],'CENTRO DE CUSTO'!B:E,4,FALSE)," ")</f>
        <v>JEFFERSON</v>
      </c>
      <c r="D1103" s="12">
        <v>101</v>
      </c>
      <c r="E1103" s="16">
        <v>101002</v>
      </c>
      <c r="F1103" s="10" t="s">
        <v>1903</v>
      </c>
      <c r="G1103" s="10">
        <v>220</v>
      </c>
      <c r="H1103" s="11">
        <v>43382</v>
      </c>
      <c r="I1103" s="10" t="s">
        <v>941</v>
      </c>
      <c r="J1103" s="12" t="str">
        <f>IF(OR(TED[[#This Row],[SITUACAO]]=1,TED[[#This Row],[SITUACAO]]=9,TED[[#This Row],[SITUACAO]]=18),"ATIVO","AFASTADO")</f>
        <v>ATIVO</v>
      </c>
      <c r="K1103" s="12">
        <v>1</v>
      </c>
    </row>
    <row r="1104" spans="1:11" x14ac:dyDescent="0.25">
      <c r="A1104" s="10">
        <v>28096</v>
      </c>
      <c r="B1104" s="9" t="s">
        <v>1380</v>
      </c>
      <c r="C1104" s="12" t="str">
        <f>IFERROR(VLOOKUP(TED[[#This Row],[CENTRO]],'CENTRO DE CUSTO'!B:E,4,FALSE)," ")</f>
        <v>JEFFERSON</v>
      </c>
      <c r="D1104" s="12">
        <v>101</v>
      </c>
      <c r="E1104" s="16">
        <v>101004</v>
      </c>
      <c r="F1104" s="10" t="s">
        <v>1905</v>
      </c>
      <c r="G1104" s="10">
        <v>220</v>
      </c>
      <c r="H1104" s="11">
        <v>45145</v>
      </c>
      <c r="I1104" s="10" t="s">
        <v>941</v>
      </c>
      <c r="J1104" s="12" t="str">
        <f>IF(OR(TED[[#This Row],[SITUACAO]]=1,TED[[#This Row],[SITUACAO]]=9,TED[[#This Row],[SITUACAO]]=18),"ATIVO","AFASTADO")</f>
        <v>ATIVO</v>
      </c>
      <c r="K1104" s="12">
        <v>1</v>
      </c>
    </row>
    <row r="1105" spans="1:11" x14ac:dyDescent="0.25">
      <c r="A1105" s="10">
        <v>38625</v>
      </c>
      <c r="B1105" s="9" t="s">
        <v>1276</v>
      </c>
      <c r="C1105" s="12" t="str">
        <f>IFERROR(VLOOKUP(TED[[#This Row],[CENTRO]],'CENTRO DE CUSTO'!B:E,4,FALSE)," ")</f>
        <v>JEFFERSON</v>
      </c>
      <c r="D1105" s="12">
        <v>101</v>
      </c>
      <c r="E1105" s="16">
        <v>101003</v>
      </c>
      <c r="F1105" s="10" t="s">
        <v>1904</v>
      </c>
      <c r="G1105" s="10">
        <v>220</v>
      </c>
      <c r="H1105" s="11">
        <v>45785</v>
      </c>
      <c r="I1105" s="10" t="s">
        <v>947</v>
      </c>
      <c r="J1105" s="12" t="str">
        <f>IF(OR(TED[[#This Row],[SITUACAO]]=1,TED[[#This Row],[SITUACAO]]=9,TED[[#This Row],[SITUACAO]]=18),"ATIVO","AFASTADO")</f>
        <v>ATIVO</v>
      </c>
      <c r="K1105" s="12">
        <v>1</v>
      </c>
    </row>
    <row r="1106" spans="1:11" x14ac:dyDescent="0.25">
      <c r="A1106" s="10">
        <v>42022</v>
      </c>
      <c r="B1106" s="9" t="s">
        <v>1214</v>
      </c>
      <c r="C1106" s="12" t="str">
        <f>IFERROR(VLOOKUP(TED[[#This Row],[CENTRO]],'CENTRO DE CUSTO'!B:E,4,FALSE)," ")</f>
        <v>JEFFERSON</v>
      </c>
      <c r="D1106" s="12">
        <v>101</v>
      </c>
      <c r="E1106" s="16">
        <v>101002</v>
      </c>
      <c r="F1106" s="10" t="s">
        <v>1903</v>
      </c>
      <c r="G1106" s="10">
        <v>220</v>
      </c>
      <c r="H1106" s="11">
        <v>45967</v>
      </c>
      <c r="I1106" s="10" t="s">
        <v>942</v>
      </c>
      <c r="J1106" s="12" t="str">
        <f>IF(OR(TED[[#This Row],[SITUACAO]]=1,TED[[#This Row],[SITUACAO]]=9,TED[[#This Row],[SITUACAO]]=18),"ATIVO","AFASTADO")</f>
        <v>ATIVO</v>
      </c>
      <c r="K1106" s="12">
        <v>1</v>
      </c>
    </row>
    <row r="1107" spans="1:11" x14ac:dyDescent="0.25">
      <c r="A1107" s="10">
        <v>11064</v>
      </c>
      <c r="B1107" s="9" t="s">
        <v>1338</v>
      </c>
      <c r="C1107" s="12" t="str">
        <f>IFERROR(VLOOKUP(TED[[#This Row],[CENTRO]],'CENTRO DE CUSTO'!B:E,4,FALSE)," ")</f>
        <v>JEFFERSON</v>
      </c>
      <c r="D1107" s="12">
        <v>101</v>
      </c>
      <c r="E1107" s="16">
        <v>101004</v>
      </c>
      <c r="F1107" s="10" t="s">
        <v>1905</v>
      </c>
      <c r="G1107" s="10">
        <v>220</v>
      </c>
      <c r="H1107" s="11">
        <v>43328</v>
      </c>
      <c r="I1107" s="10" t="s">
        <v>942</v>
      </c>
      <c r="J1107" s="12" t="str">
        <f>IF(OR(TED[[#This Row],[SITUACAO]]=1,TED[[#This Row],[SITUACAO]]=9,TED[[#This Row],[SITUACAO]]=18),"ATIVO","AFASTADO")</f>
        <v>ATIVO</v>
      </c>
      <c r="K1107" s="12">
        <v>1</v>
      </c>
    </row>
    <row r="1108" spans="1:11" x14ac:dyDescent="0.25">
      <c r="A1108" s="10">
        <v>9109</v>
      </c>
      <c r="B1108" s="9" t="s">
        <v>1458</v>
      </c>
      <c r="C1108" s="12" t="str">
        <f>IFERROR(VLOOKUP(TED[[#This Row],[CENTRO]],'CENTRO DE CUSTO'!B:E,4,FALSE)," ")</f>
        <v>JEFFERSON</v>
      </c>
      <c r="D1108" s="12">
        <v>101</v>
      </c>
      <c r="E1108" s="16">
        <v>101007</v>
      </c>
      <c r="F1108" s="10" t="s">
        <v>1908</v>
      </c>
      <c r="G1108" s="10">
        <v>220</v>
      </c>
      <c r="H1108" s="11">
        <v>42829</v>
      </c>
      <c r="I1108" s="10" t="s">
        <v>942</v>
      </c>
      <c r="J1108" s="12" t="str">
        <f>IF(OR(TED[[#This Row],[SITUACAO]]=1,TED[[#This Row],[SITUACAO]]=9,TED[[#This Row],[SITUACAO]]=18),"ATIVO","AFASTADO")</f>
        <v>ATIVO</v>
      </c>
      <c r="K1108" s="12">
        <v>1</v>
      </c>
    </row>
    <row r="1109" spans="1:11" x14ac:dyDescent="0.25">
      <c r="A1109" s="10">
        <v>7348</v>
      </c>
      <c r="B1109" s="9" t="s">
        <v>965</v>
      </c>
      <c r="C1109" s="12" t="str">
        <f>IFERROR(VLOOKUP(TED[[#This Row],[CENTRO]],'CENTRO DE CUSTO'!B:E,4,FALSE)," ")</f>
        <v>MARCOS</v>
      </c>
      <c r="D1109" s="12">
        <v>101</v>
      </c>
      <c r="E1109" s="16">
        <v>101005</v>
      </c>
      <c r="F1109" s="10" t="s">
        <v>1906</v>
      </c>
      <c r="G1109" s="10">
        <v>220</v>
      </c>
      <c r="H1109" s="11">
        <v>42461</v>
      </c>
      <c r="I1109" s="10" t="s">
        <v>1</v>
      </c>
      <c r="J1109" s="12" t="str">
        <f>IF(OR(TED[[#This Row],[SITUACAO]]=1,TED[[#This Row],[SITUACAO]]=9,TED[[#This Row],[SITUACAO]]=18),"ATIVO","AFASTADO")</f>
        <v>ATIVO</v>
      </c>
      <c r="K1109" s="12">
        <v>1</v>
      </c>
    </row>
    <row r="1110" spans="1:11" x14ac:dyDescent="0.25">
      <c r="A1110" s="10">
        <v>36065</v>
      </c>
      <c r="B1110" s="9" t="s">
        <v>1343</v>
      </c>
      <c r="C1110" s="12" t="str">
        <f>IFERROR(VLOOKUP(TED[[#This Row],[CENTRO]],'CENTRO DE CUSTO'!B:E,4,FALSE)," ")</f>
        <v>JEFFERSON</v>
      </c>
      <c r="D1110" s="12">
        <v>101</v>
      </c>
      <c r="E1110" s="16">
        <v>101004</v>
      </c>
      <c r="F1110" s="10" t="s">
        <v>1905</v>
      </c>
      <c r="G1110" s="10">
        <v>220</v>
      </c>
      <c r="H1110" s="11">
        <v>45693</v>
      </c>
      <c r="I1110" s="10" t="s">
        <v>941</v>
      </c>
      <c r="J1110" s="12" t="str">
        <f>IF(OR(TED[[#This Row],[SITUACAO]]=1,TED[[#This Row],[SITUACAO]]=9,TED[[#This Row],[SITUACAO]]=18),"ATIVO","AFASTADO")</f>
        <v>ATIVO</v>
      </c>
      <c r="K1110" s="12">
        <v>1</v>
      </c>
    </row>
    <row r="1111" spans="1:11" x14ac:dyDescent="0.25">
      <c r="A1111" s="10">
        <v>13599</v>
      </c>
      <c r="B1111" s="9" t="s">
        <v>1349</v>
      </c>
      <c r="C1111" s="12" t="str">
        <f>IFERROR(VLOOKUP(TED[[#This Row],[CENTRO]],'CENTRO DE CUSTO'!B:E,4,FALSE)," ")</f>
        <v>JEFFERSON</v>
      </c>
      <c r="D1111" s="12">
        <v>101</v>
      </c>
      <c r="E1111" s="16">
        <v>101004</v>
      </c>
      <c r="F1111" s="10" t="s">
        <v>1905</v>
      </c>
      <c r="G1111" s="10">
        <v>220</v>
      </c>
      <c r="H1111" s="11">
        <v>43755</v>
      </c>
      <c r="I1111" s="10" t="s">
        <v>935</v>
      </c>
      <c r="J1111" s="12" t="str">
        <f>IF(OR(TED[[#This Row],[SITUACAO]]=1,TED[[#This Row],[SITUACAO]]=9,TED[[#This Row],[SITUACAO]]=18),"ATIVO","AFASTADO")</f>
        <v>ATIVO</v>
      </c>
      <c r="K1111" s="12">
        <v>1</v>
      </c>
    </row>
    <row r="1112" spans="1:11" x14ac:dyDescent="0.25">
      <c r="A1112" s="10">
        <v>20447</v>
      </c>
      <c r="B1112" s="9" t="s">
        <v>1191</v>
      </c>
      <c r="C1112" s="12" t="str">
        <f>IFERROR(VLOOKUP(TED[[#This Row],[CENTRO]],'CENTRO DE CUSTO'!B:E,4,FALSE)," ")</f>
        <v>MARCOS</v>
      </c>
      <c r="D1112" s="12">
        <v>101</v>
      </c>
      <c r="E1112" s="16">
        <v>101001</v>
      </c>
      <c r="F1112" s="10" t="s">
        <v>1902</v>
      </c>
      <c r="G1112" s="10">
        <v>220</v>
      </c>
      <c r="H1112" s="11">
        <v>44609</v>
      </c>
      <c r="I1112" s="10" t="s">
        <v>961</v>
      </c>
      <c r="J1112" s="12" t="str">
        <f>IF(OR(TED[[#This Row],[SITUACAO]]=1,TED[[#This Row],[SITUACAO]]=9,TED[[#This Row],[SITUACAO]]=18),"ATIVO","AFASTADO")</f>
        <v>ATIVO</v>
      </c>
      <c r="K1112" s="12">
        <v>1</v>
      </c>
    </row>
    <row r="1113" spans="1:11" x14ac:dyDescent="0.25">
      <c r="A1113" s="10">
        <v>27350</v>
      </c>
      <c r="B1113" s="9" t="s">
        <v>1452</v>
      </c>
      <c r="C1113" s="12" t="str">
        <f>IFERROR(VLOOKUP(TED[[#This Row],[CENTRO]],'CENTRO DE CUSTO'!B:E,4,FALSE)," ")</f>
        <v>JEFFERSON</v>
      </c>
      <c r="D1113" s="12">
        <v>101</v>
      </c>
      <c r="E1113" s="16">
        <v>101007</v>
      </c>
      <c r="F1113" s="10" t="s">
        <v>1908</v>
      </c>
      <c r="G1113" s="10">
        <v>220</v>
      </c>
      <c r="H1113" s="11">
        <v>45078</v>
      </c>
      <c r="I1113" s="10" t="s">
        <v>935</v>
      </c>
      <c r="J1113" s="12" t="str">
        <f>IF(OR(TED[[#This Row],[SITUACAO]]=1,TED[[#This Row],[SITUACAO]]=9,TED[[#This Row],[SITUACAO]]=18),"ATIVO","AFASTADO")</f>
        <v>ATIVO</v>
      </c>
      <c r="K1113" s="12">
        <v>1</v>
      </c>
    </row>
    <row r="1114" spans="1:11" x14ac:dyDescent="0.25">
      <c r="A1114" s="10">
        <v>8810</v>
      </c>
      <c r="B1114" s="9" t="s">
        <v>1467</v>
      </c>
      <c r="C1114" s="12" t="str">
        <f>IFERROR(VLOOKUP(TED[[#This Row],[CENTRO]],'CENTRO DE CUSTO'!B:E,4,FALSE)," ")</f>
        <v>JEFFERSON</v>
      </c>
      <c r="D1114" s="12">
        <v>101</v>
      </c>
      <c r="E1114" s="16">
        <v>101007</v>
      </c>
      <c r="F1114" s="10" t="s">
        <v>1908</v>
      </c>
      <c r="G1114" s="10">
        <v>220</v>
      </c>
      <c r="H1114" s="11">
        <v>42790</v>
      </c>
      <c r="I1114" s="10" t="s">
        <v>933</v>
      </c>
      <c r="J1114" s="12" t="str">
        <f>IF(OR(TED[[#This Row],[SITUACAO]]=1,TED[[#This Row],[SITUACAO]]=9,TED[[#This Row],[SITUACAO]]=18),"ATIVO","AFASTADO")</f>
        <v>ATIVO</v>
      </c>
      <c r="K1114" s="12">
        <v>1</v>
      </c>
    </row>
    <row r="1115" spans="1:11" x14ac:dyDescent="0.25">
      <c r="A1115" s="10">
        <v>26015</v>
      </c>
      <c r="B1115" s="9" t="s">
        <v>211</v>
      </c>
      <c r="C1115" s="12" t="str">
        <f>IFERROR(VLOOKUP(TED[[#This Row],[CENTRO]],'CENTRO DE CUSTO'!B:E,4,FALSE)," ")</f>
        <v>JEFFERSON</v>
      </c>
      <c r="D1115" s="12">
        <v>101</v>
      </c>
      <c r="E1115" s="16">
        <v>101004</v>
      </c>
      <c r="F1115" s="10" t="s">
        <v>1905</v>
      </c>
      <c r="G1115" s="10">
        <v>220</v>
      </c>
      <c r="H1115" s="11">
        <v>45006</v>
      </c>
      <c r="I1115" s="10" t="s">
        <v>21</v>
      </c>
      <c r="J1115" s="12" t="str">
        <f>IF(OR(TED[[#This Row],[SITUACAO]]=1,TED[[#This Row],[SITUACAO]]=9,TED[[#This Row],[SITUACAO]]=18),"ATIVO","AFASTADO")</f>
        <v>ATIVO</v>
      </c>
      <c r="K1115" s="12">
        <v>1</v>
      </c>
    </row>
    <row r="1116" spans="1:11" x14ac:dyDescent="0.25">
      <c r="A1116" s="10">
        <v>31908</v>
      </c>
      <c r="B1116" s="9" t="s">
        <v>1310</v>
      </c>
      <c r="C1116" s="12" t="str">
        <f>IFERROR(VLOOKUP(TED[[#This Row],[CENTRO]],'CENTRO DE CUSTO'!B:E,4,FALSE)," ")</f>
        <v>JEFFERSON</v>
      </c>
      <c r="D1116" s="12">
        <v>101</v>
      </c>
      <c r="E1116" s="16">
        <v>101004</v>
      </c>
      <c r="F1116" s="10" t="s">
        <v>1905</v>
      </c>
      <c r="G1116" s="10">
        <v>220</v>
      </c>
      <c r="H1116" s="11">
        <v>45383</v>
      </c>
      <c r="I1116" s="10" t="s">
        <v>941</v>
      </c>
      <c r="J1116" s="12" t="str">
        <f>IF(OR(TED[[#This Row],[SITUACAO]]=1,TED[[#This Row],[SITUACAO]]=9,TED[[#This Row],[SITUACAO]]=18),"ATIVO","AFASTADO")</f>
        <v>ATIVO</v>
      </c>
      <c r="K1116" s="12">
        <v>1</v>
      </c>
    </row>
    <row r="1117" spans="1:11" x14ac:dyDescent="0.25">
      <c r="A1117" s="10">
        <v>13923</v>
      </c>
      <c r="B1117" s="9" t="s">
        <v>1551</v>
      </c>
      <c r="C1117" s="12" t="str">
        <f>IFERROR(VLOOKUP(TED[[#This Row],[CENTRO]],'CENTRO DE CUSTO'!B:E,4,FALSE)," ")</f>
        <v>MARCOS</v>
      </c>
      <c r="D1117" s="12">
        <v>101</v>
      </c>
      <c r="E1117" s="16">
        <v>101010</v>
      </c>
      <c r="F1117" s="10" t="s">
        <v>1911</v>
      </c>
      <c r="G1117" s="10">
        <v>220</v>
      </c>
      <c r="H1117" s="11">
        <v>43857</v>
      </c>
      <c r="I1117" s="10" t="s">
        <v>948</v>
      </c>
      <c r="J1117" s="12" t="str">
        <f>IF(OR(TED[[#This Row],[SITUACAO]]=1,TED[[#This Row],[SITUACAO]]=9,TED[[#This Row],[SITUACAO]]=18),"ATIVO","AFASTADO")</f>
        <v>ATIVO</v>
      </c>
      <c r="K1117" s="12">
        <v>1</v>
      </c>
    </row>
    <row r="1118" spans="1:11" x14ac:dyDescent="0.25">
      <c r="A1118" s="10">
        <v>13107</v>
      </c>
      <c r="B1118" s="9" t="s">
        <v>1428</v>
      </c>
      <c r="C1118" s="12" t="str">
        <f>IFERROR(VLOOKUP(TED[[#This Row],[CENTRO]],'CENTRO DE CUSTO'!B:E,4,FALSE)," ")</f>
        <v>MARCOS</v>
      </c>
      <c r="D1118" s="12">
        <v>101</v>
      </c>
      <c r="E1118" s="16">
        <v>101005</v>
      </c>
      <c r="F1118" s="10" t="s">
        <v>1906</v>
      </c>
      <c r="G1118" s="10">
        <v>220</v>
      </c>
      <c r="H1118" s="11">
        <v>43682</v>
      </c>
      <c r="I1118" s="10" t="s">
        <v>1</v>
      </c>
      <c r="J1118" s="12" t="str">
        <f>IF(OR(TED[[#This Row],[SITUACAO]]=1,TED[[#This Row],[SITUACAO]]=9,TED[[#This Row],[SITUACAO]]=18),"ATIVO","AFASTADO")</f>
        <v>ATIVO</v>
      </c>
      <c r="K1118" s="12">
        <v>1</v>
      </c>
    </row>
    <row r="1119" spans="1:11" x14ac:dyDescent="0.25">
      <c r="A1119" s="10">
        <v>9680</v>
      </c>
      <c r="B1119" s="9" t="s">
        <v>1381</v>
      </c>
      <c r="C1119" s="12" t="str">
        <f>IFERROR(VLOOKUP(TED[[#This Row],[CENTRO]],'CENTRO DE CUSTO'!B:E,4,FALSE)," ")</f>
        <v>JEFFERSON</v>
      </c>
      <c r="D1119" s="12">
        <v>101</v>
      </c>
      <c r="E1119" s="16">
        <v>101004</v>
      </c>
      <c r="F1119" s="10" t="s">
        <v>1905</v>
      </c>
      <c r="G1119" s="10">
        <v>220</v>
      </c>
      <c r="H1119" s="11">
        <v>43024</v>
      </c>
      <c r="I1119" s="10" t="s">
        <v>1</v>
      </c>
      <c r="J1119" s="12" t="str">
        <f>IF(OR(TED[[#This Row],[SITUACAO]]=1,TED[[#This Row],[SITUACAO]]=9,TED[[#This Row],[SITUACAO]]=18),"ATIVO","AFASTADO")</f>
        <v>ATIVO</v>
      </c>
      <c r="K1119" s="12">
        <v>1</v>
      </c>
    </row>
    <row r="1120" spans="1:11" x14ac:dyDescent="0.25">
      <c r="A1120" s="10">
        <v>41954</v>
      </c>
      <c r="B1120" s="9" t="s">
        <v>1313</v>
      </c>
      <c r="C1120" s="12" t="str">
        <f>IFERROR(VLOOKUP(TED[[#This Row],[CENTRO]],'CENTRO DE CUSTO'!B:E,4,FALSE)," ")</f>
        <v>JEFFERSON</v>
      </c>
      <c r="D1120" s="12">
        <v>101</v>
      </c>
      <c r="E1120" s="16">
        <v>101004</v>
      </c>
      <c r="F1120" s="10" t="s">
        <v>1905</v>
      </c>
      <c r="G1120" s="10">
        <v>220</v>
      </c>
      <c r="H1120" s="11">
        <v>45964</v>
      </c>
      <c r="I1120" s="10" t="s">
        <v>21</v>
      </c>
      <c r="J1120" s="12" t="str">
        <f>IF(OR(TED[[#This Row],[SITUACAO]]=1,TED[[#This Row],[SITUACAO]]=9,TED[[#This Row],[SITUACAO]]=18),"ATIVO","AFASTADO")</f>
        <v>ATIVO</v>
      </c>
      <c r="K1120" s="12">
        <v>1</v>
      </c>
    </row>
    <row r="1121" spans="1:11" x14ac:dyDescent="0.25">
      <c r="A1121" s="10">
        <v>9470</v>
      </c>
      <c r="B1121" s="9" t="s">
        <v>1264</v>
      </c>
      <c r="C1121" s="12" t="str">
        <f>IFERROR(VLOOKUP(TED[[#This Row],[CENTRO]],'CENTRO DE CUSTO'!B:E,4,FALSE)," ")</f>
        <v>JEFFERSON</v>
      </c>
      <c r="D1121" s="12">
        <v>101</v>
      </c>
      <c r="E1121" s="16">
        <v>101002</v>
      </c>
      <c r="F1121" s="10" t="s">
        <v>1903</v>
      </c>
      <c r="G1121" s="10">
        <v>220</v>
      </c>
      <c r="H1121" s="11">
        <v>42939</v>
      </c>
      <c r="I1121" s="10" t="s">
        <v>941</v>
      </c>
      <c r="J1121" s="12" t="str">
        <f>IF(OR(TED[[#This Row],[SITUACAO]]=1,TED[[#This Row],[SITUACAO]]=9,TED[[#This Row],[SITUACAO]]=18),"ATIVO","AFASTADO")</f>
        <v>ATIVO</v>
      </c>
      <c r="K1121" s="12">
        <v>1</v>
      </c>
    </row>
    <row r="1122" spans="1:11" x14ac:dyDescent="0.25">
      <c r="A1122" s="10">
        <v>13025</v>
      </c>
      <c r="B1122" s="9" t="s">
        <v>1246</v>
      </c>
      <c r="C1122" s="12" t="str">
        <f>IFERROR(VLOOKUP(TED[[#This Row],[CENTRO]],'CENTRO DE CUSTO'!B:E,4,FALSE)," ")</f>
        <v>JEFFERSON</v>
      </c>
      <c r="D1122" s="12">
        <v>101</v>
      </c>
      <c r="E1122" s="16">
        <v>101002</v>
      </c>
      <c r="F1122" s="10" t="s">
        <v>1903</v>
      </c>
      <c r="G1122" s="10">
        <v>220</v>
      </c>
      <c r="H1122" s="11">
        <v>43661</v>
      </c>
      <c r="I1122" s="10" t="s">
        <v>942</v>
      </c>
      <c r="J1122" s="12" t="str">
        <f>IF(OR(TED[[#This Row],[SITUACAO]]=1,TED[[#This Row],[SITUACAO]]=9,TED[[#This Row],[SITUACAO]]=18),"ATIVO","AFASTADO")</f>
        <v>ATIVO</v>
      </c>
      <c r="K1122" s="12">
        <v>18</v>
      </c>
    </row>
    <row r="1123" spans="1:11" x14ac:dyDescent="0.25">
      <c r="A1123" s="10">
        <v>38548</v>
      </c>
      <c r="B1123" s="9" t="s">
        <v>1321</v>
      </c>
      <c r="C1123" s="12" t="str">
        <f>IFERROR(VLOOKUP(TED[[#This Row],[CENTRO]],'CENTRO DE CUSTO'!B:E,4,FALSE)," ")</f>
        <v>JEFFERSON</v>
      </c>
      <c r="D1123" s="12">
        <v>101</v>
      </c>
      <c r="E1123" s="16">
        <v>101004</v>
      </c>
      <c r="F1123" s="10" t="s">
        <v>1905</v>
      </c>
      <c r="G1123" s="10">
        <v>220</v>
      </c>
      <c r="H1123" s="11">
        <v>45782</v>
      </c>
      <c r="I1123" s="10" t="s">
        <v>937</v>
      </c>
      <c r="J1123" s="12" t="str">
        <f>IF(OR(TED[[#This Row],[SITUACAO]]=1,TED[[#This Row],[SITUACAO]]=9,TED[[#This Row],[SITUACAO]]=18),"ATIVO","AFASTADO")</f>
        <v>ATIVO</v>
      </c>
      <c r="K1123" s="12">
        <v>1</v>
      </c>
    </row>
    <row r="1124" spans="1:11" x14ac:dyDescent="0.25">
      <c r="A1124" s="10">
        <v>33434</v>
      </c>
      <c r="B1124" s="9" t="s">
        <v>1324</v>
      </c>
      <c r="C1124" s="12" t="str">
        <f>IFERROR(VLOOKUP(TED[[#This Row],[CENTRO]],'CENTRO DE CUSTO'!B:E,4,FALSE)," ")</f>
        <v>JEFFERSON</v>
      </c>
      <c r="D1124" s="12">
        <v>101</v>
      </c>
      <c r="E1124" s="16">
        <v>101004</v>
      </c>
      <c r="F1124" s="10" t="s">
        <v>1905</v>
      </c>
      <c r="G1124" s="10">
        <v>220</v>
      </c>
      <c r="H1124" s="11">
        <v>45509</v>
      </c>
      <c r="I1124" s="10" t="s">
        <v>937</v>
      </c>
      <c r="J1124" s="12" t="str">
        <f>IF(OR(TED[[#This Row],[SITUACAO]]=1,TED[[#This Row],[SITUACAO]]=9,TED[[#This Row],[SITUACAO]]=18),"ATIVO","AFASTADO")</f>
        <v>ATIVO</v>
      </c>
      <c r="K1124" s="12">
        <v>1</v>
      </c>
    </row>
    <row r="1125" spans="1:11" x14ac:dyDescent="0.25">
      <c r="A1125" s="10">
        <v>39646</v>
      </c>
      <c r="B1125" s="9" t="s">
        <v>1269</v>
      </c>
      <c r="C1125" s="12" t="str">
        <f>IFERROR(VLOOKUP(TED[[#This Row],[CENTRO]],'CENTRO DE CUSTO'!B:E,4,FALSE)," ")</f>
        <v>JEFFERSON</v>
      </c>
      <c r="D1125" s="12">
        <v>101</v>
      </c>
      <c r="E1125" s="16">
        <v>101003</v>
      </c>
      <c r="F1125" s="10" t="s">
        <v>1904</v>
      </c>
      <c r="G1125" s="10">
        <v>220</v>
      </c>
      <c r="H1125" s="11">
        <v>45855</v>
      </c>
      <c r="I1125" s="10" t="s">
        <v>942</v>
      </c>
      <c r="J1125" s="12" t="str">
        <f>IF(OR(TED[[#This Row],[SITUACAO]]=1,TED[[#This Row],[SITUACAO]]=9,TED[[#This Row],[SITUACAO]]=18),"ATIVO","AFASTADO")</f>
        <v>ATIVO</v>
      </c>
      <c r="K1125" s="12">
        <v>1</v>
      </c>
    </row>
    <row r="1126" spans="1:11" x14ac:dyDescent="0.25">
      <c r="A1126" s="10">
        <v>7369</v>
      </c>
      <c r="B1126" s="9" t="s">
        <v>1275</v>
      </c>
      <c r="C1126" s="12" t="str">
        <f>IFERROR(VLOOKUP(TED[[#This Row],[CENTRO]],'CENTRO DE CUSTO'!B:E,4,FALSE)," ")</f>
        <v>JEFFERSON</v>
      </c>
      <c r="D1126" s="12">
        <v>101</v>
      </c>
      <c r="E1126" s="16">
        <v>101003</v>
      </c>
      <c r="F1126" s="10" t="s">
        <v>1904</v>
      </c>
      <c r="G1126" s="10">
        <v>220</v>
      </c>
      <c r="H1126" s="11">
        <v>42461</v>
      </c>
      <c r="I1126" s="10" t="s">
        <v>948</v>
      </c>
      <c r="J1126" s="12" t="str">
        <f>IF(OR(TED[[#This Row],[SITUACAO]]=1,TED[[#This Row],[SITUACAO]]=9,TED[[#This Row],[SITUACAO]]=18),"ATIVO","AFASTADO")</f>
        <v>AFASTADO</v>
      </c>
      <c r="K1126" s="12">
        <v>6</v>
      </c>
    </row>
    <row r="1127" spans="1:11" x14ac:dyDescent="0.25">
      <c r="A1127" s="10">
        <v>41185</v>
      </c>
      <c r="B1127" s="9" t="s">
        <v>1444</v>
      </c>
      <c r="C1127" s="12" t="str">
        <f>IFERROR(VLOOKUP(TED[[#This Row],[CENTRO]],'CENTRO DE CUSTO'!B:E,4,FALSE)," ")</f>
        <v>JEFFERSON</v>
      </c>
      <c r="D1127" s="12">
        <v>101</v>
      </c>
      <c r="E1127" s="16">
        <v>101006</v>
      </c>
      <c r="F1127" s="10" t="s">
        <v>1907</v>
      </c>
      <c r="G1127" s="10">
        <v>220</v>
      </c>
      <c r="H1127" s="11">
        <v>45918</v>
      </c>
      <c r="I1127" s="10" t="s">
        <v>942</v>
      </c>
      <c r="J1127" s="12" t="str">
        <f>IF(OR(TED[[#This Row],[SITUACAO]]=1,TED[[#This Row],[SITUACAO]]=9,TED[[#This Row],[SITUACAO]]=18),"ATIVO","AFASTADO")</f>
        <v>ATIVO</v>
      </c>
      <c r="K1127" s="12">
        <v>1</v>
      </c>
    </row>
    <row r="1128" spans="1:11" x14ac:dyDescent="0.25">
      <c r="A1128" s="10">
        <v>7418</v>
      </c>
      <c r="B1128" s="9" t="s">
        <v>1526</v>
      </c>
      <c r="C1128" s="12" t="str">
        <f>IFERROR(VLOOKUP(TED[[#This Row],[CENTRO]],'CENTRO DE CUSTO'!B:E,4,FALSE)," ")</f>
        <v>MARCOS</v>
      </c>
      <c r="D1128" s="12">
        <v>101</v>
      </c>
      <c r="E1128" s="16">
        <v>101010</v>
      </c>
      <c r="F1128" s="10" t="s">
        <v>1911</v>
      </c>
      <c r="G1128" s="10">
        <v>220</v>
      </c>
      <c r="H1128" s="11">
        <v>42461</v>
      </c>
      <c r="I1128" s="10" t="s">
        <v>1</v>
      </c>
      <c r="J1128" s="12" t="str">
        <f>IF(OR(TED[[#This Row],[SITUACAO]]=1,TED[[#This Row],[SITUACAO]]=9,TED[[#This Row],[SITUACAO]]=18),"ATIVO","AFASTADO")</f>
        <v>ATIVO</v>
      </c>
      <c r="K1128" s="12">
        <v>1</v>
      </c>
    </row>
    <row r="1129" spans="1:11" x14ac:dyDescent="0.25">
      <c r="A1129" s="10">
        <v>10803</v>
      </c>
      <c r="B1129" s="9" t="s">
        <v>963</v>
      </c>
      <c r="C1129" s="12" t="str">
        <f>IFERROR(VLOOKUP(TED[[#This Row],[CENTRO]],'CENTRO DE CUSTO'!B:E,4,FALSE)," ")</f>
        <v>JEFFERSON</v>
      </c>
      <c r="D1129" s="12">
        <v>101</v>
      </c>
      <c r="E1129" s="16">
        <v>101004</v>
      </c>
      <c r="F1129" s="10" t="s">
        <v>1905</v>
      </c>
      <c r="G1129" s="10">
        <v>220</v>
      </c>
      <c r="H1129" s="11">
        <v>43236</v>
      </c>
      <c r="I1129" s="10" t="s">
        <v>21</v>
      </c>
      <c r="J1129" s="12" t="str">
        <f>IF(OR(TED[[#This Row],[SITUACAO]]=1,TED[[#This Row],[SITUACAO]]=9,TED[[#This Row],[SITUACAO]]=18),"ATIVO","AFASTADO")</f>
        <v>ATIVO</v>
      </c>
      <c r="K1129" s="12">
        <v>1</v>
      </c>
    </row>
    <row r="1130" spans="1:11" x14ac:dyDescent="0.25">
      <c r="A1130" s="10">
        <v>7377</v>
      </c>
      <c r="B1130" s="9" t="s">
        <v>1517</v>
      </c>
      <c r="C1130" s="12" t="str">
        <f>IFERROR(VLOOKUP(TED[[#This Row],[CENTRO]],'CENTRO DE CUSTO'!B:E,4,FALSE)," ")</f>
        <v>MARCOS</v>
      </c>
      <c r="D1130" s="12">
        <v>101</v>
      </c>
      <c r="E1130" s="16">
        <v>101010</v>
      </c>
      <c r="F1130" s="10" t="s">
        <v>1911</v>
      </c>
      <c r="G1130" s="10">
        <v>220</v>
      </c>
      <c r="H1130" s="11">
        <v>42461</v>
      </c>
      <c r="I1130" s="10" t="s">
        <v>941</v>
      </c>
      <c r="J1130" s="12" t="str">
        <f>IF(OR(TED[[#This Row],[SITUACAO]]=1,TED[[#This Row],[SITUACAO]]=9,TED[[#This Row],[SITUACAO]]=18),"ATIVO","AFASTADO")</f>
        <v>ATIVO</v>
      </c>
      <c r="K1130" s="12">
        <v>1</v>
      </c>
    </row>
    <row r="1131" spans="1:11" x14ac:dyDescent="0.25">
      <c r="A1131" s="10">
        <v>31991</v>
      </c>
      <c r="B1131" s="9" t="s">
        <v>1377</v>
      </c>
      <c r="C1131" s="12" t="str">
        <f>IFERROR(VLOOKUP(TED[[#This Row],[CENTRO]],'CENTRO DE CUSTO'!B:E,4,FALSE)," ")</f>
        <v>JEFFERSON</v>
      </c>
      <c r="D1131" s="12">
        <v>101</v>
      </c>
      <c r="E1131" s="16">
        <v>101004</v>
      </c>
      <c r="F1131" s="10" t="s">
        <v>1905</v>
      </c>
      <c r="G1131" s="10">
        <v>220</v>
      </c>
      <c r="H1131" s="11">
        <v>45386</v>
      </c>
      <c r="I1131" s="10" t="s">
        <v>941</v>
      </c>
      <c r="J1131" s="12" t="str">
        <f>IF(OR(TED[[#This Row],[SITUACAO]]=1,TED[[#This Row],[SITUACAO]]=9,TED[[#This Row],[SITUACAO]]=18),"ATIVO","AFASTADO")</f>
        <v>ATIVO</v>
      </c>
      <c r="K1131" s="12">
        <v>1</v>
      </c>
    </row>
    <row r="1132" spans="1:11" x14ac:dyDescent="0.25">
      <c r="A1132" s="10">
        <v>16942</v>
      </c>
      <c r="B1132" s="9" t="s">
        <v>1248</v>
      </c>
      <c r="C1132" s="12" t="str">
        <f>IFERROR(VLOOKUP(TED[[#This Row],[CENTRO]],'CENTRO DE CUSTO'!B:E,4,FALSE)," ")</f>
        <v>JEFFERSON</v>
      </c>
      <c r="D1132" s="12">
        <v>101</v>
      </c>
      <c r="E1132" s="16">
        <v>101002</v>
      </c>
      <c r="F1132" s="10" t="s">
        <v>1903</v>
      </c>
      <c r="G1132" s="10">
        <v>220</v>
      </c>
      <c r="H1132" s="11">
        <v>44370</v>
      </c>
      <c r="I1132" s="10" t="s">
        <v>942</v>
      </c>
      <c r="J1132" s="12" t="str">
        <f>IF(OR(TED[[#This Row],[SITUACAO]]=1,TED[[#This Row],[SITUACAO]]=9,TED[[#This Row],[SITUACAO]]=18),"ATIVO","AFASTADO")</f>
        <v>ATIVO</v>
      </c>
      <c r="K1132" s="12">
        <v>1</v>
      </c>
    </row>
    <row r="1133" spans="1:11" x14ac:dyDescent="0.25">
      <c r="A1133" s="10">
        <v>7433</v>
      </c>
      <c r="B1133" s="9" t="s">
        <v>1544</v>
      </c>
      <c r="C1133" s="12" t="str">
        <f>IFERROR(VLOOKUP(TED[[#This Row],[CENTRO]],'CENTRO DE CUSTO'!B:E,4,FALSE)," ")</f>
        <v>MARCOS</v>
      </c>
      <c r="D1133" s="12">
        <v>101</v>
      </c>
      <c r="E1133" s="16">
        <v>101010</v>
      </c>
      <c r="F1133" s="10" t="s">
        <v>1911</v>
      </c>
      <c r="G1133" s="10">
        <v>220</v>
      </c>
      <c r="H1133" s="11">
        <v>42461</v>
      </c>
      <c r="I1133" s="10" t="s">
        <v>21</v>
      </c>
      <c r="J1133" s="12" t="str">
        <f>IF(OR(TED[[#This Row],[SITUACAO]]=1,TED[[#This Row],[SITUACAO]]=9,TED[[#This Row],[SITUACAO]]=18),"ATIVO","AFASTADO")</f>
        <v>AFASTADO</v>
      </c>
      <c r="K1133" s="12">
        <v>6</v>
      </c>
    </row>
    <row r="1134" spans="1:11" x14ac:dyDescent="0.25">
      <c r="A1134" s="10">
        <v>12757</v>
      </c>
      <c r="B1134" s="9" t="s">
        <v>1441</v>
      </c>
      <c r="C1134" s="12" t="str">
        <f>IFERROR(VLOOKUP(TED[[#This Row],[CENTRO]],'CENTRO DE CUSTO'!B:E,4,FALSE)," ")</f>
        <v>JEFFERSON</v>
      </c>
      <c r="D1134" s="12">
        <v>101</v>
      </c>
      <c r="E1134" s="16">
        <v>101007</v>
      </c>
      <c r="F1134" s="10" t="s">
        <v>1908</v>
      </c>
      <c r="G1134" s="10">
        <v>220</v>
      </c>
      <c r="H1134" s="11">
        <v>43617</v>
      </c>
      <c r="I1134" s="10" t="s">
        <v>1</v>
      </c>
      <c r="J1134" s="12" t="str">
        <f>IF(OR(TED[[#This Row],[SITUACAO]]=1,TED[[#This Row],[SITUACAO]]=9,TED[[#This Row],[SITUACAO]]=18),"ATIVO","AFASTADO")</f>
        <v>ATIVO</v>
      </c>
      <c r="K1134" s="12">
        <v>1</v>
      </c>
    </row>
    <row r="1135" spans="1:11" x14ac:dyDescent="0.25">
      <c r="A1135" s="10">
        <v>10222</v>
      </c>
      <c r="B1135" s="9" t="s">
        <v>1242</v>
      </c>
      <c r="C1135" s="12" t="str">
        <f>IFERROR(VLOOKUP(TED[[#This Row],[CENTRO]],'CENTRO DE CUSTO'!B:E,4,FALSE)," ")</f>
        <v>MARCOS</v>
      </c>
      <c r="D1135" s="12">
        <v>101</v>
      </c>
      <c r="E1135" s="16">
        <v>101001</v>
      </c>
      <c r="F1135" s="10" t="s">
        <v>1902</v>
      </c>
      <c r="G1135" s="10">
        <v>220</v>
      </c>
      <c r="H1135" s="11">
        <v>43132</v>
      </c>
      <c r="I1135" s="10" t="s">
        <v>948</v>
      </c>
      <c r="J1135" s="12" t="str">
        <f>IF(OR(TED[[#This Row],[SITUACAO]]=1,TED[[#This Row],[SITUACAO]]=9,TED[[#This Row],[SITUACAO]]=18),"ATIVO","AFASTADO")</f>
        <v>ATIVO</v>
      </c>
      <c r="K1135" s="12">
        <v>1</v>
      </c>
    </row>
    <row r="1136" spans="1:11" x14ac:dyDescent="0.25">
      <c r="A1136" s="10">
        <v>20507</v>
      </c>
      <c r="B1136" s="9" t="s">
        <v>1564</v>
      </c>
      <c r="C1136" s="12" t="str">
        <f>IFERROR(VLOOKUP(TED[[#This Row],[CENTRO]],'CENTRO DE CUSTO'!B:E,4,FALSE)," ")</f>
        <v>MARCOS</v>
      </c>
      <c r="D1136" s="12">
        <v>101</v>
      </c>
      <c r="E1136" s="16">
        <v>101010</v>
      </c>
      <c r="F1136" s="10" t="s">
        <v>1911</v>
      </c>
      <c r="G1136" s="10">
        <v>220</v>
      </c>
      <c r="H1136" s="11">
        <v>44623</v>
      </c>
      <c r="I1136" s="10" t="s">
        <v>941</v>
      </c>
      <c r="J1136" s="12" t="str">
        <f>IF(OR(TED[[#This Row],[SITUACAO]]=1,TED[[#This Row],[SITUACAO]]=9,TED[[#This Row],[SITUACAO]]=18),"ATIVO","AFASTADO")</f>
        <v>ATIVO</v>
      </c>
      <c r="K1136" s="12">
        <v>1</v>
      </c>
    </row>
    <row r="1137" spans="1:11" x14ac:dyDescent="0.25">
      <c r="A1137" s="10">
        <v>34630</v>
      </c>
      <c r="B1137" s="9" t="s">
        <v>1258</v>
      </c>
      <c r="C1137" s="12" t="str">
        <f>IFERROR(VLOOKUP(TED[[#This Row],[CENTRO]],'CENTRO DE CUSTO'!B:E,4,FALSE)," ")</f>
        <v>JEFFERSON</v>
      </c>
      <c r="D1137" s="12">
        <v>101</v>
      </c>
      <c r="E1137" s="16">
        <v>101002</v>
      </c>
      <c r="F1137" s="10" t="s">
        <v>1903</v>
      </c>
      <c r="G1137" s="10">
        <v>220</v>
      </c>
      <c r="H1137" s="11">
        <v>45614</v>
      </c>
      <c r="I1137" s="10" t="s">
        <v>947</v>
      </c>
      <c r="J1137" s="12" t="str">
        <f>IF(OR(TED[[#This Row],[SITUACAO]]=1,TED[[#This Row],[SITUACAO]]=9,TED[[#This Row],[SITUACAO]]=18),"ATIVO","AFASTADO")</f>
        <v>ATIVO</v>
      </c>
      <c r="K1137" s="12">
        <v>1</v>
      </c>
    </row>
    <row r="1138" spans="1:11" x14ac:dyDescent="0.25">
      <c r="A1138" s="10">
        <v>27363</v>
      </c>
      <c r="B1138" s="9" t="s">
        <v>1348</v>
      </c>
      <c r="C1138" s="12" t="str">
        <f>IFERROR(VLOOKUP(TED[[#This Row],[CENTRO]],'CENTRO DE CUSTO'!B:E,4,FALSE)," ")</f>
        <v>JEFFERSON</v>
      </c>
      <c r="D1138" s="12">
        <v>101</v>
      </c>
      <c r="E1138" s="16">
        <v>101004</v>
      </c>
      <c r="F1138" s="10" t="s">
        <v>1905</v>
      </c>
      <c r="G1138" s="10">
        <v>220</v>
      </c>
      <c r="H1138" s="11">
        <v>45079</v>
      </c>
      <c r="I1138" s="10" t="s">
        <v>937</v>
      </c>
      <c r="J1138" s="12" t="str">
        <f>IF(OR(TED[[#This Row],[SITUACAO]]=1,TED[[#This Row],[SITUACAO]]=9,TED[[#This Row],[SITUACAO]]=18),"ATIVO","AFASTADO")</f>
        <v>ATIVO</v>
      </c>
      <c r="K1138" s="12">
        <v>1</v>
      </c>
    </row>
    <row r="1139" spans="1:11" x14ac:dyDescent="0.25">
      <c r="A1139" s="10">
        <v>7486</v>
      </c>
      <c r="B1139" s="9" t="s">
        <v>1282</v>
      </c>
      <c r="C1139" s="12" t="str">
        <f>IFERROR(VLOOKUP(TED[[#This Row],[CENTRO]],'CENTRO DE CUSTO'!B:E,4,FALSE)," ")</f>
        <v>JEFFERSON</v>
      </c>
      <c r="D1139" s="12">
        <v>101</v>
      </c>
      <c r="E1139" s="16">
        <v>101004</v>
      </c>
      <c r="F1139" s="10" t="s">
        <v>1905</v>
      </c>
      <c r="G1139" s="10">
        <v>220</v>
      </c>
      <c r="H1139" s="11">
        <v>42492</v>
      </c>
      <c r="I1139" s="10" t="s">
        <v>937</v>
      </c>
      <c r="J1139" s="12" t="str">
        <f>IF(OR(TED[[#This Row],[SITUACAO]]=1,TED[[#This Row],[SITUACAO]]=9,TED[[#This Row],[SITUACAO]]=18),"ATIVO","AFASTADO")</f>
        <v>ATIVO</v>
      </c>
      <c r="K1139" s="12">
        <v>1</v>
      </c>
    </row>
    <row r="1140" spans="1:11" x14ac:dyDescent="0.25">
      <c r="A1140" s="10">
        <v>7482</v>
      </c>
      <c r="B1140" s="9" t="s">
        <v>1315</v>
      </c>
      <c r="C1140" s="12" t="str">
        <f>IFERROR(VLOOKUP(TED[[#This Row],[CENTRO]],'CENTRO DE CUSTO'!B:E,4,FALSE)," ")</f>
        <v>JEFFERSON</v>
      </c>
      <c r="D1140" s="12">
        <v>101</v>
      </c>
      <c r="E1140" s="16">
        <v>101004</v>
      </c>
      <c r="F1140" s="10" t="s">
        <v>1905</v>
      </c>
      <c r="G1140" s="10">
        <v>220</v>
      </c>
      <c r="H1140" s="11">
        <v>42492</v>
      </c>
      <c r="I1140" s="10" t="s">
        <v>937</v>
      </c>
      <c r="J1140" s="12" t="str">
        <f>IF(OR(TED[[#This Row],[SITUACAO]]=1,TED[[#This Row],[SITUACAO]]=9,TED[[#This Row],[SITUACAO]]=18),"ATIVO","AFASTADO")</f>
        <v>ATIVO</v>
      </c>
      <c r="K1140" s="12">
        <v>1</v>
      </c>
    </row>
    <row r="1141" spans="1:11" x14ac:dyDescent="0.25">
      <c r="A1141" s="10">
        <v>27557</v>
      </c>
      <c r="B1141" s="9" t="s">
        <v>1573</v>
      </c>
      <c r="C1141" s="12" t="str">
        <f>IFERROR(VLOOKUP(TED[[#This Row],[CENTRO]],'CENTRO DE CUSTO'!B:E,4,FALSE)," ")</f>
        <v>MARCOS</v>
      </c>
      <c r="D1141" s="12">
        <v>101</v>
      </c>
      <c r="E1141" s="16">
        <v>101011</v>
      </c>
      <c r="F1141" s="10" t="s">
        <v>1912</v>
      </c>
      <c r="G1141" s="10">
        <v>220</v>
      </c>
      <c r="H1141" s="11">
        <v>45092</v>
      </c>
      <c r="I1141" s="10" t="s">
        <v>1</v>
      </c>
      <c r="J1141" s="12" t="str">
        <f>IF(OR(TED[[#This Row],[SITUACAO]]=1,TED[[#This Row],[SITUACAO]]=9,TED[[#This Row],[SITUACAO]]=18),"ATIVO","AFASTADO")</f>
        <v>ATIVO</v>
      </c>
      <c r="K1141" s="12">
        <v>1</v>
      </c>
    </row>
    <row r="1142" spans="1:11" x14ac:dyDescent="0.25">
      <c r="A1142" s="10">
        <v>41883</v>
      </c>
      <c r="B1142" s="9" t="s">
        <v>1188</v>
      </c>
      <c r="C1142" s="12" t="str">
        <f>IFERROR(VLOOKUP(TED[[#This Row],[CENTRO]],'CENTRO DE CUSTO'!B:E,4,FALSE)," ")</f>
        <v>MARCOS</v>
      </c>
      <c r="D1142" s="12">
        <v>101</v>
      </c>
      <c r="E1142" s="16">
        <v>101001</v>
      </c>
      <c r="F1142" s="10" t="s">
        <v>1902</v>
      </c>
      <c r="G1142" s="10">
        <v>220</v>
      </c>
      <c r="H1142" s="11">
        <v>45959</v>
      </c>
      <c r="I1142" s="10" t="s">
        <v>1</v>
      </c>
      <c r="J1142" s="12" t="str">
        <f>IF(OR(TED[[#This Row],[SITUACAO]]=1,TED[[#This Row],[SITUACAO]]=9,TED[[#This Row],[SITUACAO]]=18),"ATIVO","AFASTADO")</f>
        <v>ATIVO</v>
      </c>
      <c r="K1142" s="12">
        <v>1</v>
      </c>
    </row>
    <row r="1143" spans="1:11" x14ac:dyDescent="0.25">
      <c r="A1143" s="10">
        <v>12704</v>
      </c>
      <c r="B1143" s="9" t="s">
        <v>1320</v>
      </c>
      <c r="C1143" s="12" t="str">
        <f>IFERROR(VLOOKUP(TED[[#This Row],[CENTRO]],'CENTRO DE CUSTO'!B:E,4,FALSE)," ")</f>
        <v>JEFFERSON</v>
      </c>
      <c r="D1143" s="12">
        <v>101</v>
      </c>
      <c r="E1143" s="16">
        <v>101004</v>
      </c>
      <c r="F1143" s="10" t="s">
        <v>1905</v>
      </c>
      <c r="G1143" s="10">
        <v>220</v>
      </c>
      <c r="H1143" s="11">
        <v>43594</v>
      </c>
      <c r="I1143" s="10" t="s">
        <v>1</v>
      </c>
      <c r="J1143" s="12" t="str">
        <f>IF(OR(TED[[#This Row],[SITUACAO]]=1,TED[[#This Row],[SITUACAO]]=9,TED[[#This Row],[SITUACAO]]=18),"ATIVO","AFASTADO")</f>
        <v>ATIVO</v>
      </c>
      <c r="K1143" s="12">
        <v>1</v>
      </c>
    </row>
    <row r="1144" spans="1:11" x14ac:dyDescent="0.25">
      <c r="A1144" s="10">
        <v>37178</v>
      </c>
      <c r="B1144" s="9" t="s">
        <v>1287</v>
      </c>
      <c r="C1144" s="12" t="str">
        <f>IFERROR(VLOOKUP(TED[[#This Row],[CENTRO]],'CENTRO DE CUSTO'!B:E,4,FALSE)," ")</f>
        <v>JEFFERSON</v>
      </c>
      <c r="D1144" s="12">
        <v>101</v>
      </c>
      <c r="E1144" s="16">
        <v>101004</v>
      </c>
      <c r="F1144" s="10" t="s">
        <v>1905</v>
      </c>
      <c r="G1144" s="10">
        <v>220</v>
      </c>
      <c r="H1144" s="11">
        <v>45707</v>
      </c>
      <c r="I1144" s="10" t="s">
        <v>948</v>
      </c>
      <c r="J1144" s="12" t="str">
        <f>IF(OR(TED[[#This Row],[SITUACAO]]=1,TED[[#This Row],[SITUACAO]]=9,TED[[#This Row],[SITUACAO]]=18),"ATIVO","AFASTADO")</f>
        <v>ATIVO</v>
      </c>
      <c r="K1144" s="12">
        <v>1</v>
      </c>
    </row>
    <row r="1145" spans="1:11" x14ac:dyDescent="0.25">
      <c r="A1145" s="10">
        <v>8709</v>
      </c>
      <c r="B1145" s="9" t="s">
        <v>1265</v>
      </c>
      <c r="C1145" s="12" t="str">
        <f>IFERROR(VLOOKUP(TED[[#This Row],[CENTRO]],'CENTRO DE CUSTO'!B:E,4,FALSE)," ")</f>
        <v>JEFFERSON</v>
      </c>
      <c r="D1145" s="12">
        <v>101</v>
      </c>
      <c r="E1145" s="16">
        <v>101002</v>
      </c>
      <c r="F1145" s="10" t="s">
        <v>1903</v>
      </c>
      <c r="G1145" s="10">
        <v>220</v>
      </c>
      <c r="H1145" s="11">
        <v>42772</v>
      </c>
      <c r="I1145" s="10" t="s">
        <v>1</v>
      </c>
      <c r="J1145" s="12" t="str">
        <f>IF(OR(TED[[#This Row],[SITUACAO]]=1,TED[[#This Row],[SITUACAO]]=9,TED[[#This Row],[SITUACAO]]=18),"ATIVO","AFASTADO")</f>
        <v>ATIVO</v>
      </c>
      <c r="K1145" s="12">
        <v>1</v>
      </c>
    </row>
    <row r="1146" spans="1:11" x14ac:dyDescent="0.25">
      <c r="A1146" s="10">
        <v>43478</v>
      </c>
      <c r="B1146" s="9" t="s">
        <v>2074</v>
      </c>
      <c r="C1146" s="12" t="str">
        <f>IFERROR(VLOOKUP(TED[[#This Row],[CENTRO]],'CENTRO DE CUSTO'!B:E,4,FALSE)," ")</f>
        <v>JEFFERSON</v>
      </c>
      <c r="D1146" s="12">
        <v>101</v>
      </c>
      <c r="E1146" s="16">
        <v>101004</v>
      </c>
      <c r="F1146" s="10" t="s">
        <v>1905</v>
      </c>
      <c r="G1146" s="10">
        <v>220</v>
      </c>
      <c r="H1146" s="11">
        <v>46050</v>
      </c>
      <c r="I1146" s="10" t="s">
        <v>21</v>
      </c>
      <c r="J1146" s="12" t="str">
        <f>IF(OR(TED[[#This Row],[SITUACAO]]=1,TED[[#This Row],[SITUACAO]]=9,TED[[#This Row],[SITUACAO]]=18),"ATIVO","AFASTADO")</f>
        <v>ATIVO</v>
      </c>
      <c r="K1146" s="12">
        <v>1</v>
      </c>
    </row>
    <row r="1147" spans="1:11" x14ac:dyDescent="0.25">
      <c r="A1147" s="10">
        <v>9031</v>
      </c>
      <c r="B1147" s="9" t="s">
        <v>962</v>
      </c>
      <c r="C1147" s="12" t="str">
        <f>IFERROR(VLOOKUP(TED[[#This Row],[CENTRO]],'CENTRO DE CUSTO'!B:E,4,FALSE)," ")</f>
        <v>JEFFERSON</v>
      </c>
      <c r="D1147" s="12">
        <v>101</v>
      </c>
      <c r="E1147" s="16">
        <v>101004</v>
      </c>
      <c r="F1147" s="10" t="s">
        <v>1905</v>
      </c>
      <c r="G1147" s="10">
        <v>220</v>
      </c>
      <c r="H1147" s="11">
        <v>42837</v>
      </c>
      <c r="I1147" s="10" t="s">
        <v>948</v>
      </c>
      <c r="J1147" s="12" t="str">
        <f>IF(OR(TED[[#This Row],[SITUACAO]]=1,TED[[#This Row],[SITUACAO]]=9,TED[[#This Row],[SITUACAO]]=18),"ATIVO","AFASTADO")</f>
        <v>ATIVO</v>
      </c>
      <c r="K1147" s="12">
        <v>1</v>
      </c>
    </row>
    <row r="1148" spans="1:11" x14ac:dyDescent="0.25">
      <c r="A1148" s="10">
        <v>41756</v>
      </c>
      <c r="B1148" s="9" t="s">
        <v>1506</v>
      </c>
      <c r="C1148" s="12" t="str">
        <f>IFERROR(VLOOKUP(TED[[#This Row],[CENTRO]],'CENTRO DE CUSTO'!B:E,4,FALSE)," ")</f>
        <v>MARCOS</v>
      </c>
      <c r="D1148" s="12">
        <v>101</v>
      </c>
      <c r="E1148" s="16">
        <v>101008</v>
      </c>
      <c r="F1148" s="10" t="s">
        <v>1909</v>
      </c>
      <c r="G1148" s="10">
        <v>220</v>
      </c>
      <c r="H1148" s="11">
        <v>45951</v>
      </c>
      <c r="I1148" s="10" t="s">
        <v>947</v>
      </c>
      <c r="J1148" s="12" t="str">
        <f>IF(OR(TED[[#This Row],[SITUACAO]]=1,TED[[#This Row],[SITUACAO]]=9,TED[[#This Row],[SITUACAO]]=18),"ATIVO","AFASTADO")</f>
        <v>ATIVO</v>
      </c>
      <c r="K1148" s="12">
        <v>1</v>
      </c>
    </row>
    <row r="1149" spans="1:11" x14ac:dyDescent="0.25">
      <c r="A1149" s="10">
        <v>44265</v>
      </c>
      <c r="B1149" s="9" t="s">
        <v>2107</v>
      </c>
      <c r="C1149" s="12" t="str">
        <f>IFERROR(VLOOKUP(TED[[#This Row],[CENTRO]],'CENTRO DE CUSTO'!B:E,4,FALSE)," ")</f>
        <v>MARCOS</v>
      </c>
      <c r="D1149" s="12">
        <v>101</v>
      </c>
      <c r="E1149" s="16">
        <v>101001</v>
      </c>
      <c r="F1149" s="10" t="s">
        <v>1902</v>
      </c>
      <c r="G1149" s="10">
        <v>220</v>
      </c>
      <c r="H1149" s="11">
        <v>46083</v>
      </c>
      <c r="I1149" s="10" t="s">
        <v>935</v>
      </c>
      <c r="J1149" s="12" t="str">
        <f>IF(OR(TED[[#This Row],[SITUACAO]]=1,TED[[#This Row],[SITUACAO]]=9,TED[[#This Row],[SITUACAO]]=18),"ATIVO","AFASTADO")</f>
        <v>ATIVO</v>
      </c>
      <c r="K1149" s="12">
        <v>1</v>
      </c>
    </row>
    <row r="1150" spans="1:11" x14ac:dyDescent="0.25">
      <c r="A1150" s="10">
        <v>21204</v>
      </c>
      <c r="B1150" s="9" t="s">
        <v>1479</v>
      </c>
      <c r="C1150" s="12" t="str">
        <f>IFERROR(VLOOKUP(TED[[#This Row],[CENTRO]],'CENTRO DE CUSTO'!B:E,4,FALSE)," ")</f>
        <v>JEFFERSON</v>
      </c>
      <c r="D1150" s="12">
        <v>101</v>
      </c>
      <c r="E1150" s="16">
        <v>101007</v>
      </c>
      <c r="F1150" s="10" t="s">
        <v>1908</v>
      </c>
      <c r="G1150" s="10">
        <v>220</v>
      </c>
      <c r="H1150" s="11">
        <v>44701</v>
      </c>
      <c r="I1150" s="10" t="s">
        <v>947</v>
      </c>
      <c r="J1150" s="12" t="str">
        <f>IF(OR(TED[[#This Row],[SITUACAO]]=1,TED[[#This Row],[SITUACAO]]=9,TED[[#This Row],[SITUACAO]]=18),"ATIVO","AFASTADO")</f>
        <v>ATIVO</v>
      </c>
      <c r="K1150" s="12">
        <v>1</v>
      </c>
    </row>
    <row r="1151" spans="1:11" x14ac:dyDescent="0.25">
      <c r="A1151" s="10">
        <v>7429</v>
      </c>
      <c r="B1151" s="9" t="s">
        <v>1284</v>
      </c>
      <c r="C1151" s="12" t="str">
        <f>IFERROR(VLOOKUP(TED[[#This Row],[CENTRO]],'CENTRO DE CUSTO'!B:E,4,FALSE)," ")</f>
        <v>JEFFERSON</v>
      </c>
      <c r="D1151" s="12">
        <v>101</v>
      </c>
      <c r="E1151" s="16">
        <v>101004</v>
      </c>
      <c r="F1151" s="10" t="s">
        <v>1905</v>
      </c>
      <c r="G1151" s="10">
        <v>220</v>
      </c>
      <c r="H1151" s="11">
        <v>42461</v>
      </c>
      <c r="I1151" s="10" t="s">
        <v>1</v>
      </c>
      <c r="J1151" s="12" t="str">
        <f>IF(OR(TED[[#This Row],[SITUACAO]]=1,TED[[#This Row],[SITUACAO]]=9,TED[[#This Row],[SITUACAO]]=18),"ATIVO","AFASTADO")</f>
        <v>ATIVO</v>
      </c>
      <c r="K1151" s="12">
        <v>1</v>
      </c>
    </row>
    <row r="1152" spans="1:11" x14ac:dyDescent="0.25">
      <c r="A1152" s="10">
        <v>37781</v>
      </c>
      <c r="B1152" s="9" t="s">
        <v>1480</v>
      </c>
      <c r="C1152" s="12" t="str">
        <f>IFERROR(VLOOKUP(TED[[#This Row],[CENTRO]],'CENTRO DE CUSTO'!B:E,4,FALSE)," ")</f>
        <v>JEFFERSON</v>
      </c>
      <c r="D1152" s="12">
        <v>101</v>
      </c>
      <c r="E1152" s="16">
        <v>101007</v>
      </c>
      <c r="F1152" s="10" t="s">
        <v>1908</v>
      </c>
      <c r="G1152" s="10">
        <v>220</v>
      </c>
      <c r="H1152" s="11">
        <v>45735</v>
      </c>
      <c r="I1152" s="10" t="s">
        <v>961</v>
      </c>
      <c r="J1152" s="12" t="str">
        <f>IF(OR(TED[[#This Row],[SITUACAO]]=1,TED[[#This Row],[SITUACAO]]=9,TED[[#This Row],[SITUACAO]]=18),"ATIVO","AFASTADO")</f>
        <v>ATIVO</v>
      </c>
      <c r="K1152" s="12">
        <v>9</v>
      </c>
    </row>
    <row r="1153" spans="1:11" x14ac:dyDescent="0.25">
      <c r="A1153" s="10">
        <v>23685</v>
      </c>
      <c r="B1153" s="9" t="s">
        <v>1233</v>
      </c>
      <c r="C1153" s="12" t="str">
        <f>IFERROR(VLOOKUP(TED[[#This Row],[CENTRO]],'CENTRO DE CUSTO'!B:E,4,FALSE)," ")</f>
        <v>MARCOS</v>
      </c>
      <c r="D1153" s="12">
        <v>101</v>
      </c>
      <c r="E1153" s="16">
        <v>101001</v>
      </c>
      <c r="F1153" s="10" t="s">
        <v>1902</v>
      </c>
      <c r="G1153" s="10">
        <v>220</v>
      </c>
      <c r="H1153" s="11">
        <v>44847</v>
      </c>
      <c r="I1153" s="10" t="s">
        <v>947</v>
      </c>
      <c r="J1153" s="12" t="str">
        <f>IF(OR(TED[[#This Row],[SITUACAO]]=1,TED[[#This Row],[SITUACAO]]=9,TED[[#This Row],[SITUACAO]]=18),"ATIVO","AFASTADO")</f>
        <v>ATIVO</v>
      </c>
      <c r="K1153" s="12">
        <v>1</v>
      </c>
    </row>
    <row r="1154" spans="1:11" x14ac:dyDescent="0.25">
      <c r="A1154" s="10">
        <v>11212</v>
      </c>
      <c r="B1154" s="9" t="s">
        <v>1237</v>
      </c>
      <c r="C1154" s="12" t="str">
        <f>IFERROR(VLOOKUP(TED[[#This Row],[CENTRO]],'CENTRO DE CUSTO'!B:E,4,FALSE)," ")</f>
        <v>MARCOS</v>
      </c>
      <c r="D1154" s="12">
        <v>101</v>
      </c>
      <c r="E1154" s="16">
        <v>101001</v>
      </c>
      <c r="F1154" s="10" t="s">
        <v>1902</v>
      </c>
      <c r="G1154" s="10">
        <v>220</v>
      </c>
      <c r="H1154" s="11">
        <v>43363</v>
      </c>
      <c r="I1154" s="10" t="s">
        <v>935</v>
      </c>
      <c r="J1154" s="12" t="str">
        <f>IF(OR(TED[[#This Row],[SITUACAO]]=1,TED[[#This Row],[SITUACAO]]=9,TED[[#This Row],[SITUACAO]]=18),"ATIVO","AFASTADO")</f>
        <v>ATIVO</v>
      </c>
      <c r="K1154" s="12">
        <v>9</v>
      </c>
    </row>
    <row r="1155" spans="1:11" x14ac:dyDescent="0.25">
      <c r="A1155" s="10">
        <v>33797</v>
      </c>
      <c r="B1155" s="9" t="s">
        <v>1345</v>
      </c>
      <c r="C1155" s="12" t="str">
        <f>IFERROR(VLOOKUP(TED[[#This Row],[CENTRO]],'CENTRO DE CUSTO'!B:E,4,FALSE)," ")</f>
        <v>JEFFERSON</v>
      </c>
      <c r="D1155" s="12">
        <v>101</v>
      </c>
      <c r="E1155" s="16">
        <v>101004</v>
      </c>
      <c r="F1155" s="10" t="s">
        <v>1905</v>
      </c>
      <c r="G1155" s="10">
        <v>220</v>
      </c>
      <c r="H1155" s="11">
        <v>45545</v>
      </c>
      <c r="I1155" s="10" t="s">
        <v>948</v>
      </c>
      <c r="J1155" s="12" t="str">
        <f>IF(OR(TED[[#This Row],[SITUACAO]]=1,TED[[#This Row],[SITUACAO]]=9,TED[[#This Row],[SITUACAO]]=18),"ATIVO","AFASTADO")</f>
        <v>ATIVO</v>
      </c>
      <c r="K1155" s="12">
        <v>1</v>
      </c>
    </row>
    <row r="1156" spans="1:11" x14ac:dyDescent="0.25">
      <c r="A1156" s="10">
        <v>38495</v>
      </c>
      <c r="B1156" s="9" t="s">
        <v>1219</v>
      </c>
      <c r="C1156" s="12" t="str">
        <f>IFERROR(VLOOKUP(TED[[#This Row],[CENTRO]],'CENTRO DE CUSTO'!B:E,4,FALSE)," ")</f>
        <v>MARCOS</v>
      </c>
      <c r="D1156" s="12">
        <v>101</v>
      </c>
      <c r="E1156" s="16">
        <v>101001</v>
      </c>
      <c r="F1156" s="10" t="s">
        <v>1902</v>
      </c>
      <c r="G1156" s="10">
        <v>220</v>
      </c>
      <c r="H1156" s="11">
        <v>45775</v>
      </c>
      <c r="I1156" s="10" t="s">
        <v>947</v>
      </c>
      <c r="J1156" s="12" t="str">
        <f>IF(OR(TED[[#This Row],[SITUACAO]]=1,TED[[#This Row],[SITUACAO]]=9,TED[[#This Row],[SITUACAO]]=18),"ATIVO","AFASTADO")</f>
        <v>ATIVO</v>
      </c>
      <c r="K1156" s="12">
        <v>1</v>
      </c>
    </row>
    <row r="1157" spans="1:11" x14ac:dyDescent="0.25">
      <c r="A1157" s="10">
        <v>7483</v>
      </c>
      <c r="B1157" s="9" t="s">
        <v>1418</v>
      </c>
      <c r="C1157" s="12" t="str">
        <f>IFERROR(VLOOKUP(TED[[#This Row],[CENTRO]],'CENTRO DE CUSTO'!B:E,4,FALSE)," ")</f>
        <v>MARCOS</v>
      </c>
      <c r="D1157" s="12">
        <v>101</v>
      </c>
      <c r="E1157" s="16">
        <v>101005</v>
      </c>
      <c r="F1157" s="10" t="s">
        <v>1906</v>
      </c>
      <c r="G1157" s="10">
        <v>220</v>
      </c>
      <c r="H1157" s="11">
        <v>42492</v>
      </c>
      <c r="I1157" s="10" t="s">
        <v>1</v>
      </c>
      <c r="J1157" s="12" t="str">
        <f>IF(OR(TED[[#This Row],[SITUACAO]]=1,TED[[#This Row],[SITUACAO]]=9,TED[[#This Row],[SITUACAO]]=18),"ATIVO","AFASTADO")</f>
        <v>ATIVO</v>
      </c>
      <c r="K1157" s="12">
        <v>1</v>
      </c>
    </row>
    <row r="1158" spans="1:11" x14ac:dyDescent="0.25">
      <c r="A1158" s="10">
        <v>38518</v>
      </c>
      <c r="B1158" s="9" t="s">
        <v>1416</v>
      </c>
      <c r="C1158" s="12" t="str">
        <f>IFERROR(VLOOKUP(TED[[#This Row],[CENTRO]],'CENTRO DE CUSTO'!B:E,4,FALSE)," ")</f>
        <v>MARCOS</v>
      </c>
      <c r="D1158" s="12">
        <v>101</v>
      </c>
      <c r="E1158" s="16">
        <v>101005</v>
      </c>
      <c r="F1158" s="10" t="s">
        <v>1906</v>
      </c>
      <c r="G1158" s="10">
        <v>220</v>
      </c>
      <c r="H1158" s="11">
        <v>45778</v>
      </c>
      <c r="I1158" s="10" t="s">
        <v>942</v>
      </c>
      <c r="J1158" s="12" t="str">
        <f>IF(OR(TED[[#This Row],[SITUACAO]]=1,TED[[#This Row],[SITUACAO]]=9,TED[[#This Row],[SITUACAO]]=18),"ATIVO","AFASTADO")</f>
        <v>ATIVO</v>
      </c>
      <c r="K1158" s="12">
        <v>1</v>
      </c>
    </row>
    <row r="1159" spans="1:11" x14ac:dyDescent="0.25">
      <c r="A1159" s="10">
        <v>46175</v>
      </c>
      <c r="B1159" s="9" t="s">
        <v>2346</v>
      </c>
      <c r="C1159" s="12" t="str">
        <f>IFERROR(VLOOKUP(TED[[#This Row],[CENTRO]],'CENTRO DE CUSTO'!B:E,4,FALSE)," ")</f>
        <v>JEFFERSON</v>
      </c>
      <c r="D1159" s="12">
        <v>101</v>
      </c>
      <c r="E1159" s="16">
        <v>101004</v>
      </c>
      <c r="F1159" s="10" t="s">
        <v>1905</v>
      </c>
      <c r="G1159" s="10">
        <v>220</v>
      </c>
      <c r="H1159" s="11">
        <v>46185</v>
      </c>
      <c r="I1159" s="10" t="s">
        <v>937</v>
      </c>
      <c r="J1159" s="12" t="str">
        <f>IF(OR(TED[[#This Row],[SITUACAO]]=1,TED[[#This Row],[SITUACAO]]=9,TED[[#This Row],[SITUACAO]]=18),"ATIVO","AFASTADO")</f>
        <v>ATIVO</v>
      </c>
      <c r="K1159" s="12">
        <v>1</v>
      </c>
    </row>
    <row r="1160" spans="1:11" x14ac:dyDescent="0.25">
      <c r="A1160" s="10">
        <v>27380</v>
      </c>
      <c r="B1160" s="9" t="s">
        <v>1277</v>
      </c>
      <c r="C1160" s="12" t="str">
        <f>IFERROR(VLOOKUP(TED[[#This Row],[CENTRO]],'CENTRO DE CUSTO'!B:E,4,FALSE)," ")</f>
        <v>JEFFERSON</v>
      </c>
      <c r="D1160" s="12">
        <v>101</v>
      </c>
      <c r="E1160" s="16">
        <v>101003</v>
      </c>
      <c r="F1160" s="10" t="s">
        <v>1904</v>
      </c>
      <c r="G1160" s="10">
        <v>220</v>
      </c>
      <c r="H1160" s="11">
        <v>45079</v>
      </c>
      <c r="I1160" s="10" t="s">
        <v>947</v>
      </c>
      <c r="J1160" s="12" t="str">
        <f>IF(OR(TED[[#This Row],[SITUACAO]]=1,TED[[#This Row],[SITUACAO]]=9,TED[[#This Row],[SITUACAO]]=18),"ATIVO","AFASTADO")</f>
        <v>ATIVO</v>
      </c>
      <c r="K1160" s="12">
        <v>1</v>
      </c>
    </row>
    <row r="1161" spans="1:11" x14ac:dyDescent="0.25">
      <c r="A1161" s="10">
        <v>7336</v>
      </c>
      <c r="B1161" s="9" t="s">
        <v>1433</v>
      </c>
      <c r="C1161" s="12" t="str">
        <f>IFERROR(VLOOKUP(TED[[#This Row],[CENTRO]],'CENTRO DE CUSTO'!B:E,4,FALSE)," ")</f>
        <v>MARCOS</v>
      </c>
      <c r="D1161" s="12">
        <v>101</v>
      </c>
      <c r="E1161" s="16">
        <v>101005</v>
      </c>
      <c r="F1161" s="10" t="s">
        <v>1906</v>
      </c>
      <c r="G1161" s="10">
        <v>220</v>
      </c>
      <c r="H1161" s="11">
        <v>42461</v>
      </c>
      <c r="I1161" s="10" t="s">
        <v>1</v>
      </c>
      <c r="J1161" s="12" t="str">
        <f>IF(OR(TED[[#This Row],[SITUACAO]]=1,TED[[#This Row],[SITUACAO]]=9,TED[[#This Row],[SITUACAO]]=18),"ATIVO","AFASTADO")</f>
        <v>ATIVO</v>
      </c>
      <c r="K1161" s="12">
        <v>1</v>
      </c>
    </row>
    <row r="1162" spans="1:11" x14ac:dyDescent="0.25">
      <c r="A1162" s="10">
        <v>43042</v>
      </c>
      <c r="B1162" s="9" t="s">
        <v>1475</v>
      </c>
      <c r="C1162" s="12" t="str">
        <f>IFERROR(VLOOKUP(TED[[#This Row],[CENTRO]],'CENTRO DE CUSTO'!B:E,4,FALSE)," ")</f>
        <v>JEFFERSON</v>
      </c>
      <c r="D1162" s="12">
        <v>101</v>
      </c>
      <c r="E1162" s="16">
        <v>101007</v>
      </c>
      <c r="F1162" s="10" t="s">
        <v>1908</v>
      </c>
      <c r="G1162" s="10">
        <v>220</v>
      </c>
      <c r="H1162" s="11">
        <v>46007</v>
      </c>
      <c r="I1162" s="10" t="s">
        <v>947</v>
      </c>
      <c r="J1162" s="12" t="str">
        <f>IF(OR(TED[[#This Row],[SITUACAO]]=1,TED[[#This Row],[SITUACAO]]=9,TED[[#This Row],[SITUACAO]]=18),"ATIVO","AFASTADO")</f>
        <v>ATIVO</v>
      </c>
      <c r="K1162" s="12">
        <v>1</v>
      </c>
    </row>
    <row r="1163" spans="1:11" x14ac:dyDescent="0.25">
      <c r="A1163" s="10">
        <v>44566</v>
      </c>
      <c r="B1163" s="9" t="s">
        <v>2130</v>
      </c>
      <c r="C1163" s="12" t="str">
        <f>IFERROR(VLOOKUP(TED[[#This Row],[CENTRO]],'CENTRO DE CUSTO'!B:E,4,FALSE)," ")</f>
        <v>MARCOS</v>
      </c>
      <c r="D1163" s="12">
        <v>101</v>
      </c>
      <c r="E1163" s="16">
        <v>101011</v>
      </c>
      <c r="F1163" s="10" t="s">
        <v>1912</v>
      </c>
      <c r="G1163" s="10">
        <v>220</v>
      </c>
      <c r="H1163" s="11">
        <v>46097</v>
      </c>
      <c r="I1163" s="10" t="s">
        <v>1</v>
      </c>
      <c r="J1163" s="12" t="str">
        <f>IF(OR(TED[[#This Row],[SITUACAO]]=1,TED[[#This Row],[SITUACAO]]=9,TED[[#This Row],[SITUACAO]]=18),"ATIVO","AFASTADO")</f>
        <v>ATIVO</v>
      </c>
      <c r="K1163" s="12">
        <v>1</v>
      </c>
    </row>
    <row r="1164" spans="1:11" x14ac:dyDescent="0.25">
      <c r="A1164" s="10">
        <v>45886</v>
      </c>
      <c r="B1164" s="9" t="s">
        <v>2236</v>
      </c>
      <c r="C1164" s="12" t="str">
        <f>IFERROR(VLOOKUP(TED[[#This Row],[CENTRO]],'CENTRO DE CUSTO'!B:E,4,FALSE)," ")</f>
        <v>MARCOS</v>
      </c>
      <c r="D1164" s="12">
        <v>101</v>
      </c>
      <c r="E1164" s="16">
        <v>101010</v>
      </c>
      <c r="F1164" s="10" t="s">
        <v>1911</v>
      </c>
      <c r="G1164" s="10">
        <v>220</v>
      </c>
      <c r="H1164" s="11">
        <v>46167</v>
      </c>
      <c r="I1164" s="10" t="s">
        <v>937</v>
      </c>
      <c r="J1164" s="12" t="str">
        <f>IF(OR(TED[[#This Row],[SITUACAO]]=1,TED[[#This Row],[SITUACAO]]=9,TED[[#This Row],[SITUACAO]]=18),"ATIVO","AFASTADO")</f>
        <v>ATIVO</v>
      </c>
      <c r="K1164" s="12">
        <v>1</v>
      </c>
    </row>
    <row r="1165" spans="1:11" x14ac:dyDescent="0.25">
      <c r="A1165" s="10">
        <v>7393</v>
      </c>
      <c r="B1165" s="9" t="s">
        <v>1434</v>
      </c>
      <c r="C1165" s="12" t="str">
        <f>IFERROR(VLOOKUP(TED[[#This Row],[CENTRO]],'CENTRO DE CUSTO'!B:E,4,FALSE)," ")</f>
        <v>JEFFERSON</v>
      </c>
      <c r="D1165" s="12">
        <v>101</v>
      </c>
      <c r="E1165" s="16">
        <v>101002</v>
      </c>
      <c r="F1165" s="10" t="s">
        <v>1903</v>
      </c>
      <c r="G1165" s="10">
        <v>220</v>
      </c>
      <c r="H1165" s="11">
        <v>42461</v>
      </c>
      <c r="I1165" s="10" t="s">
        <v>942</v>
      </c>
      <c r="J1165" s="12" t="str">
        <f>IF(OR(TED[[#This Row],[SITUACAO]]=1,TED[[#This Row],[SITUACAO]]=9,TED[[#This Row],[SITUACAO]]=18),"ATIVO","AFASTADO")</f>
        <v>ATIVO</v>
      </c>
      <c r="K1165" s="12">
        <v>1</v>
      </c>
    </row>
    <row r="1166" spans="1:11" x14ac:dyDescent="0.25">
      <c r="A1166" s="10">
        <v>38764</v>
      </c>
      <c r="B1166" s="9" t="s">
        <v>1580</v>
      </c>
      <c r="C1166" s="12" t="str">
        <f>IFERROR(VLOOKUP(TED[[#This Row],[CENTRO]],'CENTRO DE CUSTO'!B:E,4,FALSE)," ")</f>
        <v>MARCOS</v>
      </c>
      <c r="D1166" s="12">
        <v>101</v>
      </c>
      <c r="E1166" s="16">
        <v>101012</v>
      </c>
      <c r="F1166" s="10" t="s">
        <v>1913</v>
      </c>
      <c r="G1166" s="10">
        <v>220</v>
      </c>
      <c r="H1166" s="11">
        <v>45793</v>
      </c>
      <c r="I1166" s="10" t="s">
        <v>947</v>
      </c>
      <c r="J1166" s="12" t="str">
        <f>IF(OR(TED[[#This Row],[SITUACAO]]=1,TED[[#This Row],[SITUACAO]]=9,TED[[#This Row],[SITUACAO]]=18),"ATIVO","AFASTADO")</f>
        <v>ATIVO</v>
      </c>
      <c r="K1166" s="12">
        <v>1</v>
      </c>
    </row>
    <row r="1167" spans="1:11" x14ac:dyDescent="0.25">
      <c r="A1167" s="10">
        <v>47442</v>
      </c>
      <c r="B1167" s="9" t="s">
        <v>2347</v>
      </c>
      <c r="C1167" s="12" t="str">
        <f>IFERROR(VLOOKUP(TED[[#This Row],[CENTRO]],'CENTRO DE CUSTO'!B:E,4,FALSE)," ")</f>
        <v>MARCOS</v>
      </c>
      <c r="D1167" s="12">
        <v>101</v>
      </c>
      <c r="E1167" s="16">
        <v>101005</v>
      </c>
      <c r="F1167" s="10" t="s">
        <v>1906</v>
      </c>
      <c r="G1167" s="10">
        <v>220</v>
      </c>
      <c r="H1167" s="11">
        <v>46205</v>
      </c>
      <c r="I1167" s="10" t="s">
        <v>973</v>
      </c>
      <c r="J1167" s="12" t="str">
        <f>IF(OR(TED[[#This Row],[SITUACAO]]=1,TED[[#This Row],[SITUACAO]]=9,TED[[#This Row],[SITUACAO]]=18),"ATIVO","AFASTADO")</f>
        <v>ATIVO</v>
      </c>
      <c r="K1167" s="12">
        <v>1</v>
      </c>
    </row>
    <row r="1168" spans="1:11" x14ac:dyDescent="0.25">
      <c r="A1168" s="10">
        <v>7468</v>
      </c>
      <c r="B1168" s="9" t="s">
        <v>1272</v>
      </c>
      <c r="C1168" s="12" t="str">
        <f>IFERROR(VLOOKUP(TED[[#This Row],[CENTRO]],'CENTRO DE CUSTO'!B:E,4,FALSE)," ")</f>
        <v>JEFFERSON</v>
      </c>
      <c r="D1168" s="12">
        <v>101</v>
      </c>
      <c r="E1168" s="16">
        <v>101003</v>
      </c>
      <c r="F1168" s="10" t="s">
        <v>1904</v>
      </c>
      <c r="G1168" s="10">
        <v>220</v>
      </c>
      <c r="H1168" s="11">
        <v>42461</v>
      </c>
      <c r="I1168" s="10" t="s">
        <v>21</v>
      </c>
      <c r="J1168" s="12" t="str">
        <f>IF(OR(TED[[#This Row],[SITUACAO]]=1,TED[[#This Row],[SITUACAO]]=9,TED[[#This Row],[SITUACAO]]=18),"ATIVO","AFASTADO")</f>
        <v>ATIVO</v>
      </c>
      <c r="K1168" s="12">
        <v>1</v>
      </c>
    </row>
    <row r="1169" spans="1:11" x14ac:dyDescent="0.25">
      <c r="A1169" s="10">
        <v>11218</v>
      </c>
      <c r="B1169" s="9" t="s">
        <v>1466</v>
      </c>
      <c r="C1169" s="12" t="str">
        <f>IFERROR(VLOOKUP(TED[[#This Row],[CENTRO]],'CENTRO DE CUSTO'!B:E,4,FALSE)," ")</f>
        <v>JEFFERSON</v>
      </c>
      <c r="D1169" s="12">
        <v>101</v>
      </c>
      <c r="E1169" s="16">
        <v>101007</v>
      </c>
      <c r="F1169" s="10" t="s">
        <v>1908</v>
      </c>
      <c r="G1169" s="10">
        <v>220</v>
      </c>
      <c r="H1169" s="11">
        <v>43363</v>
      </c>
      <c r="I1169" s="10" t="s">
        <v>935</v>
      </c>
      <c r="J1169" s="12" t="str">
        <f>IF(OR(TED[[#This Row],[SITUACAO]]=1,TED[[#This Row],[SITUACAO]]=9,TED[[#This Row],[SITUACAO]]=18),"ATIVO","AFASTADO")</f>
        <v>ATIVO</v>
      </c>
      <c r="K1169" s="12">
        <v>1</v>
      </c>
    </row>
    <row r="1170" spans="1:11" x14ac:dyDescent="0.25">
      <c r="A1170" s="10">
        <v>36392</v>
      </c>
      <c r="B1170" s="9" t="s">
        <v>1339</v>
      </c>
      <c r="C1170" s="12" t="str">
        <f>IFERROR(VLOOKUP(TED[[#This Row],[CENTRO]],'CENTRO DE CUSTO'!B:E,4,FALSE)," ")</f>
        <v>JEFFERSON</v>
      </c>
      <c r="D1170" s="12">
        <v>101</v>
      </c>
      <c r="E1170" s="16">
        <v>101004</v>
      </c>
      <c r="F1170" s="10" t="s">
        <v>1905</v>
      </c>
      <c r="G1170" s="10">
        <v>220</v>
      </c>
      <c r="H1170" s="11">
        <v>45694</v>
      </c>
      <c r="I1170" s="10" t="s">
        <v>948</v>
      </c>
      <c r="J1170" s="12" t="str">
        <f>IF(OR(TED[[#This Row],[SITUACAO]]=1,TED[[#This Row],[SITUACAO]]=9,TED[[#This Row],[SITUACAO]]=18),"ATIVO","AFASTADO")</f>
        <v>ATIVO</v>
      </c>
      <c r="K1170" s="12">
        <v>1</v>
      </c>
    </row>
    <row r="1171" spans="1:11" x14ac:dyDescent="0.25">
      <c r="A1171" s="10">
        <v>39063</v>
      </c>
      <c r="B1171" s="9" t="s">
        <v>1183</v>
      </c>
      <c r="C1171" s="12" t="str">
        <f>IFERROR(VLOOKUP(TED[[#This Row],[CENTRO]],'CENTRO DE CUSTO'!B:E,4,FALSE)," ")</f>
        <v>MARCOS</v>
      </c>
      <c r="D1171" s="12">
        <v>101</v>
      </c>
      <c r="E1171" s="16">
        <v>101001</v>
      </c>
      <c r="F1171" s="10" t="s">
        <v>1902</v>
      </c>
      <c r="G1171" s="10">
        <v>220</v>
      </c>
      <c r="H1171" s="11">
        <v>45818</v>
      </c>
      <c r="I1171" s="10" t="s">
        <v>947</v>
      </c>
      <c r="J1171" s="12" t="str">
        <f>IF(OR(TED[[#This Row],[SITUACAO]]=1,TED[[#This Row],[SITUACAO]]=9,TED[[#This Row],[SITUACAO]]=18),"ATIVO","AFASTADO")</f>
        <v>ATIVO</v>
      </c>
      <c r="K1171" s="12">
        <v>1</v>
      </c>
    </row>
    <row r="1172" spans="1:11" x14ac:dyDescent="0.25">
      <c r="A1172" s="10">
        <v>22027</v>
      </c>
      <c r="B1172" s="9" t="s">
        <v>1497</v>
      </c>
      <c r="C1172" s="12" t="str">
        <f>IFERROR(VLOOKUP(TED[[#This Row],[CENTRO]],'CENTRO DE CUSTO'!B:E,4,FALSE)," ")</f>
        <v>MARCOS</v>
      </c>
      <c r="D1172" s="12">
        <v>101</v>
      </c>
      <c r="E1172" s="16">
        <v>101001</v>
      </c>
      <c r="F1172" s="10" t="s">
        <v>1902</v>
      </c>
      <c r="G1172" s="10">
        <v>220</v>
      </c>
      <c r="H1172" s="11">
        <v>44691</v>
      </c>
      <c r="I1172" s="10" t="s">
        <v>935</v>
      </c>
      <c r="J1172" s="12" t="str">
        <f>IF(OR(TED[[#This Row],[SITUACAO]]=1,TED[[#This Row],[SITUACAO]]=9,TED[[#This Row],[SITUACAO]]=18),"ATIVO","AFASTADO")</f>
        <v>ATIVO</v>
      </c>
      <c r="K1172" s="12">
        <v>1</v>
      </c>
    </row>
    <row r="1173" spans="1:11" x14ac:dyDescent="0.25">
      <c r="A1173" s="10">
        <v>8285</v>
      </c>
      <c r="B1173" s="9" t="s">
        <v>1542</v>
      </c>
      <c r="C1173" s="12" t="str">
        <f>IFERROR(VLOOKUP(TED[[#This Row],[CENTRO]],'CENTRO DE CUSTO'!B:E,4,FALSE)," ")</f>
        <v>MARCOS</v>
      </c>
      <c r="D1173" s="12">
        <v>101</v>
      </c>
      <c r="E1173" s="16">
        <v>101010</v>
      </c>
      <c r="F1173" s="10" t="s">
        <v>1911</v>
      </c>
      <c r="G1173" s="10">
        <v>220</v>
      </c>
      <c r="H1173" s="11">
        <v>42662</v>
      </c>
      <c r="I1173" s="10" t="s">
        <v>21</v>
      </c>
      <c r="J1173" s="12" t="str">
        <f>IF(OR(TED[[#This Row],[SITUACAO]]=1,TED[[#This Row],[SITUACAO]]=9,TED[[#This Row],[SITUACAO]]=18),"ATIVO","AFASTADO")</f>
        <v>ATIVO</v>
      </c>
      <c r="K1173" s="12">
        <v>1</v>
      </c>
    </row>
    <row r="1174" spans="1:11" x14ac:dyDescent="0.25">
      <c r="A1174" s="10">
        <v>17289</v>
      </c>
      <c r="B1174" s="9" t="s">
        <v>1346</v>
      </c>
      <c r="C1174" s="12" t="str">
        <f>IFERROR(VLOOKUP(TED[[#This Row],[CENTRO]],'CENTRO DE CUSTO'!B:E,4,FALSE)," ")</f>
        <v>JEFFERSON</v>
      </c>
      <c r="D1174" s="12">
        <v>101</v>
      </c>
      <c r="E1174" s="16">
        <v>101004</v>
      </c>
      <c r="F1174" s="10" t="s">
        <v>1905</v>
      </c>
      <c r="G1174" s="10">
        <v>220</v>
      </c>
      <c r="H1174" s="11">
        <v>44414</v>
      </c>
      <c r="I1174" s="10" t="s">
        <v>1</v>
      </c>
      <c r="J1174" s="12" t="str">
        <f>IF(OR(TED[[#This Row],[SITUACAO]]=1,TED[[#This Row],[SITUACAO]]=9,TED[[#This Row],[SITUACAO]]=18),"ATIVO","AFASTADO")</f>
        <v>ATIVO</v>
      </c>
      <c r="K1174" s="12">
        <v>1</v>
      </c>
    </row>
    <row r="1175" spans="1:11" x14ac:dyDescent="0.25">
      <c r="A1175" s="10">
        <v>25035</v>
      </c>
      <c r="B1175" s="9" t="s">
        <v>1503</v>
      </c>
      <c r="C1175" s="12" t="str">
        <f>IFERROR(VLOOKUP(TED[[#This Row],[CENTRO]],'CENTRO DE CUSTO'!B:E,4,FALSE)," ")</f>
        <v>MARCOS</v>
      </c>
      <c r="D1175" s="12">
        <v>101</v>
      </c>
      <c r="E1175" s="16">
        <v>101008</v>
      </c>
      <c r="F1175" s="10" t="s">
        <v>1909</v>
      </c>
      <c r="G1175" s="10">
        <v>220</v>
      </c>
      <c r="H1175" s="11">
        <v>44958</v>
      </c>
      <c r="I1175" s="10" t="s">
        <v>957</v>
      </c>
      <c r="J1175" s="12" t="str">
        <f>IF(OR(TED[[#This Row],[SITUACAO]]=1,TED[[#This Row],[SITUACAO]]=9,TED[[#This Row],[SITUACAO]]=18),"ATIVO","AFASTADO")</f>
        <v>ATIVO</v>
      </c>
      <c r="K1175" s="12">
        <v>1</v>
      </c>
    </row>
    <row r="1176" spans="1:11" x14ac:dyDescent="0.25">
      <c r="A1176" s="10">
        <v>43511</v>
      </c>
      <c r="B1176" s="9" t="s">
        <v>2077</v>
      </c>
      <c r="C1176" s="12" t="str">
        <f>IFERROR(VLOOKUP(TED[[#This Row],[CENTRO]],'CENTRO DE CUSTO'!B:E,4,FALSE)," ")</f>
        <v>JEFFERSON</v>
      </c>
      <c r="D1176" s="12">
        <v>101</v>
      </c>
      <c r="E1176" s="16">
        <v>101003</v>
      </c>
      <c r="F1176" s="10" t="s">
        <v>1904</v>
      </c>
      <c r="G1176" s="10">
        <v>220</v>
      </c>
      <c r="H1176" s="11">
        <v>46055</v>
      </c>
      <c r="I1176" s="10" t="s">
        <v>935</v>
      </c>
      <c r="J1176" s="12" t="str">
        <f>IF(OR(TED[[#This Row],[SITUACAO]]=1,TED[[#This Row],[SITUACAO]]=9,TED[[#This Row],[SITUACAO]]=18),"ATIVO","AFASTADO")</f>
        <v>ATIVO</v>
      </c>
      <c r="K1176" s="12">
        <v>1</v>
      </c>
    </row>
    <row r="1177" spans="1:11" x14ac:dyDescent="0.25">
      <c r="A1177" s="10">
        <v>41608</v>
      </c>
      <c r="B1177" s="9" t="s">
        <v>1203</v>
      </c>
      <c r="C1177" s="12" t="str">
        <f>IFERROR(VLOOKUP(TED[[#This Row],[CENTRO]],'CENTRO DE CUSTO'!B:E,4,FALSE)," ")</f>
        <v>MARCOS</v>
      </c>
      <c r="D1177" s="12">
        <v>101</v>
      </c>
      <c r="E1177" s="16">
        <v>101001</v>
      </c>
      <c r="F1177" s="10" t="s">
        <v>1902</v>
      </c>
      <c r="G1177" s="10">
        <v>220</v>
      </c>
      <c r="H1177" s="11">
        <v>45939</v>
      </c>
      <c r="I1177" s="10" t="s">
        <v>935</v>
      </c>
      <c r="J1177" s="12" t="str">
        <f>IF(OR(TED[[#This Row],[SITUACAO]]=1,TED[[#This Row],[SITUACAO]]=9,TED[[#This Row],[SITUACAO]]=18),"ATIVO","AFASTADO")</f>
        <v>ATIVO</v>
      </c>
      <c r="K1177" s="12">
        <v>1</v>
      </c>
    </row>
    <row r="1178" spans="1:11" x14ac:dyDescent="0.25">
      <c r="A1178" s="10">
        <v>33755</v>
      </c>
      <c r="B1178" s="9" t="s">
        <v>1174</v>
      </c>
      <c r="C1178" s="12" t="str">
        <f>IFERROR(VLOOKUP(TED[[#This Row],[CENTRO]],'CENTRO DE CUSTO'!B:E,4,FALSE)," ")</f>
        <v>MARCOS</v>
      </c>
      <c r="D1178" s="12">
        <v>101</v>
      </c>
      <c r="E1178" s="16">
        <v>101001</v>
      </c>
      <c r="F1178" s="10" t="s">
        <v>1902</v>
      </c>
      <c r="G1178" s="10">
        <v>220</v>
      </c>
      <c r="H1178" s="11">
        <v>45541</v>
      </c>
      <c r="I1178" s="10" t="s">
        <v>933</v>
      </c>
      <c r="J1178" s="12" t="str">
        <f>IF(OR(TED[[#This Row],[SITUACAO]]=1,TED[[#This Row],[SITUACAO]]=9,TED[[#This Row],[SITUACAO]]=18),"ATIVO","AFASTADO")</f>
        <v>ATIVO</v>
      </c>
      <c r="K1178" s="12">
        <v>9</v>
      </c>
    </row>
    <row r="1179" spans="1:11" x14ac:dyDescent="0.25">
      <c r="A1179" s="10">
        <v>16613</v>
      </c>
      <c r="B1179" s="9" t="s">
        <v>1235</v>
      </c>
      <c r="C1179" s="12" t="str">
        <f>IFERROR(VLOOKUP(TED[[#This Row],[CENTRO]],'CENTRO DE CUSTO'!B:E,4,FALSE)," ")</f>
        <v>MARCOS</v>
      </c>
      <c r="D1179" s="12">
        <v>101</v>
      </c>
      <c r="E1179" s="16">
        <v>101001</v>
      </c>
      <c r="F1179" s="10" t="s">
        <v>1902</v>
      </c>
      <c r="G1179" s="10">
        <v>220</v>
      </c>
      <c r="H1179" s="11">
        <v>44363</v>
      </c>
      <c r="I1179" s="10" t="s">
        <v>1</v>
      </c>
      <c r="J1179" s="12" t="str">
        <f>IF(OR(TED[[#This Row],[SITUACAO]]=1,TED[[#This Row],[SITUACAO]]=9,TED[[#This Row],[SITUACAO]]=18),"ATIVO","AFASTADO")</f>
        <v>AFASTADO</v>
      </c>
      <c r="K1179" s="12">
        <v>12</v>
      </c>
    </row>
    <row r="1180" spans="1:11" x14ac:dyDescent="0.25">
      <c r="A1180" s="10">
        <v>17755</v>
      </c>
      <c r="B1180" s="9" t="s">
        <v>1412</v>
      </c>
      <c r="C1180" s="12" t="str">
        <f>IFERROR(VLOOKUP(TED[[#This Row],[CENTRO]],'CENTRO DE CUSTO'!B:E,4,FALSE)," ")</f>
        <v>MARCOS</v>
      </c>
      <c r="D1180" s="12">
        <v>101</v>
      </c>
      <c r="E1180" s="16">
        <v>101005</v>
      </c>
      <c r="F1180" s="10" t="s">
        <v>1906</v>
      </c>
      <c r="G1180" s="10">
        <v>220</v>
      </c>
      <c r="H1180" s="11">
        <v>44482</v>
      </c>
      <c r="I1180" s="10" t="s">
        <v>942</v>
      </c>
      <c r="J1180" s="12" t="str">
        <f>IF(OR(TED[[#This Row],[SITUACAO]]=1,TED[[#This Row],[SITUACAO]]=9,TED[[#This Row],[SITUACAO]]=18),"ATIVO","AFASTADO")</f>
        <v>ATIVO</v>
      </c>
      <c r="K1180" s="12">
        <v>1</v>
      </c>
    </row>
    <row r="1181" spans="1:11" x14ac:dyDescent="0.25">
      <c r="A1181" s="10">
        <v>23114</v>
      </c>
      <c r="B1181" s="9" t="s">
        <v>1431</v>
      </c>
      <c r="C1181" s="12" t="str">
        <f>IFERROR(VLOOKUP(TED[[#This Row],[CENTRO]],'CENTRO DE CUSTO'!B:E,4,FALSE)," ")</f>
        <v>MARCOS</v>
      </c>
      <c r="D1181" s="12">
        <v>101</v>
      </c>
      <c r="E1181" s="16">
        <v>101005</v>
      </c>
      <c r="F1181" s="10" t="s">
        <v>1906</v>
      </c>
      <c r="G1181" s="10">
        <v>220</v>
      </c>
      <c r="H1181" s="11">
        <v>44827</v>
      </c>
      <c r="I1181" s="10" t="s">
        <v>973</v>
      </c>
      <c r="J1181" s="12" t="str">
        <f>IF(OR(TED[[#This Row],[SITUACAO]]=1,TED[[#This Row],[SITUACAO]]=9,TED[[#This Row],[SITUACAO]]=18),"ATIVO","AFASTADO")</f>
        <v>AFASTADO</v>
      </c>
      <c r="K1181" s="12">
        <v>6</v>
      </c>
    </row>
    <row r="1182" spans="1:11" x14ac:dyDescent="0.25">
      <c r="A1182" s="10">
        <v>22597</v>
      </c>
      <c r="B1182" s="9" t="s">
        <v>1247</v>
      </c>
      <c r="C1182" s="12" t="str">
        <f>IFERROR(VLOOKUP(TED[[#This Row],[CENTRO]],'CENTRO DE CUSTO'!B:E,4,FALSE)," ")</f>
        <v>JEFFERSON</v>
      </c>
      <c r="D1182" s="12">
        <v>101</v>
      </c>
      <c r="E1182" s="16">
        <v>101002</v>
      </c>
      <c r="F1182" s="10" t="s">
        <v>1903</v>
      </c>
      <c r="G1182" s="10">
        <v>220</v>
      </c>
      <c r="H1182" s="11">
        <v>44769</v>
      </c>
      <c r="I1182" s="10" t="s">
        <v>942</v>
      </c>
      <c r="J1182" s="12" t="str">
        <f>IF(OR(TED[[#This Row],[SITUACAO]]=1,TED[[#This Row],[SITUACAO]]=9,TED[[#This Row],[SITUACAO]]=18),"ATIVO","AFASTADO")</f>
        <v>ATIVO</v>
      </c>
      <c r="K1182" s="12">
        <v>1</v>
      </c>
    </row>
    <row r="1183" spans="1:11" x14ac:dyDescent="0.25">
      <c r="A1183" s="10">
        <v>39016</v>
      </c>
      <c r="B1183" s="9" t="s">
        <v>1556</v>
      </c>
      <c r="C1183" s="12" t="str">
        <f>IFERROR(VLOOKUP(TED[[#This Row],[CENTRO]],'CENTRO DE CUSTO'!B:E,4,FALSE)," ")</f>
        <v>MARCOS</v>
      </c>
      <c r="D1183" s="12">
        <v>101</v>
      </c>
      <c r="E1183" s="16">
        <v>101010</v>
      </c>
      <c r="F1183" s="10" t="s">
        <v>1911</v>
      </c>
      <c r="G1183" s="10">
        <v>220</v>
      </c>
      <c r="H1183" s="11">
        <v>45811</v>
      </c>
      <c r="I1183" s="10" t="s">
        <v>941</v>
      </c>
      <c r="J1183" s="12" t="str">
        <f>IF(OR(TED[[#This Row],[SITUACAO]]=1,TED[[#This Row],[SITUACAO]]=9,TED[[#This Row],[SITUACAO]]=18),"ATIVO","AFASTADO")</f>
        <v>ATIVO</v>
      </c>
      <c r="K1183" s="12">
        <v>1</v>
      </c>
    </row>
    <row r="1184" spans="1:11" x14ac:dyDescent="0.25">
      <c r="A1184" s="10">
        <v>45265</v>
      </c>
      <c r="B1184" s="9" t="s">
        <v>2227</v>
      </c>
      <c r="C1184" s="12" t="str">
        <f>IFERROR(VLOOKUP(TED[[#This Row],[CENTRO]],'CENTRO DE CUSTO'!B:E,4,FALSE)," ")</f>
        <v>JEFFERSON</v>
      </c>
      <c r="D1184" s="12">
        <v>101</v>
      </c>
      <c r="E1184" s="16">
        <v>101004</v>
      </c>
      <c r="F1184" s="10" t="s">
        <v>1905</v>
      </c>
      <c r="G1184" s="10">
        <v>220</v>
      </c>
      <c r="H1184" s="11">
        <v>46139</v>
      </c>
      <c r="I1184" s="10" t="s">
        <v>21</v>
      </c>
      <c r="J1184" s="12" t="str">
        <f>IF(OR(TED[[#This Row],[SITUACAO]]=1,TED[[#This Row],[SITUACAO]]=9,TED[[#This Row],[SITUACAO]]=18),"ATIVO","AFASTADO")</f>
        <v>ATIVO</v>
      </c>
      <c r="K1184" s="12">
        <v>1</v>
      </c>
    </row>
    <row r="1185" spans="1:11" x14ac:dyDescent="0.25">
      <c r="A1185" s="10">
        <v>26844</v>
      </c>
      <c r="B1185" s="9" t="s">
        <v>1355</v>
      </c>
      <c r="C1185" s="12" t="str">
        <f>IFERROR(VLOOKUP(TED[[#This Row],[CENTRO]],'CENTRO DE CUSTO'!B:E,4,FALSE)," ")</f>
        <v>JEFFERSON</v>
      </c>
      <c r="D1185" s="12">
        <v>101</v>
      </c>
      <c r="E1185" s="16">
        <v>101004</v>
      </c>
      <c r="F1185" s="10" t="s">
        <v>1905</v>
      </c>
      <c r="G1185" s="10">
        <v>220</v>
      </c>
      <c r="H1185" s="11">
        <v>45048</v>
      </c>
      <c r="I1185" s="10" t="s">
        <v>937</v>
      </c>
      <c r="J1185" s="12" t="str">
        <f>IF(OR(TED[[#This Row],[SITUACAO]]=1,TED[[#This Row],[SITUACAO]]=9,TED[[#This Row],[SITUACAO]]=18),"ATIVO","AFASTADO")</f>
        <v>ATIVO</v>
      </c>
      <c r="K1185" s="12">
        <v>1</v>
      </c>
    </row>
    <row r="1186" spans="1:11" x14ac:dyDescent="0.25">
      <c r="A1186" s="10">
        <v>24780</v>
      </c>
      <c r="B1186" s="9" t="s">
        <v>1534</v>
      </c>
      <c r="C1186" s="12" t="str">
        <f>IFERROR(VLOOKUP(TED[[#This Row],[CENTRO]],'CENTRO DE CUSTO'!B:E,4,FALSE)," ")</f>
        <v>MARCOS</v>
      </c>
      <c r="D1186" s="12">
        <v>101</v>
      </c>
      <c r="E1186" s="16">
        <v>101010</v>
      </c>
      <c r="F1186" s="10" t="s">
        <v>1911</v>
      </c>
      <c r="G1186" s="10">
        <v>220</v>
      </c>
      <c r="H1186" s="11">
        <v>44942</v>
      </c>
      <c r="I1186" s="10" t="s">
        <v>21</v>
      </c>
      <c r="J1186" s="12" t="str">
        <f>IF(OR(TED[[#This Row],[SITUACAO]]=1,TED[[#This Row],[SITUACAO]]=9,TED[[#This Row],[SITUACAO]]=18),"ATIVO","AFASTADO")</f>
        <v>ATIVO</v>
      </c>
      <c r="K1186" s="12">
        <v>1</v>
      </c>
    </row>
    <row r="1187" spans="1:11" x14ac:dyDescent="0.25">
      <c r="A1187" s="10">
        <v>22199</v>
      </c>
      <c r="B1187" s="9" t="s">
        <v>1308</v>
      </c>
      <c r="C1187" s="12" t="str">
        <f>IFERROR(VLOOKUP(TED[[#This Row],[CENTRO]],'CENTRO DE CUSTO'!B:E,4,FALSE)," ")</f>
        <v>JEFFERSON</v>
      </c>
      <c r="D1187" s="12">
        <v>101</v>
      </c>
      <c r="E1187" s="16">
        <v>101004</v>
      </c>
      <c r="F1187" s="10" t="s">
        <v>1905</v>
      </c>
      <c r="G1187" s="10">
        <v>220</v>
      </c>
      <c r="H1187" s="11">
        <v>44725</v>
      </c>
      <c r="I1187" s="10" t="s">
        <v>937</v>
      </c>
      <c r="J1187" s="12" t="str">
        <f>IF(OR(TED[[#This Row],[SITUACAO]]=1,TED[[#This Row],[SITUACAO]]=9,TED[[#This Row],[SITUACAO]]=18),"ATIVO","AFASTADO")</f>
        <v>ATIVO</v>
      </c>
      <c r="K1187" s="12">
        <v>1</v>
      </c>
    </row>
    <row r="1188" spans="1:11" x14ac:dyDescent="0.25">
      <c r="A1188" s="10">
        <v>23946</v>
      </c>
      <c r="B1188" s="9" t="s">
        <v>1464</v>
      </c>
      <c r="C1188" s="12" t="str">
        <f>IFERROR(VLOOKUP(TED[[#This Row],[CENTRO]],'CENTRO DE CUSTO'!B:E,4,FALSE)," ")</f>
        <v>JEFFERSON</v>
      </c>
      <c r="D1188" s="12">
        <v>101</v>
      </c>
      <c r="E1188" s="16">
        <v>101007</v>
      </c>
      <c r="F1188" s="10" t="s">
        <v>1908</v>
      </c>
      <c r="G1188" s="10">
        <v>220</v>
      </c>
      <c r="H1188" s="11">
        <v>44870</v>
      </c>
      <c r="I1188" s="10" t="s">
        <v>1992</v>
      </c>
      <c r="J1188" s="12" t="str">
        <f>IF(OR(TED[[#This Row],[SITUACAO]]=1,TED[[#This Row],[SITUACAO]]=9,TED[[#This Row],[SITUACAO]]=18),"ATIVO","AFASTADO")</f>
        <v>ATIVO</v>
      </c>
      <c r="K1188" s="12">
        <v>1</v>
      </c>
    </row>
    <row r="1189" spans="1:11" x14ac:dyDescent="0.25">
      <c r="A1189" s="10">
        <v>21200</v>
      </c>
      <c r="B1189" s="9" t="s">
        <v>1367</v>
      </c>
      <c r="C1189" s="12" t="str">
        <f>IFERROR(VLOOKUP(TED[[#This Row],[CENTRO]],'CENTRO DE CUSTO'!B:E,4,FALSE)," ")</f>
        <v>JEFFERSON</v>
      </c>
      <c r="D1189" s="12">
        <v>101</v>
      </c>
      <c r="E1189" s="16">
        <v>101004</v>
      </c>
      <c r="F1189" s="10" t="s">
        <v>1905</v>
      </c>
      <c r="G1189" s="10">
        <v>220</v>
      </c>
      <c r="H1189" s="11">
        <v>44701</v>
      </c>
      <c r="I1189" s="10" t="s">
        <v>947</v>
      </c>
      <c r="J1189" s="12" t="str">
        <f>IF(OR(TED[[#This Row],[SITUACAO]]=1,TED[[#This Row],[SITUACAO]]=9,TED[[#This Row],[SITUACAO]]=18),"ATIVO","AFASTADO")</f>
        <v>ATIVO</v>
      </c>
      <c r="K1189" s="12">
        <v>1</v>
      </c>
    </row>
    <row r="1190" spans="1:11" x14ac:dyDescent="0.25">
      <c r="A1190" s="10">
        <v>45264</v>
      </c>
      <c r="B1190" s="9" t="s">
        <v>2233</v>
      </c>
      <c r="C1190" s="12" t="str">
        <f>IFERROR(VLOOKUP(TED[[#This Row],[CENTRO]],'CENTRO DE CUSTO'!B:E,4,FALSE)," ")</f>
        <v>JEFFERSON</v>
      </c>
      <c r="D1190" s="12">
        <v>101</v>
      </c>
      <c r="E1190" s="16">
        <v>101007</v>
      </c>
      <c r="F1190" s="10" t="s">
        <v>1908</v>
      </c>
      <c r="G1190" s="10">
        <v>220</v>
      </c>
      <c r="H1190" s="11">
        <v>46140</v>
      </c>
      <c r="I1190" s="10" t="s">
        <v>935</v>
      </c>
      <c r="J1190" s="12" t="str">
        <f>IF(OR(TED[[#This Row],[SITUACAO]]=1,TED[[#This Row],[SITUACAO]]=9,TED[[#This Row],[SITUACAO]]=18),"ATIVO","AFASTADO")</f>
        <v>ATIVO</v>
      </c>
      <c r="K1190" s="12">
        <v>1</v>
      </c>
    </row>
    <row r="1191" spans="1:11" x14ac:dyDescent="0.25">
      <c r="A1191" s="10">
        <v>28174</v>
      </c>
      <c r="B1191" s="9" t="s">
        <v>1516</v>
      </c>
      <c r="C1191" s="12" t="str">
        <f>IFERROR(VLOOKUP(TED[[#This Row],[CENTRO]],'CENTRO DE CUSTO'!B:E,4,FALSE)," ")</f>
        <v>JEFFERSON</v>
      </c>
      <c r="D1191" s="12">
        <v>101</v>
      </c>
      <c r="E1191" s="16">
        <v>101009</v>
      </c>
      <c r="F1191" s="10" t="s">
        <v>1910</v>
      </c>
      <c r="G1191" s="10">
        <v>220</v>
      </c>
      <c r="H1191" s="11">
        <v>45150</v>
      </c>
      <c r="I1191" s="10" t="s">
        <v>935</v>
      </c>
      <c r="J1191" s="12" t="str">
        <f>IF(OR(TED[[#This Row],[SITUACAO]]=1,TED[[#This Row],[SITUACAO]]=9,TED[[#This Row],[SITUACAO]]=18),"ATIVO","AFASTADO")</f>
        <v>ATIVO</v>
      </c>
      <c r="K1191" s="12">
        <v>1</v>
      </c>
    </row>
    <row r="1192" spans="1:11" x14ac:dyDescent="0.25">
      <c r="A1192" s="10">
        <v>22244</v>
      </c>
      <c r="B1192" s="9" t="s">
        <v>1469</v>
      </c>
      <c r="C1192" s="12" t="str">
        <f>IFERROR(VLOOKUP(TED[[#This Row],[CENTRO]],'CENTRO DE CUSTO'!B:E,4,FALSE)," ")</f>
        <v>JEFFERSON</v>
      </c>
      <c r="D1192" s="12">
        <v>101</v>
      </c>
      <c r="E1192" s="16">
        <v>101007</v>
      </c>
      <c r="F1192" s="10" t="s">
        <v>1908</v>
      </c>
      <c r="G1192" s="10">
        <v>220</v>
      </c>
      <c r="H1192" s="11">
        <v>44732</v>
      </c>
      <c r="I1192" s="10" t="s">
        <v>957</v>
      </c>
      <c r="J1192" s="12" t="str">
        <f>IF(OR(TED[[#This Row],[SITUACAO]]=1,TED[[#This Row],[SITUACAO]]=9,TED[[#This Row],[SITUACAO]]=18),"ATIVO","AFASTADO")</f>
        <v>ATIVO</v>
      </c>
      <c r="K1192" s="12">
        <v>1</v>
      </c>
    </row>
    <row r="1193" spans="1:11" x14ac:dyDescent="0.25">
      <c r="A1193" s="10">
        <v>33317</v>
      </c>
      <c r="B1193" s="9" t="s">
        <v>1194</v>
      </c>
      <c r="C1193" s="12" t="str">
        <f>IFERROR(VLOOKUP(TED[[#This Row],[CENTRO]],'CENTRO DE CUSTO'!B:E,4,FALSE)," ")</f>
        <v>MARCOS</v>
      </c>
      <c r="D1193" s="12">
        <v>101</v>
      </c>
      <c r="E1193" s="16">
        <v>101001</v>
      </c>
      <c r="F1193" s="10" t="s">
        <v>1902</v>
      </c>
      <c r="G1193" s="10">
        <v>220</v>
      </c>
      <c r="H1193" s="11">
        <v>45498</v>
      </c>
      <c r="I1193" s="10" t="s">
        <v>967</v>
      </c>
      <c r="J1193" s="12" t="str">
        <f>IF(OR(TED[[#This Row],[SITUACAO]]=1,TED[[#This Row],[SITUACAO]]=9,TED[[#This Row],[SITUACAO]]=18),"ATIVO","AFASTADO")</f>
        <v>ATIVO</v>
      </c>
      <c r="K1193" s="12">
        <v>9</v>
      </c>
    </row>
    <row r="1194" spans="1:11" x14ac:dyDescent="0.25">
      <c r="A1194" s="10">
        <v>37594</v>
      </c>
      <c r="B1194" s="9" t="s">
        <v>1249</v>
      </c>
      <c r="C1194" s="12" t="str">
        <f>IFERROR(VLOOKUP(TED[[#This Row],[CENTRO]],'CENTRO DE CUSTO'!B:E,4,FALSE)," ")</f>
        <v>JEFFERSON</v>
      </c>
      <c r="D1194" s="12">
        <v>101</v>
      </c>
      <c r="E1194" s="16">
        <v>101002</v>
      </c>
      <c r="F1194" s="10" t="s">
        <v>1903</v>
      </c>
      <c r="G1194" s="10">
        <v>220</v>
      </c>
      <c r="H1194" s="11">
        <v>45728</v>
      </c>
      <c r="I1194" s="10" t="s">
        <v>933</v>
      </c>
      <c r="J1194" s="12" t="str">
        <f>IF(OR(TED[[#This Row],[SITUACAO]]=1,TED[[#This Row],[SITUACAO]]=9,TED[[#This Row],[SITUACAO]]=18),"ATIVO","AFASTADO")</f>
        <v>ATIVO</v>
      </c>
      <c r="K1194" s="12">
        <v>1</v>
      </c>
    </row>
    <row r="1195" spans="1:11" x14ac:dyDescent="0.25">
      <c r="A1195" s="10">
        <v>35047</v>
      </c>
      <c r="B1195" s="9" t="s">
        <v>1419</v>
      </c>
      <c r="C1195" s="12" t="str">
        <f>IFERROR(VLOOKUP(TED[[#This Row],[CENTRO]],'CENTRO DE CUSTO'!B:E,4,FALSE)," ")</f>
        <v>MARCOS</v>
      </c>
      <c r="D1195" s="12">
        <v>101</v>
      </c>
      <c r="E1195" s="16">
        <v>101005</v>
      </c>
      <c r="F1195" s="10" t="s">
        <v>1906</v>
      </c>
      <c r="G1195" s="10">
        <v>220</v>
      </c>
      <c r="H1195" s="11">
        <v>45671</v>
      </c>
      <c r="I1195" s="10" t="s">
        <v>973</v>
      </c>
      <c r="J1195" s="12" t="str">
        <f>IF(OR(TED[[#This Row],[SITUACAO]]=1,TED[[#This Row],[SITUACAO]]=9,TED[[#This Row],[SITUACAO]]=18),"ATIVO","AFASTADO")</f>
        <v>ATIVO</v>
      </c>
      <c r="K1195" s="12">
        <v>1</v>
      </c>
    </row>
    <row r="1196" spans="1:11" x14ac:dyDescent="0.25">
      <c r="A1196" s="10">
        <v>22408</v>
      </c>
      <c r="B1196" s="9" t="s">
        <v>1226</v>
      </c>
      <c r="C1196" s="12" t="str">
        <f>IFERROR(VLOOKUP(TED[[#This Row],[CENTRO]],'CENTRO DE CUSTO'!B:E,4,FALSE)," ")</f>
        <v>MARCOS</v>
      </c>
      <c r="D1196" s="12">
        <v>101</v>
      </c>
      <c r="E1196" s="16">
        <v>101001</v>
      </c>
      <c r="F1196" s="10" t="s">
        <v>1902</v>
      </c>
      <c r="G1196" s="10">
        <v>220</v>
      </c>
      <c r="H1196" s="11">
        <v>44749</v>
      </c>
      <c r="I1196" s="10" t="s">
        <v>947</v>
      </c>
      <c r="J1196" s="12" t="str">
        <f>IF(OR(TED[[#This Row],[SITUACAO]]=1,TED[[#This Row],[SITUACAO]]=9,TED[[#This Row],[SITUACAO]]=18),"ATIVO","AFASTADO")</f>
        <v>ATIVO</v>
      </c>
      <c r="K1196" s="12">
        <v>1</v>
      </c>
    </row>
    <row r="1197" spans="1:11" x14ac:dyDescent="0.25">
      <c r="A1197" s="10">
        <v>22546</v>
      </c>
      <c r="B1197" s="9" t="s">
        <v>1341</v>
      </c>
      <c r="C1197" s="12" t="str">
        <f>IFERROR(VLOOKUP(TED[[#This Row],[CENTRO]],'CENTRO DE CUSTO'!B:E,4,FALSE)," ")</f>
        <v>JEFFERSON</v>
      </c>
      <c r="D1197" s="12">
        <v>101</v>
      </c>
      <c r="E1197" s="16">
        <v>101004</v>
      </c>
      <c r="F1197" s="10" t="s">
        <v>1905</v>
      </c>
      <c r="G1197" s="10">
        <v>220</v>
      </c>
      <c r="H1197" s="11">
        <v>44763</v>
      </c>
      <c r="I1197" s="10" t="s">
        <v>941</v>
      </c>
      <c r="J1197" s="12" t="str">
        <f>IF(OR(TED[[#This Row],[SITUACAO]]=1,TED[[#This Row],[SITUACAO]]=9,TED[[#This Row],[SITUACAO]]=18),"ATIVO","AFASTADO")</f>
        <v>ATIVO</v>
      </c>
      <c r="K1197" s="12">
        <v>1</v>
      </c>
    </row>
    <row r="1198" spans="1:11" x14ac:dyDescent="0.25">
      <c r="A1198" s="10">
        <v>28784</v>
      </c>
      <c r="B1198" s="9" t="s">
        <v>1302</v>
      </c>
      <c r="C1198" s="12" t="str">
        <f>IFERROR(VLOOKUP(TED[[#This Row],[CENTRO]],'CENTRO DE CUSTO'!B:E,4,FALSE)," ")</f>
        <v>JEFFERSON</v>
      </c>
      <c r="D1198" s="12">
        <v>101</v>
      </c>
      <c r="E1198" s="16">
        <v>101004</v>
      </c>
      <c r="F1198" s="10" t="s">
        <v>1905</v>
      </c>
      <c r="G1198" s="10">
        <v>220</v>
      </c>
      <c r="H1198" s="11">
        <v>45215</v>
      </c>
      <c r="I1198" s="10" t="s">
        <v>937</v>
      </c>
      <c r="J1198" s="12" t="str">
        <f>IF(OR(TED[[#This Row],[SITUACAO]]=1,TED[[#This Row],[SITUACAO]]=9,TED[[#This Row],[SITUACAO]]=18),"ATIVO","AFASTADO")</f>
        <v>ATIVO</v>
      </c>
      <c r="K1198" s="12">
        <v>1</v>
      </c>
    </row>
    <row r="1199" spans="1:11" x14ac:dyDescent="0.25">
      <c r="A1199" s="10">
        <v>34224</v>
      </c>
      <c r="B1199" s="9" t="s">
        <v>1554</v>
      </c>
      <c r="C1199" s="12" t="str">
        <f>IFERROR(VLOOKUP(TED[[#This Row],[CENTRO]],'CENTRO DE CUSTO'!B:E,4,FALSE)," ")</f>
        <v>MARCOS</v>
      </c>
      <c r="D1199" s="12">
        <v>101</v>
      </c>
      <c r="E1199" s="16">
        <v>101001</v>
      </c>
      <c r="F1199" s="10" t="s">
        <v>1902</v>
      </c>
      <c r="G1199" s="10">
        <v>220</v>
      </c>
      <c r="H1199" s="11">
        <v>45575</v>
      </c>
      <c r="I1199" s="10" t="s">
        <v>21</v>
      </c>
      <c r="J1199" s="12" t="str">
        <f>IF(OR(TED[[#This Row],[SITUACAO]]=1,TED[[#This Row],[SITUACAO]]=9,TED[[#This Row],[SITUACAO]]=18),"ATIVO","AFASTADO")</f>
        <v>ATIVO</v>
      </c>
      <c r="K1199" s="12">
        <v>1</v>
      </c>
    </row>
    <row r="1200" spans="1:11" x14ac:dyDescent="0.25">
      <c r="A1200" s="10">
        <v>9366</v>
      </c>
      <c r="B1200" s="9" t="s">
        <v>955</v>
      </c>
      <c r="C1200" s="12" t="str">
        <f>IFERROR(VLOOKUP(TED[[#This Row],[CENTRO]],'CENTRO DE CUSTO'!B:E,4,FALSE)," ")</f>
        <v>JEFFERSON</v>
      </c>
      <c r="D1200" s="12">
        <v>101</v>
      </c>
      <c r="E1200" s="16">
        <v>101007</v>
      </c>
      <c r="F1200" s="10" t="s">
        <v>1908</v>
      </c>
      <c r="G1200" s="10">
        <v>220</v>
      </c>
      <c r="H1200" s="11">
        <v>42907</v>
      </c>
      <c r="I1200" s="10" t="s">
        <v>935</v>
      </c>
      <c r="J1200" s="12" t="str">
        <f>IF(OR(TED[[#This Row],[SITUACAO]]=1,TED[[#This Row],[SITUACAO]]=9,TED[[#This Row],[SITUACAO]]=18),"ATIVO","AFASTADO")</f>
        <v>ATIVO</v>
      </c>
      <c r="K1200" s="12">
        <v>1</v>
      </c>
    </row>
    <row r="1201" spans="1:11" x14ac:dyDescent="0.25">
      <c r="A1201" s="10">
        <v>33860</v>
      </c>
      <c r="B1201" s="9" t="s">
        <v>1180</v>
      </c>
      <c r="C1201" s="12" t="str">
        <f>IFERROR(VLOOKUP(TED[[#This Row],[CENTRO]],'CENTRO DE CUSTO'!B:E,4,FALSE)," ")</f>
        <v>MARCOS</v>
      </c>
      <c r="D1201" s="12">
        <v>101</v>
      </c>
      <c r="E1201" s="16">
        <v>101001</v>
      </c>
      <c r="F1201" s="10" t="s">
        <v>1902</v>
      </c>
      <c r="G1201" s="10">
        <v>220</v>
      </c>
      <c r="H1201" s="11">
        <v>45552</v>
      </c>
      <c r="I1201" s="10" t="s">
        <v>933</v>
      </c>
      <c r="J1201" s="12" t="str">
        <f>IF(OR(TED[[#This Row],[SITUACAO]]=1,TED[[#This Row],[SITUACAO]]=9,TED[[#This Row],[SITUACAO]]=18),"ATIVO","AFASTADO")</f>
        <v>ATIVO</v>
      </c>
      <c r="K1201" s="12">
        <v>1</v>
      </c>
    </row>
    <row r="1202" spans="1:11" x14ac:dyDescent="0.25">
      <c r="A1202" s="10">
        <v>11193</v>
      </c>
      <c r="B1202" s="9" t="s">
        <v>954</v>
      </c>
      <c r="C1202" s="12" t="str">
        <f>IFERROR(VLOOKUP(TED[[#This Row],[CENTRO]],'CENTRO DE CUSTO'!B:E,4,FALSE)," ")</f>
        <v>MARCOS</v>
      </c>
      <c r="D1202" s="12">
        <v>101</v>
      </c>
      <c r="E1202" s="16">
        <v>101001</v>
      </c>
      <c r="F1202" s="10" t="s">
        <v>1902</v>
      </c>
      <c r="G1202" s="10">
        <v>220</v>
      </c>
      <c r="H1202" s="11">
        <v>43356</v>
      </c>
      <c r="I1202" s="10" t="s">
        <v>946</v>
      </c>
      <c r="J1202" s="12" t="str">
        <f>IF(OR(TED[[#This Row],[SITUACAO]]=1,TED[[#This Row],[SITUACAO]]=9,TED[[#This Row],[SITUACAO]]=18),"ATIVO","AFASTADO")</f>
        <v>ATIVO</v>
      </c>
      <c r="K1202" s="12">
        <v>1</v>
      </c>
    </row>
    <row r="1203" spans="1:11" x14ac:dyDescent="0.25">
      <c r="A1203" s="10">
        <v>3476</v>
      </c>
      <c r="B1203" s="9" t="s">
        <v>1198</v>
      </c>
      <c r="C1203" s="12" t="str">
        <f>IFERROR(VLOOKUP(TED[[#This Row],[CENTRO]],'CENTRO DE CUSTO'!B:E,4,FALSE)," ")</f>
        <v>MARCOS</v>
      </c>
      <c r="D1203" s="12">
        <v>101</v>
      </c>
      <c r="E1203" s="16">
        <v>101001</v>
      </c>
      <c r="F1203" s="10" t="s">
        <v>1902</v>
      </c>
      <c r="G1203" s="10">
        <v>220</v>
      </c>
      <c r="H1203" s="11">
        <v>41683</v>
      </c>
      <c r="I1203" s="10" t="s">
        <v>1</v>
      </c>
      <c r="J1203" s="12" t="str">
        <f>IF(OR(TED[[#This Row],[SITUACAO]]=1,TED[[#This Row],[SITUACAO]]=9,TED[[#This Row],[SITUACAO]]=18),"ATIVO","AFASTADO")</f>
        <v>ATIVO</v>
      </c>
      <c r="K1203" s="12">
        <v>9</v>
      </c>
    </row>
    <row r="1204" spans="1:11" x14ac:dyDescent="0.25">
      <c r="A1204" s="10">
        <v>44218</v>
      </c>
      <c r="B1204" s="9" t="s">
        <v>2078</v>
      </c>
      <c r="C1204" s="12" t="str">
        <f>IFERROR(VLOOKUP(TED[[#This Row],[CENTRO]],'CENTRO DE CUSTO'!B:E,4,FALSE)," ")</f>
        <v>JEFFERSON</v>
      </c>
      <c r="D1204" s="12">
        <v>101</v>
      </c>
      <c r="E1204" s="16">
        <v>101003</v>
      </c>
      <c r="F1204" s="10" t="s">
        <v>1904</v>
      </c>
      <c r="G1204" s="10">
        <v>220</v>
      </c>
      <c r="H1204" s="11">
        <v>46079</v>
      </c>
      <c r="I1204" s="10" t="s">
        <v>947</v>
      </c>
      <c r="J1204" s="12" t="str">
        <f>IF(OR(TED[[#This Row],[SITUACAO]]=1,TED[[#This Row],[SITUACAO]]=9,TED[[#This Row],[SITUACAO]]=18),"ATIVO","AFASTADO")</f>
        <v>ATIVO</v>
      </c>
      <c r="K1204" s="12">
        <v>1</v>
      </c>
    </row>
    <row r="1205" spans="1:11" x14ac:dyDescent="0.25">
      <c r="A1205" s="10">
        <v>22241</v>
      </c>
      <c r="B1205" s="9" t="s">
        <v>1513</v>
      </c>
      <c r="C1205" s="12" t="str">
        <f>IFERROR(VLOOKUP(TED[[#This Row],[CENTRO]],'CENTRO DE CUSTO'!B:E,4,FALSE)," ")</f>
        <v>JEFFERSON</v>
      </c>
      <c r="D1205" s="12">
        <v>101</v>
      </c>
      <c r="E1205" s="16">
        <v>101009</v>
      </c>
      <c r="F1205" s="10" t="s">
        <v>1910</v>
      </c>
      <c r="G1205" s="10">
        <v>220</v>
      </c>
      <c r="H1205" s="11">
        <v>44733</v>
      </c>
      <c r="I1205" s="10" t="s">
        <v>935</v>
      </c>
      <c r="J1205" s="12" t="str">
        <f>IF(OR(TED[[#This Row],[SITUACAO]]=1,TED[[#This Row],[SITUACAO]]=9,TED[[#This Row],[SITUACAO]]=18),"ATIVO","AFASTADO")</f>
        <v>ATIVO</v>
      </c>
      <c r="K1205" s="12">
        <v>1</v>
      </c>
    </row>
    <row r="1206" spans="1:11" x14ac:dyDescent="0.25">
      <c r="A1206" s="10">
        <v>7347</v>
      </c>
      <c r="B1206" s="9" t="s">
        <v>1344</v>
      </c>
      <c r="C1206" s="12" t="str">
        <f>IFERROR(VLOOKUP(TED[[#This Row],[CENTRO]],'CENTRO DE CUSTO'!B:E,4,FALSE)," ")</f>
        <v>JEFFERSON</v>
      </c>
      <c r="D1206" s="12">
        <v>101</v>
      </c>
      <c r="E1206" s="16">
        <v>101004</v>
      </c>
      <c r="F1206" s="10" t="s">
        <v>1905</v>
      </c>
      <c r="G1206" s="10">
        <v>220</v>
      </c>
      <c r="H1206" s="11">
        <v>42461</v>
      </c>
      <c r="I1206" s="10" t="s">
        <v>941</v>
      </c>
      <c r="J1206" s="12" t="str">
        <f>IF(OR(TED[[#This Row],[SITUACAO]]=1,TED[[#This Row],[SITUACAO]]=9,TED[[#This Row],[SITUACAO]]=18),"ATIVO","AFASTADO")</f>
        <v>ATIVO</v>
      </c>
      <c r="K1206" s="12">
        <v>1</v>
      </c>
    </row>
    <row r="1207" spans="1:11" x14ac:dyDescent="0.25">
      <c r="A1207" s="10">
        <v>15805</v>
      </c>
      <c r="B1207" s="9" t="s">
        <v>1271</v>
      </c>
      <c r="C1207" s="12" t="str">
        <f>IFERROR(VLOOKUP(TED[[#This Row],[CENTRO]],'CENTRO DE CUSTO'!B:E,4,FALSE)," ")</f>
        <v>JEFFERSON</v>
      </c>
      <c r="D1207" s="12">
        <v>101</v>
      </c>
      <c r="E1207" s="16">
        <v>101003</v>
      </c>
      <c r="F1207" s="10" t="s">
        <v>1904</v>
      </c>
      <c r="G1207" s="10">
        <v>220</v>
      </c>
      <c r="H1207" s="11">
        <v>44256</v>
      </c>
      <c r="I1207" s="10" t="s">
        <v>21</v>
      </c>
      <c r="J1207" s="12" t="str">
        <f>IF(OR(TED[[#This Row],[SITUACAO]]=1,TED[[#This Row],[SITUACAO]]=9,TED[[#This Row],[SITUACAO]]=18),"ATIVO","AFASTADO")</f>
        <v>AFASTADO</v>
      </c>
      <c r="K1207" s="12">
        <v>6</v>
      </c>
    </row>
    <row r="1208" spans="1:11" x14ac:dyDescent="0.25">
      <c r="A1208" s="10">
        <v>22535</v>
      </c>
      <c r="B1208" s="9" t="s">
        <v>520</v>
      </c>
      <c r="C1208" s="12" t="str">
        <f>IFERROR(VLOOKUP(TED[[#This Row],[CENTRO]],'CENTRO DE CUSTO'!B:E,4,FALSE)," ")</f>
        <v>MARCOS</v>
      </c>
      <c r="D1208" s="12">
        <v>101</v>
      </c>
      <c r="E1208" s="16">
        <v>101010</v>
      </c>
      <c r="F1208" s="10" t="s">
        <v>1911</v>
      </c>
      <c r="G1208" s="10">
        <v>220</v>
      </c>
      <c r="H1208" s="11">
        <v>44762</v>
      </c>
      <c r="I1208" s="10" t="s">
        <v>1</v>
      </c>
      <c r="J1208" s="12" t="str">
        <f>IF(OR(TED[[#This Row],[SITUACAO]]=1,TED[[#This Row],[SITUACAO]]=9,TED[[#This Row],[SITUACAO]]=18),"ATIVO","AFASTADO")</f>
        <v>ATIVO</v>
      </c>
      <c r="K1208" s="12">
        <v>1</v>
      </c>
    </row>
    <row r="1209" spans="1:11" x14ac:dyDescent="0.25">
      <c r="A1209" s="10">
        <v>17550</v>
      </c>
      <c r="B1209" s="9" t="s">
        <v>1305</v>
      </c>
      <c r="C1209" s="12" t="str">
        <f>IFERROR(VLOOKUP(TED[[#This Row],[CENTRO]],'CENTRO DE CUSTO'!B:E,4,FALSE)," ")</f>
        <v>JEFFERSON</v>
      </c>
      <c r="D1209" s="12">
        <v>101</v>
      </c>
      <c r="E1209" s="16">
        <v>101004</v>
      </c>
      <c r="F1209" s="10" t="s">
        <v>1905</v>
      </c>
      <c r="G1209" s="10">
        <v>220</v>
      </c>
      <c r="H1209" s="11">
        <v>44447</v>
      </c>
      <c r="I1209" s="10" t="s">
        <v>1</v>
      </c>
      <c r="J1209" s="12" t="str">
        <f>IF(OR(TED[[#This Row],[SITUACAO]]=1,TED[[#This Row],[SITUACAO]]=9,TED[[#This Row],[SITUACAO]]=18),"ATIVO","AFASTADO")</f>
        <v>ATIVO</v>
      </c>
      <c r="K1209" s="12">
        <v>1</v>
      </c>
    </row>
    <row r="1210" spans="1:11" x14ac:dyDescent="0.25">
      <c r="A1210" s="10">
        <v>10506</v>
      </c>
      <c r="B1210" s="9" t="s">
        <v>1340</v>
      </c>
      <c r="C1210" s="12" t="str">
        <f>IFERROR(VLOOKUP(TED[[#This Row],[CENTRO]],'CENTRO DE CUSTO'!B:E,4,FALSE)," ")</f>
        <v>JEFFERSON</v>
      </c>
      <c r="D1210" s="12">
        <v>101</v>
      </c>
      <c r="E1210" s="16">
        <v>101004</v>
      </c>
      <c r="F1210" s="10" t="s">
        <v>1905</v>
      </c>
      <c r="G1210" s="10">
        <v>220</v>
      </c>
      <c r="H1210" s="11">
        <v>43199</v>
      </c>
      <c r="I1210" s="10" t="s">
        <v>941</v>
      </c>
      <c r="J1210" s="12" t="str">
        <f>IF(OR(TED[[#This Row],[SITUACAO]]=1,TED[[#This Row],[SITUACAO]]=9,TED[[#This Row],[SITUACAO]]=18),"ATIVO","AFASTADO")</f>
        <v>ATIVO</v>
      </c>
      <c r="K1210" s="12">
        <v>1</v>
      </c>
    </row>
    <row r="1211" spans="1:11" x14ac:dyDescent="0.25">
      <c r="A1211" s="10">
        <v>41318</v>
      </c>
      <c r="B1211" s="9" t="s">
        <v>1285</v>
      </c>
      <c r="C1211" s="12" t="str">
        <f>IFERROR(VLOOKUP(TED[[#This Row],[CENTRO]],'CENTRO DE CUSTO'!B:E,4,FALSE)," ")</f>
        <v>JEFFERSON</v>
      </c>
      <c r="D1211" s="12">
        <v>101</v>
      </c>
      <c r="E1211" s="16">
        <v>101004</v>
      </c>
      <c r="F1211" s="10" t="s">
        <v>1905</v>
      </c>
      <c r="G1211" s="10">
        <v>220</v>
      </c>
      <c r="H1211" s="11">
        <v>45924</v>
      </c>
      <c r="I1211" s="10" t="s">
        <v>948</v>
      </c>
      <c r="J1211" s="12" t="str">
        <f>IF(OR(TED[[#This Row],[SITUACAO]]=1,TED[[#This Row],[SITUACAO]]=9,TED[[#This Row],[SITUACAO]]=18),"ATIVO","AFASTADO")</f>
        <v>ATIVO</v>
      </c>
      <c r="K1211" s="12">
        <v>1</v>
      </c>
    </row>
    <row r="1212" spans="1:11" x14ac:dyDescent="0.25">
      <c r="A1212" s="10">
        <v>9365</v>
      </c>
      <c r="B1212" s="9" t="s">
        <v>1256</v>
      </c>
      <c r="C1212" s="12" t="str">
        <f>IFERROR(VLOOKUP(TED[[#This Row],[CENTRO]],'CENTRO DE CUSTO'!B:E,4,FALSE)," ")</f>
        <v>JEFFERSON</v>
      </c>
      <c r="D1212" s="12">
        <v>101</v>
      </c>
      <c r="E1212" s="16">
        <v>101002</v>
      </c>
      <c r="F1212" s="10" t="s">
        <v>1903</v>
      </c>
      <c r="G1212" s="10">
        <v>220</v>
      </c>
      <c r="H1212" s="11">
        <v>42905</v>
      </c>
      <c r="I1212" s="10" t="s">
        <v>942</v>
      </c>
      <c r="J1212" s="12" t="str">
        <f>IF(OR(TED[[#This Row],[SITUACAO]]=1,TED[[#This Row],[SITUACAO]]=9,TED[[#This Row],[SITUACAO]]=18),"ATIVO","AFASTADO")</f>
        <v>ATIVO</v>
      </c>
      <c r="K1212" s="12">
        <v>1</v>
      </c>
    </row>
    <row r="1213" spans="1:11" x14ac:dyDescent="0.25">
      <c r="A1213" s="10">
        <v>17284</v>
      </c>
      <c r="B1213" s="9" t="s">
        <v>1253</v>
      </c>
      <c r="C1213" s="12" t="str">
        <f>IFERROR(VLOOKUP(TED[[#This Row],[CENTRO]],'CENTRO DE CUSTO'!B:E,4,FALSE)," ")</f>
        <v>JEFFERSON</v>
      </c>
      <c r="D1213" s="12">
        <v>101</v>
      </c>
      <c r="E1213" s="16">
        <v>101002</v>
      </c>
      <c r="F1213" s="10" t="s">
        <v>1903</v>
      </c>
      <c r="G1213" s="10">
        <v>220</v>
      </c>
      <c r="H1213" s="11">
        <v>44413</v>
      </c>
      <c r="I1213" s="10" t="s">
        <v>941</v>
      </c>
      <c r="J1213" s="12" t="str">
        <f>IF(OR(TED[[#This Row],[SITUACAO]]=1,TED[[#This Row],[SITUACAO]]=9,TED[[#This Row],[SITUACAO]]=18),"ATIVO","AFASTADO")</f>
        <v>ATIVO</v>
      </c>
      <c r="K1213" s="12">
        <v>1</v>
      </c>
    </row>
    <row r="1214" spans="1:11" x14ac:dyDescent="0.25">
      <c r="A1214" s="10">
        <v>7411</v>
      </c>
      <c r="B1214" s="9" t="s">
        <v>1548</v>
      </c>
      <c r="C1214" s="12" t="str">
        <f>IFERROR(VLOOKUP(TED[[#This Row],[CENTRO]],'CENTRO DE CUSTO'!B:E,4,FALSE)," ")</f>
        <v>MARCOS</v>
      </c>
      <c r="D1214" s="12">
        <v>101</v>
      </c>
      <c r="E1214" s="16">
        <v>101010</v>
      </c>
      <c r="F1214" s="10" t="s">
        <v>1911</v>
      </c>
      <c r="G1214" s="10">
        <v>220</v>
      </c>
      <c r="H1214" s="11">
        <v>42461</v>
      </c>
      <c r="I1214" s="10" t="s">
        <v>941</v>
      </c>
      <c r="J1214" s="12" t="str">
        <f>IF(OR(TED[[#This Row],[SITUACAO]]=1,TED[[#This Row],[SITUACAO]]=9,TED[[#This Row],[SITUACAO]]=18),"ATIVO","AFASTADO")</f>
        <v>ATIVO</v>
      </c>
      <c r="K1214" s="12">
        <v>1</v>
      </c>
    </row>
    <row r="1215" spans="1:11" x14ac:dyDescent="0.25">
      <c r="A1215" s="10">
        <v>12301</v>
      </c>
      <c r="B1215" s="9" t="s">
        <v>1361</v>
      </c>
      <c r="C1215" s="12" t="str">
        <f>IFERROR(VLOOKUP(TED[[#This Row],[CENTRO]],'CENTRO DE CUSTO'!B:E,4,FALSE)," ")</f>
        <v>JEFFERSON</v>
      </c>
      <c r="D1215" s="12">
        <v>101</v>
      </c>
      <c r="E1215" s="16">
        <v>101004</v>
      </c>
      <c r="F1215" s="10" t="s">
        <v>1905</v>
      </c>
      <c r="G1215" s="10">
        <v>220</v>
      </c>
      <c r="H1215" s="11">
        <v>43531</v>
      </c>
      <c r="I1215" s="10" t="s">
        <v>21</v>
      </c>
      <c r="J1215" s="12" t="str">
        <f>IF(OR(TED[[#This Row],[SITUACAO]]=1,TED[[#This Row],[SITUACAO]]=9,TED[[#This Row],[SITUACAO]]=18),"ATIVO","AFASTADO")</f>
        <v>ATIVO</v>
      </c>
      <c r="K1215" s="12">
        <v>1</v>
      </c>
    </row>
    <row r="1216" spans="1:11" x14ac:dyDescent="0.25">
      <c r="A1216" s="10">
        <v>17543</v>
      </c>
      <c r="B1216" s="9" t="s">
        <v>1456</v>
      </c>
      <c r="C1216" s="12" t="str">
        <f>IFERROR(VLOOKUP(TED[[#This Row],[CENTRO]],'CENTRO DE CUSTO'!B:E,4,FALSE)," ")</f>
        <v>MARCOS</v>
      </c>
      <c r="D1216" s="12">
        <v>101</v>
      </c>
      <c r="E1216" s="16">
        <v>101001</v>
      </c>
      <c r="F1216" s="10" t="s">
        <v>1902</v>
      </c>
      <c r="G1216" s="10">
        <v>220</v>
      </c>
      <c r="H1216" s="11">
        <v>44447</v>
      </c>
      <c r="I1216" s="10" t="s">
        <v>1</v>
      </c>
      <c r="J1216" s="12" t="str">
        <f>IF(OR(TED[[#This Row],[SITUACAO]]=1,TED[[#This Row],[SITUACAO]]=9,TED[[#This Row],[SITUACAO]]=18),"ATIVO","AFASTADO")</f>
        <v>ATIVO</v>
      </c>
      <c r="K1216" s="12">
        <v>1</v>
      </c>
    </row>
    <row r="1217" spans="1:11" x14ac:dyDescent="0.25">
      <c r="A1217" s="10">
        <v>8325</v>
      </c>
      <c r="B1217" s="9" t="s">
        <v>1369</v>
      </c>
      <c r="C1217" s="12" t="str">
        <f>IFERROR(VLOOKUP(TED[[#This Row],[CENTRO]],'CENTRO DE CUSTO'!B:E,4,FALSE)," ")</f>
        <v>JEFFERSON</v>
      </c>
      <c r="D1217" s="12">
        <v>101</v>
      </c>
      <c r="E1217" s="16">
        <v>101004</v>
      </c>
      <c r="F1217" s="10" t="s">
        <v>1905</v>
      </c>
      <c r="G1217" s="10">
        <v>220</v>
      </c>
      <c r="H1217" s="11">
        <v>42737</v>
      </c>
      <c r="I1217" s="10" t="s">
        <v>937</v>
      </c>
      <c r="J1217" s="12" t="str">
        <f>IF(OR(TED[[#This Row],[SITUACAO]]=1,TED[[#This Row],[SITUACAO]]=9,TED[[#This Row],[SITUACAO]]=18),"ATIVO","AFASTADO")</f>
        <v>ATIVO</v>
      </c>
      <c r="K1217" s="12">
        <v>1</v>
      </c>
    </row>
    <row r="1218" spans="1:11" x14ac:dyDescent="0.25">
      <c r="A1218" s="10">
        <v>36269</v>
      </c>
      <c r="B1218" s="9" t="s">
        <v>1373</v>
      </c>
      <c r="C1218" s="12" t="str">
        <f>IFERROR(VLOOKUP(TED[[#This Row],[CENTRO]],'CENTRO DE CUSTO'!B:E,4,FALSE)," ")</f>
        <v>JEFFERSON</v>
      </c>
      <c r="D1218" s="12">
        <v>101</v>
      </c>
      <c r="E1218" s="16">
        <v>101004</v>
      </c>
      <c r="F1218" s="10" t="s">
        <v>1905</v>
      </c>
      <c r="G1218" s="10">
        <v>220</v>
      </c>
      <c r="H1218" s="11">
        <v>45693</v>
      </c>
      <c r="I1218" s="10" t="s">
        <v>941</v>
      </c>
      <c r="J1218" s="12" t="str">
        <f>IF(OR(TED[[#This Row],[SITUACAO]]=1,TED[[#This Row],[SITUACAO]]=9,TED[[#This Row],[SITUACAO]]=18),"ATIVO","AFASTADO")</f>
        <v>ATIVO</v>
      </c>
      <c r="K1218" s="12">
        <v>1</v>
      </c>
    </row>
    <row r="1219" spans="1:11" x14ac:dyDescent="0.25">
      <c r="A1219" s="10">
        <v>7395</v>
      </c>
      <c r="B1219" s="9" t="s">
        <v>1545</v>
      </c>
      <c r="C1219" s="12" t="str">
        <f>IFERROR(VLOOKUP(TED[[#This Row],[CENTRO]],'CENTRO DE CUSTO'!B:E,4,FALSE)," ")</f>
        <v>MARCOS</v>
      </c>
      <c r="D1219" s="12">
        <v>101</v>
      </c>
      <c r="E1219" s="16">
        <v>101010</v>
      </c>
      <c r="F1219" s="10" t="s">
        <v>1911</v>
      </c>
      <c r="G1219" s="10">
        <v>220</v>
      </c>
      <c r="H1219" s="11">
        <v>42461</v>
      </c>
      <c r="I1219" s="10" t="s">
        <v>21</v>
      </c>
      <c r="J1219" s="12" t="str">
        <f>IF(OR(TED[[#This Row],[SITUACAO]]=1,TED[[#This Row],[SITUACAO]]=9,TED[[#This Row],[SITUACAO]]=18),"ATIVO","AFASTADO")</f>
        <v>ATIVO</v>
      </c>
      <c r="K1219" s="12">
        <v>1</v>
      </c>
    </row>
    <row r="1220" spans="1:11" x14ac:dyDescent="0.25">
      <c r="A1220" s="10">
        <v>7335</v>
      </c>
      <c r="B1220" s="9" t="s">
        <v>953</v>
      </c>
      <c r="C1220" s="12" t="str">
        <f>IFERROR(VLOOKUP(TED[[#This Row],[CENTRO]],'CENTRO DE CUSTO'!B:E,4,FALSE)," ")</f>
        <v>JEFFERSON</v>
      </c>
      <c r="D1220" s="12">
        <v>101</v>
      </c>
      <c r="E1220" s="16">
        <v>101004</v>
      </c>
      <c r="F1220" s="10" t="s">
        <v>1905</v>
      </c>
      <c r="G1220" s="10">
        <v>220</v>
      </c>
      <c r="H1220" s="11">
        <v>42461</v>
      </c>
      <c r="I1220" s="10" t="s">
        <v>1</v>
      </c>
      <c r="J1220" s="12" t="str">
        <f>IF(OR(TED[[#This Row],[SITUACAO]]=1,TED[[#This Row],[SITUACAO]]=9,TED[[#This Row],[SITUACAO]]=18),"ATIVO","AFASTADO")</f>
        <v>ATIVO</v>
      </c>
      <c r="K1220" s="12">
        <v>1</v>
      </c>
    </row>
    <row r="1221" spans="1:11" x14ac:dyDescent="0.25">
      <c r="A1221" s="10">
        <v>13769</v>
      </c>
      <c r="B1221" s="9" t="s">
        <v>1541</v>
      </c>
      <c r="C1221" s="12" t="str">
        <f>IFERROR(VLOOKUP(TED[[#This Row],[CENTRO]],'CENTRO DE CUSTO'!B:E,4,FALSE)," ")</f>
        <v>MARCOS</v>
      </c>
      <c r="D1221" s="12">
        <v>101</v>
      </c>
      <c r="E1221" s="16">
        <v>101010</v>
      </c>
      <c r="F1221" s="10" t="s">
        <v>1911</v>
      </c>
      <c r="G1221" s="10">
        <v>220</v>
      </c>
      <c r="H1221" s="11">
        <v>43809</v>
      </c>
      <c r="I1221" s="10" t="s">
        <v>937</v>
      </c>
      <c r="J1221" s="12" t="str">
        <f>IF(OR(TED[[#This Row],[SITUACAO]]=1,TED[[#This Row],[SITUACAO]]=9,TED[[#This Row],[SITUACAO]]=18),"ATIVO","AFASTADO")</f>
        <v>ATIVO</v>
      </c>
      <c r="K1221" s="12">
        <v>1</v>
      </c>
    </row>
    <row r="1222" spans="1:11" x14ac:dyDescent="0.25">
      <c r="A1222" s="10">
        <v>7383</v>
      </c>
      <c r="B1222" s="9" t="s">
        <v>1262</v>
      </c>
      <c r="C1222" s="12" t="str">
        <f>IFERROR(VLOOKUP(TED[[#This Row],[CENTRO]],'CENTRO DE CUSTO'!B:E,4,FALSE)," ")</f>
        <v>JEFFERSON</v>
      </c>
      <c r="D1222" s="12">
        <v>101</v>
      </c>
      <c r="E1222" s="16">
        <v>101002</v>
      </c>
      <c r="F1222" s="10" t="s">
        <v>1903</v>
      </c>
      <c r="G1222" s="10">
        <v>220</v>
      </c>
      <c r="H1222" s="11">
        <v>42461</v>
      </c>
      <c r="I1222" s="10" t="s">
        <v>942</v>
      </c>
      <c r="J1222" s="12" t="str">
        <f>IF(OR(TED[[#This Row],[SITUACAO]]=1,TED[[#This Row],[SITUACAO]]=9,TED[[#This Row],[SITUACAO]]=18),"ATIVO","AFASTADO")</f>
        <v>ATIVO</v>
      </c>
      <c r="K1222" s="12">
        <v>1</v>
      </c>
    </row>
    <row r="1223" spans="1:11" x14ac:dyDescent="0.25">
      <c r="A1223" s="10">
        <v>36690</v>
      </c>
      <c r="B1223" s="9" t="s">
        <v>1527</v>
      </c>
      <c r="C1223" s="12" t="str">
        <f>IFERROR(VLOOKUP(TED[[#This Row],[CENTRO]],'CENTRO DE CUSTO'!B:E,4,FALSE)," ")</f>
        <v>MARCOS</v>
      </c>
      <c r="D1223" s="12">
        <v>101</v>
      </c>
      <c r="E1223" s="16">
        <v>101010</v>
      </c>
      <c r="F1223" s="10" t="s">
        <v>1911</v>
      </c>
      <c r="G1223" s="10">
        <v>220</v>
      </c>
      <c r="H1223" s="11">
        <v>45695</v>
      </c>
      <c r="I1223" s="10" t="s">
        <v>948</v>
      </c>
      <c r="J1223" s="12" t="str">
        <f>IF(OR(TED[[#This Row],[SITUACAO]]=1,TED[[#This Row],[SITUACAO]]=9,TED[[#This Row],[SITUACAO]]=18),"ATIVO","AFASTADO")</f>
        <v>ATIVO</v>
      </c>
      <c r="K1223" s="12">
        <v>1</v>
      </c>
    </row>
    <row r="1224" spans="1:11" x14ac:dyDescent="0.25">
      <c r="A1224" s="10">
        <v>20983</v>
      </c>
      <c r="B1224" s="9" t="s">
        <v>1225</v>
      </c>
      <c r="C1224" s="12" t="str">
        <f>IFERROR(VLOOKUP(TED[[#This Row],[CENTRO]],'CENTRO DE CUSTO'!B:E,4,FALSE)," ")</f>
        <v>MARCOS</v>
      </c>
      <c r="D1224" s="12">
        <v>101</v>
      </c>
      <c r="E1224" s="16">
        <v>101001</v>
      </c>
      <c r="F1224" s="10" t="s">
        <v>1902</v>
      </c>
      <c r="G1224" s="10">
        <v>220</v>
      </c>
      <c r="H1224" s="11">
        <v>44683</v>
      </c>
      <c r="I1224" s="10" t="s">
        <v>947</v>
      </c>
      <c r="J1224" s="12" t="str">
        <f>IF(OR(TED[[#This Row],[SITUACAO]]=1,TED[[#This Row],[SITUACAO]]=9,TED[[#This Row],[SITUACAO]]=18),"ATIVO","AFASTADO")</f>
        <v>ATIVO</v>
      </c>
      <c r="K1224" s="12">
        <v>1</v>
      </c>
    </row>
    <row r="1225" spans="1:11" x14ac:dyDescent="0.25">
      <c r="A1225" s="10">
        <v>8703</v>
      </c>
      <c r="B1225" s="9" t="s">
        <v>162</v>
      </c>
      <c r="C1225" s="12" t="str">
        <f>IFERROR(VLOOKUP(TED[[#This Row],[CENTRO]],'CENTRO DE CUSTO'!B:E,4,FALSE)," ")</f>
        <v>MARCOS</v>
      </c>
      <c r="D1225" s="12">
        <v>101</v>
      </c>
      <c r="E1225" s="16">
        <v>101010</v>
      </c>
      <c r="F1225" s="10" t="s">
        <v>1911</v>
      </c>
      <c r="G1225" s="10">
        <v>220</v>
      </c>
      <c r="H1225" s="11">
        <v>42767</v>
      </c>
      <c r="I1225" s="10" t="s">
        <v>941</v>
      </c>
      <c r="J1225" s="12" t="str">
        <f>IF(OR(TED[[#This Row],[SITUACAO]]=1,TED[[#This Row],[SITUACAO]]=9,TED[[#This Row],[SITUACAO]]=18),"ATIVO","AFASTADO")</f>
        <v>AFASTADO</v>
      </c>
      <c r="K1225" s="12">
        <v>6</v>
      </c>
    </row>
    <row r="1226" spans="1:11" x14ac:dyDescent="0.25">
      <c r="A1226" s="10">
        <v>32693</v>
      </c>
      <c r="B1226" s="9" t="s">
        <v>1510</v>
      </c>
      <c r="C1226" s="12" t="str">
        <f>IFERROR(VLOOKUP(TED[[#This Row],[CENTRO]],'CENTRO DE CUSTO'!B:E,4,FALSE)," ")</f>
        <v>MARCOS</v>
      </c>
      <c r="D1226" s="12">
        <v>101</v>
      </c>
      <c r="E1226" s="16">
        <v>101008</v>
      </c>
      <c r="F1226" s="10" t="s">
        <v>1909</v>
      </c>
      <c r="G1226" s="10">
        <v>220</v>
      </c>
      <c r="H1226" s="11">
        <v>45439</v>
      </c>
      <c r="I1226" s="10" t="s">
        <v>1</v>
      </c>
      <c r="J1226" s="12" t="str">
        <f>IF(OR(TED[[#This Row],[SITUACAO]]=1,TED[[#This Row],[SITUACAO]]=9,TED[[#This Row],[SITUACAO]]=18),"ATIVO","AFASTADO")</f>
        <v>ATIVO</v>
      </c>
      <c r="K1226" s="12">
        <v>1</v>
      </c>
    </row>
    <row r="1227" spans="1:11" x14ac:dyDescent="0.25">
      <c r="A1227" s="10">
        <v>20321</v>
      </c>
      <c r="B1227" s="9" t="s">
        <v>1394</v>
      </c>
      <c r="C1227" s="12" t="str">
        <f>IFERROR(VLOOKUP(TED[[#This Row],[CENTRO]],'CENTRO DE CUSTO'!B:E,4,FALSE)," ")</f>
        <v>JEFFERSON</v>
      </c>
      <c r="D1227" s="12">
        <v>101</v>
      </c>
      <c r="E1227" s="16">
        <v>101004</v>
      </c>
      <c r="F1227" s="10" t="s">
        <v>1905</v>
      </c>
      <c r="G1227" s="10">
        <v>220</v>
      </c>
      <c r="H1227" s="11">
        <v>44602</v>
      </c>
      <c r="I1227" s="10" t="s">
        <v>1</v>
      </c>
      <c r="J1227" s="12" t="str">
        <f>IF(OR(TED[[#This Row],[SITUACAO]]=1,TED[[#This Row],[SITUACAO]]=9,TED[[#This Row],[SITUACAO]]=18),"ATIVO","AFASTADO")</f>
        <v>AFASTADO</v>
      </c>
      <c r="K1227" s="12">
        <v>6</v>
      </c>
    </row>
    <row r="1228" spans="1:11" x14ac:dyDescent="0.25">
      <c r="A1228" s="10">
        <v>20508</v>
      </c>
      <c r="B1228" s="9" t="s">
        <v>1317</v>
      </c>
      <c r="C1228" s="12" t="str">
        <f>IFERROR(VLOOKUP(TED[[#This Row],[CENTRO]],'CENTRO DE CUSTO'!B:E,4,FALSE)," ")</f>
        <v>JEFFERSON</v>
      </c>
      <c r="D1228" s="12">
        <v>101</v>
      </c>
      <c r="E1228" s="16">
        <v>101004</v>
      </c>
      <c r="F1228" s="10" t="s">
        <v>1905</v>
      </c>
      <c r="G1228" s="10">
        <v>220</v>
      </c>
      <c r="H1228" s="11">
        <v>44623</v>
      </c>
      <c r="I1228" s="10" t="s">
        <v>941</v>
      </c>
      <c r="J1228" s="12" t="str">
        <f>IF(OR(TED[[#This Row],[SITUACAO]]=1,TED[[#This Row],[SITUACAO]]=9,TED[[#This Row],[SITUACAO]]=18),"ATIVO","AFASTADO")</f>
        <v>ATIVO</v>
      </c>
      <c r="K1228" s="12">
        <v>1</v>
      </c>
    </row>
    <row r="1229" spans="1:11" x14ac:dyDescent="0.25">
      <c r="A1229" s="10">
        <v>22132</v>
      </c>
      <c r="B1229" s="9" t="s">
        <v>1241</v>
      </c>
      <c r="C1229" s="12" t="str">
        <f>IFERROR(VLOOKUP(TED[[#This Row],[CENTRO]],'CENTRO DE CUSTO'!B:E,4,FALSE)," ")</f>
        <v>JEFFERSON</v>
      </c>
      <c r="D1229" s="12">
        <v>101</v>
      </c>
      <c r="E1229" s="16">
        <v>101002</v>
      </c>
      <c r="F1229" s="10" t="s">
        <v>1903</v>
      </c>
      <c r="G1229" s="10">
        <v>220</v>
      </c>
      <c r="H1229" s="11">
        <v>44718</v>
      </c>
      <c r="I1229" s="10" t="s">
        <v>942</v>
      </c>
      <c r="J1229" s="12" t="str">
        <f>IF(OR(TED[[#This Row],[SITUACAO]]=1,TED[[#This Row],[SITUACAO]]=9,TED[[#This Row],[SITUACAO]]=18),"ATIVO","AFASTADO")</f>
        <v>ATIVO</v>
      </c>
      <c r="K1229" s="12">
        <v>1</v>
      </c>
    </row>
    <row r="1230" spans="1:11" x14ac:dyDescent="0.25">
      <c r="A1230" s="10">
        <v>34280</v>
      </c>
      <c r="B1230" s="9" t="s">
        <v>1337</v>
      </c>
      <c r="C1230" s="12" t="str">
        <f>IFERROR(VLOOKUP(TED[[#This Row],[CENTRO]],'CENTRO DE CUSTO'!B:E,4,FALSE)," ")</f>
        <v>MARCOS</v>
      </c>
      <c r="D1230" s="12">
        <v>101</v>
      </c>
      <c r="E1230" s="16">
        <v>101005</v>
      </c>
      <c r="F1230" s="10" t="s">
        <v>1906</v>
      </c>
      <c r="G1230" s="10">
        <v>220</v>
      </c>
      <c r="H1230" s="11">
        <v>45582</v>
      </c>
      <c r="I1230" s="10" t="s">
        <v>1007</v>
      </c>
      <c r="J1230" s="12" t="str">
        <f>IF(OR(TED[[#This Row],[SITUACAO]]=1,TED[[#This Row],[SITUACAO]]=9,TED[[#This Row],[SITUACAO]]=18),"ATIVO","AFASTADO")</f>
        <v>ATIVO</v>
      </c>
      <c r="K1230" s="12">
        <v>1</v>
      </c>
    </row>
    <row r="1231" spans="1:11" x14ac:dyDescent="0.25">
      <c r="A1231" s="10">
        <v>15024</v>
      </c>
      <c r="B1231" s="9" t="s">
        <v>1204</v>
      </c>
      <c r="C1231" s="12" t="str">
        <f>IFERROR(VLOOKUP(TED[[#This Row],[CENTRO]],'CENTRO DE CUSTO'!B:E,4,FALSE)," ")</f>
        <v>MARCOS</v>
      </c>
      <c r="D1231" s="12">
        <v>101</v>
      </c>
      <c r="E1231" s="16">
        <v>101001</v>
      </c>
      <c r="F1231" s="10" t="s">
        <v>1902</v>
      </c>
      <c r="G1231" s="10">
        <v>220</v>
      </c>
      <c r="H1231" s="11">
        <v>44211</v>
      </c>
      <c r="I1231" s="10" t="s">
        <v>933</v>
      </c>
      <c r="J1231" s="12" t="str">
        <f>IF(OR(TED[[#This Row],[SITUACAO]]=1,TED[[#This Row],[SITUACAO]]=9,TED[[#This Row],[SITUACAO]]=18),"ATIVO","AFASTADO")</f>
        <v>ATIVO</v>
      </c>
      <c r="K1231" s="12">
        <v>9</v>
      </c>
    </row>
    <row r="1232" spans="1:11" x14ac:dyDescent="0.25">
      <c r="A1232" s="10">
        <v>31961</v>
      </c>
      <c r="B1232" s="9" t="s">
        <v>1263</v>
      </c>
      <c r="C1232" s="12" t="str">
        <f>IFERROR(VLOOKUP(TED[[#This Row],[CENTRO]],'CENTRO DE CUSTO'!B:E,4,FALSE)," ")</f>
        <v>JEFFERSON</v>
      </c>
      <c r="D1232" s="12">
        <v>101</v>
      </c>
      <c r="E1232" s="16">
        <v>101002</v>
      </c>
      <c r="F1232" s="10" t="s">
        <v>1903</v>
      </c>
      <c r="G1232" s="10">
        <v>220</v>
      </c>
      <c r="H1232" s="11">
        <v>45385</v>
      </c>
      <c r="I1232" s="10" t="s">
        <v>941</v>
      </c>
      <c r="J1232" s="12" t="str">
        <f>IF(OR(TED[[#This Row],[SITUACAO]]=1,TED[[#This Row],[SITUACAO]]=9,TED[[#This Row],[SITUACAO]]=18),"ATIVO","AFASTADO")</f>
        <v>AFASTADO</v>
      </c>
      <c r="K1232" s="12">
        <v>12</v>
      </c>
    </row>
    <row r="1233" spans="1:11" x14ac:dyDescent="0.25">
      <c r="A1233" s="10">
        <v>21210</v>
      </c>
      <c r="B1233" s="9" t="s">
        <v>1474</v>
      </c>
      <c r="C1233" s="12" t="str">
        <f>IFERROR(VLOOKUP(TED[[#This Row],[CENTRO]],'CENTRO DE CUSTO'!B:E,4,FALSE)," ")</f>
        <v>JEFFERSON</v>
      </c>
      <c r="D1233" s="12">
        <v>101</v>
      </c>
      <c r="E1233" s="16">
        <v>101007</v>
      </c>
      <c r="F1233" s="10" t="s">
        <v>1908</v>
      </c>
      <c r="G1233" s="10">
        <v>220</v>
      </c>
      <c r="H1233" s="11">
        <v>44704</v>
      </c>
      <c r="I1233" s="10" t="s">
        <v>1994</v>
      </c>
      <c r="J1233" s="12" t="str">
        <f>IF(OR(TED[[#This Row],[SITUACAO]]=1,TED[[#This Row],[SITUACAO]]=9,TED[[#This Row],[SITUACAO]]=18),"ATIVO","AFASTADO")</f>
        <v>ATIVO</v>
      </c>
      <c r="K1233" s="12">
        <v>1</v>
      </c>
    </row>
    <row r="1234" spans="1:11" x14ac:dyDescent="0.25">
      <c r="A1234" s="10">
        <v>45597</v>
      </c>
      <c r="B1234" s="9" t="s">
        <v>2229</v>
      </c>
      <c r="C1234" s="12" t="str">
        <f>IFERROR(VLOOKUP(TED[[#This Row],[CENTRO]],'CENTRO DE CUSTO'!B:E,4,FALSE)," ")</f>
        <v>JEFFERSON</v>
      </c>
      <c r="D1234" s="12">
        <v>101</v>
      </c>
      <c r="E1234" s="16">
        <v>101007</v>
      </c>
      <c r="F1234" s="10" t="s">
        <v>1908</v>
      </c>
      <c r="G1234" s="10">
        <v>200</v>
      </c>
      <c r="H1234" s="11">
        <v>46155</v>
      </c>
      <c r="I1234" s="10" t="s">
        <v>946</v>
      </c>
      <c r="J1234" s="12" t="str">
        <f>IF(OR(TED[[#This Row],[SITUACAO]]=1,TED[[#This Row],[SITUACAO]]=9,TED[[#This Row],[SITUACAO]]=18),"ATIVO","AFASTADO")</f>
        <v>ATIVO</v>
      </c>
      <c r="K1234" s="12">
        <v>1</v>
      </c>
    </row>
    <row r="1235" spans="1:11" x14ac:dyDescent="0.25">
      <c r="A1235" s="10">
        <v>7481</v>
      </c>
      <c r="B1235" s="9" t="s">
        <v>1206</v>
      </c>
      <c r="C1235" s="12" t="str">
        <f>IFERROR(VLOOKUP(TED[[#This Row],[CENTRO]],'CENTRO DE CUSTO'!B:E,4,FALSE)," ")</f>
        <v>MARCOS</v>
      </c>
      <c r="D1235" s="12">
        <v>101</v>
      </c>
      <c r="E1235" s="16">
        <v>101001</v>
      </c>
      <c r="F1235" s="10" t="s">
        <v>1902</v>
      </c>
      <c r="G1235" s="10">
        <v>220</v>
      </c>
      <c r="H1235" s="11">
        <v>42478</v>
      </c>
      <c r="I1235" s="10" t="s">
        <v>933</v>
      </c>
      <c r="J1235" s="12" t="str">
        <f>IF(OR(TED[[#This Row],[SITUACAO]]=1,TED[[#This Row],[SITUACAO]]=9,TED[[#This Row],[SITUACAO]]=18),"ATIVO","AFASTADO")</f>
        <v>ATIVO</v>
      </c>
      <c r="K1235" s="12">
        <v>1</v>
      </c>
    </row>
    <row r="1236" spans="1:11" x14ac:dyDescent="0.25">
      <c r="A1236" s="10">
        <v>26474</v>
      </c>
      <c r="B1236" s="9" t="s">
        <v>1297</v>
      </c>
      <c r="C1236" s="12" t="str">
        <f>IFERROR(VLOOKUP(TED[[#This Row],[CENTRO]],'CENTRO DE CUSTO'!B:E,4,FALSE)," ")</f>
        <v>JEFFERSON</v>
      </c>
      <c r="D1236" s="12">
        <v>101</v>
      </c>
      <c r="E1236" s="16">
        <v>101004</v>
      </c>
      <c r="F1236" s="10" t="s">
        <v>1905</v>
      </c>
      <c r="G1236" s="10">
        <v>220</v>
      </c>
      <c r="H1236" s="11">
        <v>45027</v>
      </c>
      <c r="I1236" s="10" t="s">
        <v>948</v>
      </c>
      <c r="J1236" s="12" t="str">
        <f>IF(OR(TED[[#This Row],[SITUACAO]]=1,TED[[#This Row],[SITUACAO]]=9,TED[[#This Row],[SITUACAO]]=18),"ATIVO","AFASTADO")</f>
        <v>AFASTADO</v>
      </c>
      <c r="K1236" s="12">
        <v>12</v>
      </c>
    </row>
    <row r="1237" spans="1:11" x14ac:dyDescent="0.25">
      <c r="A1237" s="10">
        <v>9381</v>
      </c>
      <c r="B1237" s="9" t="s">
        <v>1261</v>
      </c>
      <c r="C1237" s="12" t="str">
        <f>IFERROR(VLOOKUP(TED[[#This Row],[CENTRO]],'CENTRO DE CUSTO'!B:E,4,FALSE)," ")</f>
        <v>JEFFERSON</v>
      </c>
      <c r="D1237" s="12">
        <v>101</v>
      </c>
      <c r="E1237" s="16">
        <v>101002</v>
      </c>
      <c r="F1237" s="10" t="s">
        <v>1903</v>
      </c>
      <c r="G1237" s="10">
        <v>220</v>
      </c>
      <c r="H1237" s="11">
        <v>42923</v>
      </c>
      <c r="I1237" s="10" t="s">
        <v>947</v>
      </c>
      <c r="J1237" s="12" t="str">
        <f>IF(OR(TED[[#This Row],[SITUACAO]]=1,TED[[#This Row],[SITUACAO]]=9,TED[[#This Row],[SITUACAO]]=18),"ATIVO","AFASTADO")</f>
        <v>ATIVO</v>
      </c>
      <c r="K1237" s="12">
        <v>1</v>
      </c>
    </row>
    <row r="1238" spans="1:11" x14ac:dyDescent="0.25">
      <c r="A1238" s="10">
        <v>22605</v>
      </c>
      <c r="B1238" s="9" t="s">
        <v>1280</v>
      </c>
      <c r="C1238" s="12" t="str">
        <f>IFERROR(VLOOKUP(TED[[#This Row],[CENTRO]],'CENTRO DE CUSTO'!B:E,4,FALSE)," ")</f>
        <v>JEFFERSON</v>
      </c>
      <c r="D1238" s="12">
        <v>101</v>
      </c>
      <c r="E1238" s="16">
        <v>101004</v>
      </c>
      <c r="F1238" s="10" t="s">
        <v>1905</v>
      </c>
      <c r="G1238" s="10">
        <v>220</v>
      </c>
      <c r="H1238" s="11">
        <v>44770</v>
      </c>
      <c r="I1238" s="10" t="s">
        <v>941</v>
      </c>
      <c r="J1238" s="12" t="str">
        <f>IF(OR(TED[[#This Row],[SITUACAO]]=1,TED[[#This Row],[SITUACAO]]=9,TED[[#This Row],[SITUACAO]]=18),"ATIVO","AFASTADO")</f>
        <v>ATIVO</v>
      </c>
      <c r="K1238" s="12">
        <v>1</v>
      </c>
    </row>
    <row r="1239" spans="1:11" x14ac:dyDescent="0.25">
      <c r="A1239" s="10">
        <v>33622</v>
      </c>
      <c r="B1239" s="9" t="s">
        <v>1351</v>
      </c>
      <c r="C1239" s="12" t="str">
        <f>IFERROR(VLOOKUP(TED[[#This Row],[CENTRO]],'CENTRO DE CUSTO'!B:E,4,FALSE)," ")</f>
        <v>JEFFERSON</v>
      </c>
      <c r="D1239" s="12">
        <v>101</v>
      </c>
      <c r="E1239" s="16">
        <v>101004</v>
      </c>
      <c r="F1239" s="10" t="s">
        <v>1905</v>
      </c>
      <c r="G1239" s="10">
        <v>220</v>
      </c>
      <c r="H1239" s="11">
        <v>45526</v>
      </c>
      <c r="I1239" s="10" t="s">
        <v>948</v>
      </c>
      <c r="J1239" s="12" t="str">
        <f>IF(OR(TED[[#This Row],[SITUACAO]]=1,TED[[#This Row],[SITUACAO]]=9,TED[[#This Row],[SITUACAO]]=18),"ATIVO","AFASTADO")</f>
        <v>ATIVO</v>
      </c>
      <c r="K1239" s="12">
        <v>1</v>
      </c>
    </row>
    <row r="1240" spans="1:11" x14ac:dyDescent="0.25">
      <c r="A1240" s="10">
        <v>12345</v>
      </c>
      <c r="B1240" s="9" t="s">
        <v>1530</v>
      </c>
      <c r="C1240" s="12" t="str">
        <f>IFERROR(VLOOKUP(TED[[#This Row],[CENTRO]],'CENTRO DE CUSTO'!B:E,4,FALSE)," ")</f>
        <v>MARCOS</v>
      </c>
      <c r="D1240" s="12">
        <v>101</v>
      </c>
      <c r="E1240" s="16">
        <v>101010</v>
      </c>
      <c r="F1240" s="10" t="s">
        <v>1911</v>
      </c>
      <c r="G1240" s="10">
        <v>220</v>
      </c>
      <c r="H1240" s="11">
        <v>43531</v>
      </c>
      <c r="I1240" s="10" t="s">
        <v>948</v>
      </c>
      <c r="J1240" s="12" t="str">
        <f>IF(OR(TED[[#This Row],[SITUACAO]]=1,TED[[#This Row],[SITUACAO]]=9,TED[[#This Row],[SITUACAO]]=18),"ATIVO","AFASTADO")</f>
        <v>ATIVO</v>
      </c>
      <c r="K1240" s="12">
        <v>1</v>
      </c>
    </row>
    <row r="1241" spans="1:11" x14ac:dyDescent="0.25">
      <c r="A1241" s="10">
        <v>17346</v>
      </c>
      <c r="B1241" s="9" t="s">
        <v>1252</v>
      </c>
      <c r="C1241" s="12" t="str">
        <f>IFERROR(VLOOKUP(TED[[#This Row],[CENTRO]],'CENTRO DE CUSTO'!B:E,4,FALSE)," ")</f>
        <v>JEFFERSON</v>
      </c>
      <c r="D1241" s="12">
        <v>101</v>
      </c>
      <c r="E1241" s="16">
        <v>101002</v>
      </c>
      <c r="F1241" s="10" t="s">
        <v>1903</v>
      </c>
      <c r="G1241" s="10">
        <v>220</v>
      </c>
      <c r="H1241" s="11">
        <v>44421</v>
      </c>
      <c r="I1241" s="10" t="s">
        <v>941</v>
      </c>
      <c r="J1241" s="12" t="str">
        <f>IF(OR(TED[[#This Row],[SITUACAO]]=1,TED[[#This Row],[SITUACAO]]=9,TED[[#This Row],[SITUACAO]]=18),"ATIVO","AFASTADO")</f>
        <v>ATIVO</v>
      </c>
      <c r="K1241" s="12">
        <v>1</v>
      </c>
    </row>
    <row r="1242" spans="1:11" x14ac:dyDescent="0.25">
      <c r="A1242" s="10">
        <v>7423</v>
      </c>
      <c r="B1242" s="9" t="s">
        <v>1392</v>
      </c>
      <c r="C1242" s="12" t="str">
        <f>IFERROR(VLOOKUP(TED[[#This Row],[CENTRO]],'CENTRO DE CUSTO'!B:E,4,FALSE)," ")</f>
        <v>JEFFERSON</v>
      </c>
      <c r="D1242" s="12">
        <v>101</v>
      </c>
      <c r="E1242" s="16">
        <v>101004</v>
      </c>
      <c r="F1242" s="10" t="s">
        <v>1905</v>
      </c>
      <c r="G1242" s="10">
        <v>220</v>
      </c>
      <c r="H1242" s="11">
        <v>42461</v>
      </c>
      <c r="I1242" s="10" t="s">
        <v>1</v>
      </c>
      <c r="J1242" s="12" t="str">
        <f>IF(OR(TED[[#This Row],[SITUACAO]]=1,TED[[#This Row],[SITUACAO]]=9,TED[[#This Row],[SITUACAO]]=18),"ATIVO","AFASTADO")</f>
        <v>ATIVO</v>
      </c>
      <c r="K1242" s="12">
        <v>1</v>
      </c>
    </row>
    <row r="1243" spans="1:11" x14ac:dyDescent="0.25">
      <c r="A1243" s="10">
        <v>33800</v>
      </c>
      <c r="B1243" s="9" t="s">
        <v>1371</v>
      </c>
      <c r="C1243" s="12" t="str">
        <f>IFERROR(VLOOKUP(TED[[#This Row],[CENTRO]],'CENTRO DE CUSTO'!B:E,4,FALSE)," ")</f>
        <v>JEFFERSON</v>
      </c>
      <c r="D1243" s="12">
        <v>101</v>
      </c>
      <c r="E1243" s="16">
        <v>101004</v>
      </c>
      <c r="F1243" s="10" t="s">
        <v>1905</v>
      </c>
      <c r="G1243" s="10">
        <v>220</v>
      </c>
      <c r="H1243" s="11">
        <v>45545</v>
      </c>
      <c r="I1243" s="10" t="s">
        <v>21</v>
      </c>
      <c r="J1243" s="12" t="str">
        <f>IF(OR(TED[[#This Row],[SITUACAO]]=1,TED[[#This Row],[SITUACAO]]=9,TED[[#This Row],[SITUACAO]]=18),"ATIVO","AFASTADO")</f>
        <v>ATIVO</v>
      </c>
      <c r="K1243" s="12">
        <v>1</v>
      </c>
    </row>
    <row r="1244" spans="1:11" x14ac:dyDescent="0.25">
      <c r="A1244" s="10">
        <v>44772</v>
      </c>
      <c r="B1244" s="9" t="s">
        <v>2178</v>
      </c>
      <c r="C1244" s="12" t="str">
        <f>IFERROR(VLOOKUP(TED[[#This Row],[CENTRO]],'CENTRO DE CUSTO'!B:E,4,FALSE)," ")</f>
        <v>JEFFERSON</v>
      </c>
      <c r="D1244" s="12">
        <v>101</v>
      </c>
      <c r="E1244" s="16">
        <v>101004</v>
      </c>
      <c r="F1244" s="10" t="s">
        <v>1905</v>
      </c>
      <c r="G1244" s="10">
        <v>220</v>
      </c>
      <c r="H1244" s="11">
        <v>46108</v>
      </c>
      <c r="I1244" s="10" t="s">
        <v>941</v>
      </c>
      <c r="J1244" s="12" t="str">
        <f>IF(OR(TED[[#This Row],[SITUACAO]]=1,TED[[#This Row],[SITUACAO]]=9,TED[[#This Row],[SITUACAO]]=18),"ATIVO","AFASTADO")</f>
        <v>ATIVO</v>
      </c>
      <c r="K1244" s="12">
        <v>1</v>
      </c>
    </row>
    <row r="1245" spans="1:11" x14ac:dyDescent="0.25">
      <c r="A1245" s="10">
        <v>25048</v>
      </c>
      <c r="B1245" s="9" t="s">
        <v>1354</v>
      </c>
      <c r="C1245" s="12" t="str">
        <f>IFERROR(VLOOKUP(TED[[#This Row],[CENTRO]],'CENTRO DE CUSTO'!B:E,4,FALSE)," ")</f>
        <v>JEFFERSON</v>
      </c>
      <c r="D1245" s="12">
        <v>101</v>
      </c>
      <c r="E1245" s="16">
        <v>101004</v>
      </c>
      <c r="F1245" s="10" t="s">
        <v>1905</v>
      </c>
      <c r="G1245" s="10">
        <v>220</v>
      </c>
      <c r="H1245" s="11">
        <v>44958</v>
      </c>
      <c r="I1245" s="10" t="s">
        <v>941</v>
      </c>
      <c r="J1245" s="12" t="str">
        <f>IF(OR(TED[[#This Row],[SITUACAO]]=1,TED[[#This Row],[SITUACAO]]=9,TED[[#This Row],[SITUACAO]]=18),"ATIVO","AFASTADO")</f>
        <v>ATIVO</v>
      </c>
      <c r="K1245" s="12">
        <v>1</v>
      </c>
    </row>
    <row r="1246" spans="1:11" x14ac:dyDescent="0.25">
      <c r="A1246" s="10">
        <v>42174</v>
      </c>
      <c r="B1246" s="9" t="s">
        <v>1399</v>
      </c>
      <c r="C1246" s="12" t="str">
        <f>IFERROR(VLOOKUP(TED[[#This Row],[CENTRO]],'CENTRO DE CUSTO'!B:E,4,FALSE)," ")</f>
        <v>JEFFERSON</v>
      </c>
      <c r="D1246" s="12">
        <v>101</v>
      </c>
      <c r="E1246" s="16">
        <v>101007</v>
      </c>
      <c r="F1246" s="10" t="s">
        <v>1908</v>
      </c>
      <c r="G1246" s="10">
        <v>220</v>
      </c>
      <c r="H1246" s="11">
        <v>45974</v>
      </c>
      <c r="I1246" s="10" t="s">
        <v>933</v>
      </c>
      <c r="J1246" s="12" t="str">
        <f>IF(OR(TED[[#This Row],[SITUACAO]]=1,TED[[#This Row],[SITUACAO]]=9,TED[[#This Row],[SITUACAO]]=18),"ATIVO","AFASTADO")</f>
        <v>ATIVO</v>
      </c>
      <c r="K1246" s="12">
        <v>1</v>
      </c>
    </row>
    <row r="1247" spans="1:11" x14ac:dyDescent="0.25">
      <c r="A1247" s="10">
        <v>10792</v>
      </c>
      <c r="B1247" s="9" t="s">
        <v>1298</v>
      </c>
      <c r="C1247" s="12" t="str">
        <f>IFERROR(VLOOKUP(TED[[#This Row],[CENTRO]],'CENTRO DE CUSTO'!B:E,4,FALSE)," ")</f>
        <v>JEFFERSON</v>
      </c>
      <c r="D1247" s="12">
        <v>101</v>
      </c>
      <c r="E1247" s="16">
        <v>101004</v>
      </c>
      <c r="F1247" s="10" t="s">
        <v>1905</v>
      </c>
      <c r="G1247" s="10">
        <v>220</v>
      </c>
      <c r="H1247" s="11">
        <v>43257</v>
      </c>
      <c r="I1247" s="10" t="s">
        <v>1</v>
      </c>
      <c r="J1247" s="12" t="str">
        <f>IF(OR(TED[[#This Row],[SITUACAO]]=1,TED[[#This Row],[SITUACAO]]=9,TED[[#This Row],[SITUACAO]]=18),"ATIVO","AFASTADO")</f>
        <v>ATIVO</v>
      </c>
      <c r="K1247" s="12">
        <v>1</v>
      </c>
    </row>
    <row r="1248" spans="1:11" x14ac:dyDescent="0.25">
      <c r="A1248" s="10">
        <v>14795</v>
      </c>
      <c r="B1248" s="9" t="s">
        <v>1207</v>
      </c>
      <c r="C1248" s="12" t="str">
        <f>IFERROR(VLOOKUP(TED[[#This Row],[CENTRO]],'CENTRO DE CUSTO'!B:E,4,FALSE)," ")</f>
        <v>MARCOS</v>
      </c>
      <c r="D1248" s="12">
        <v>101</v>
      </c>
      <c r="E1248" s="16">
        <v>101001</v>
      </c>
      <c r="F1248" s="10" t="s">
        <v>1902</v>
      </c>
      <c r="G1248" s="10">
        <v>220</v>
      </c>
      <c r="H1248" s="11">
        <v>44112</v>
      </c>
      <c r="I1248" s="10" t="s">
        <v>942</v>
      </c>
      <c r="J1248" s="12" t="str">
        <f>IF(OR(TED[[#This Row],[SITUACAO]]=1,TED[[#This Row],[SITUACAO]]=9,TED[[#This Row],[SITUACAO]]=18),"ATIVO","AFASTADO")</f>
        <v>AFASTADO</v>
      </c>
      <c r="K1248" s="12">
        <v>6</v>
      </c>
    </row>
    <row r="1249" spans="1:11" x14ac:dyDescent="0.25">
      <c r="A1249" s="10">
        <v>10804</v>
      </c>
      <c r="B1249" s="9" t="s">
        <v>1520</v>
      </c>
      <c r="C1249" s="12" t="str">
        <f>IFERROR(VLOOKUP(TED[[#This Row],[CENTRO]],'CENTRO DE CUSTO'!B:E,4,FALSE)," ")</f>
        <v>JEFFERSON</v>
      </c>
      <c r="D1249" s="12">
        <v>101</v>
      </c>
      <c r="E1249" s="16">
        <v>101004</v>
      </c>
      <c r="F1249" s="10" t="s">
        <v>1905</v>
      </c>
      <c r="G1249" s="10">
        <v>220</v>
      </c>
      <c r="H1249" s="11">
        <v>43236</v>
      </c>
      <c r="I1249" s="10" t="s">
        <v>1</v>
      </c>
      <c r="J1249" s="12" t="str">
        <f>IF(OR(TED[[#This Row],[SITUACAO]]=1,TED[[#This Row],[SITUACAO]]=9,TED[[#This Row],[SITUACAO]]=18),"ATIVO","AFASTADO")</f>
        <v>ATIVO</v>
      </c>
      <c r="K1249" s="12">
        <v>1</v>
      </c>
    </row>
    <row r="1250" spans="1:11" x14ac:dyDescent="0.25">
      <c r="A1250" s="10">
        <v>44492</v>
      </c>
      <c r="B1250" s="9" t="s">
        <v>2131</v>
      </c>
      <c r="C1250" s="12" t="str">
        <f>IFERROR(VLOOKUP(TED[[#This Row],[CENTRO]],'CENTRO DE CUSTO'!B:E,4,FALSE)," ")</f>
        <v>JEFFERSON</v>
      </c>
      <c r="D1250" s="12">
        <v>101</v>
      </c>
      <c r="E1250" s="16">
        <v>101003</v>
      </c>
      <c r="F1250" s="10" t="s">
        <v>1904</v>
      </c>
      <c r="G1250" s="10">
        <v>220</v>
      </c>
      <c r="H1250" s="11">
        <v>46094</v>
      </c>
      <c r="I1250" s="10" t="s">
        <v>937</v>
      </c>
      <c r="J1250" s="12" t="str">
        <f>IF(OR(TED[[#This Row],[SITUACAO]]=1,TED[[#This Row],[SITUACAO]]=9,TED[[#This Row],[SITUACAO]]=18),"ATIVO","AFASTADO")</f>
        <v>ATIVO</v>
      </c>
      <c r="K1250" s="12">
        <v>1</v>
      </c>
    </row>
    <row r="1251" spans="1:11" x14ac:dyDescent="0.25">
      <c r="A1251" s="10">
        <v>7676</v>
      </c>
      <c r="B1251" s="9" t="s">
        <v>1328</v>
      </c>
      <c r="C1251" s="12" t="str">
        <f>IFERROR(VLOOKUP(TED[[#This Row],[CENTRO]],'CENTRO DE CUSTO'!B:E,4,FALSE)," ")</f>
        <v>JEFFERSON</v>
      </c>
      <c r="D1251" s="12">
        <v>101</v>
      </c>
      <c r="E1251" s="16">
        <v>101004</v>
      </c>
      <c r="F1251" s="10" t="s">
        <v>1905</v>
      </c>
      <c r="G1251" s="10">
        <v>220</v>
      </c>
      <c r="H1251" s="11">
        <v>42527</v>
      </c>
      <c r="I1251" s="10" t="s">
        <v>937</v>
      </c>
      <c r="J1251" s="12" t="str">
        <f>IF(OR(TED[[#This Row],[SITUACAO]]=1,TED[[#This Row],[SITUACAO]]=9,TED[[#This Row],[SITUACAO]]=18),"ATIVO","AFASTADO")</f>
        <v>ATIVO</v>
      </c>
      <c r="K1251" s="12">
        <v>1</v>
      </c>
    </row>
    <row r="1252" spans="1:11" x14ac:dyDescent="0.25">
      <c r="A1252" s="10">
        <v>37106</v>
      </c>
      <c r="B1252" s="9" t="s">
        <v>1221</v>
      </c>
      <c r="C1252" s="12" t="str">
        <f>IFERROR(VLOOKUP(TED[[#This Row],[CENTRO]],'CENTRO DE CUSTO'!B:E,4,FALSE)," ")</f>
        <v>MARCOS</v>
      </c>
      <c r="D1252" s="12">
        <v>101</v>
      </c>
      <c r="E1252" s="16">
        <v>101001</v>
      </c>
      <c r="F1252" s="10" t="s">
        <v>1902</v>
      </c>
      <c r="G1252" s="10">
        <v>220</v>
      </c>
      <c r="H1252" s="11">
        <v>45702</v>
      </c>
      <c r="I1252" s="10" t="s">
        <v>947</v>
      </c>
      <c r="J1252" s="12" t="str">
        <f>IF(OR(TED[[#This Row],[SITUACAO]]=1,TED[[#This Row],[SITUACAO]]=9,TED[[#This Row],[SITUACAO]]=18),"ATIVO","AFASTADO")</f>
        <v>ATIVO</v>
      </c>
      <c r="K1252" s="12">
        <v>1</v>
      </c>
    </row>
    <row r="1253" spans="1:11" x14ac:dyDescent="0.25">
      <c r="A1253" s="10">
        <v>46064</v>
      </c>
      <c r="B1253" s="9" t="s">
        <v>2348</v>
      </c>
      <c r="C1253" s="12" t="str">
        <f>IFERROR(VLOOKUP(TED[[#This Row],[CENTRO]],'CENTRO DE CUSTO'!B:E,4,FALSE)," ")</f>
        <v>MARCOS</v>
      </c>
      <c r="D1253" s="12">
        <v>101</v>
      </c>
      <c r="E1253" s="16">
        <v>101010</v>
      </c>
      <c r="F1253" s="10" t="s">
        <v>1911</v>
      </c>
      <c r="G1253" s="10">
        <v>220</v>
      </c>
      <c r="H1253" s="11">
        <v>46181</v>
      </c>
      <c r="I1253" s="10" t="s">
        <v>21</v>
      </c>
      <c r="J1253" s="12" t="str">
        <f>IF(OR(TED[[#This Row],[SITUACAO]]=1,TED[[#This Row],[SITUACAO]]=9,TED[[#This Row],[SITUACAO]]=18),"ATIVO","AFASTADO")</f>
        <v>ATIVO</v>
      </c>
      <c r="K1253" s="12">
        <v>1</v>
      </c>
    </row>
    <row r="1254" spans="1:11" x14ac:dyDescent="0.25">
      <c r="A1254" s="10">
        <v>44639</v>
      </c>
      <c r="B1254" s="9" t="s">
        <v>2152</v>
      </c>
      <c r="C1254" s="12" t="str">
        <f>IFERROR(VLOOKUP(TED[[#This Row],[CENTRO]],'CENTRO DE CUSTO'!B:E,4,FALSE)," ")</f>
        <v>JEFFERSON</v>
      </c>
      <c r="D1254" s="12">
        <v>101</v>
      </c>
      <c r="E1254" s="16">
        <v>101002</v>
      </c>
      <c r="F1254" s="10" t="s">
        <v>1903</v>
      </c>
      <c r="G1254" s="10">
        <v>220</v>
      </c>
      <c r="H1254" s="11">
        <v>46100</v>
      </c>
      <c r="I1254" s="10" t="s">
        <v>941</v>
      </c>
      <c r="J1254" s="12" t="str">
        <f>IF(OR(TED[[#This Row],[SITUACAO]]=1,TED[[#This Row],[SITUACAO]]=9,TED[[#This Row],[SITUACAO]]=18),"ATIVO","AFASTADO")</f>
        <v>ATIVO</v>
      </c>
      <c r="K1254" s="12">
        <v>1</v>
      </c>
    </row>
    <row r="1255" spans="1:11" x14ac:dyDescent="0.25">
      <c r="A1255" s="10">
        <v>7349</v>
      </c>
      <c r="B1255" s="9" t="s">
        <v>1408</v>
      </c>
      <c r="C1255" s="12" t="str">
        <f>IFERROR(VLOOKUP(TED[[#This Row],[CENTRO]],'CENTRO DE CUSTO'!B:E,4,FALSE)," ")</f>
        <v>MARCOS</v>
      </c>
      <c r="D1255" s="12">
        <v>101</v>
      </c>
      <c r="E1255" s="16">
        <v>101005</v>
      </c>
      <c r="F1255" s="10" t="s">
        <v>1906</v>
      </c>
      <c r="G1255" s="10">
        <v>220</v>
      </c>
      <c r="H1255" s="11">
        <v>42461</v>
      </c>
      <c r="I1255" s="10" t="s">
        <v>942</v>
      </c>
      <c r="J1255" s="12" t="str">
        <f>IF(OR(TED[[#This Row],[SITUACAO]]=1,TED[[#This Row],[SITUACAO]]=9,TED[[#This Row],[SITUACAO]]=18),"ATIVO","AFASTADO")</f>
        <v>ATIVO</v>
      </c>
      <c r="K1255" s="12">
        <v>1</v>
      </c>
    </row>
    <row r="1256" spans="1:11" x14ac:dyDescent="0.25">
      <c r="A1256" s="10">
        <v>39740</v>
      </c>
      <c r="B1256" s="9" t="s">
        <v>1278</v>
      </c>
      <c r="C1256" s="12" t="str">
        <f>IFERROR(VLOOKUP(TED[[#This Row],[CENTRO]],'CENTRO DE CUSTO'!B:E,4,FALSE)," ")</f>
        <v>JEFFERSON</v>
      </c>
      <c r="D1256" s="12">
        <v>101</v>
      </c>
      <c r="E1256" s="16">
        <v>101003</v>
      </c>
      <c r="F1256" s="10" t="s">
        <v>1904</v>
      </c>
      <c r="G1256" s="10">
        <v>220</v>
      </c>
      <c r="H1256" s="11">
        <v>45867</v>
      </c>
      <c r="I1256" s="10" t="s">
        <v>1</v>
      </c>
      <c r="J1256" s="12" t="str">
        <f>IF(OR(TED[[#This Row],[SITUACAO]]=1,TED[[#This Row],[SITUACAO]]=9,TED[[#This Row],[SITUACAO]]=18),"ATIVO","AFASTADO")</f>
        <v>ATIVO</v>
      </c>
      <c r="K1256" s="12">
        <v>1</v>
      </c>
    </row>
    <row r="1257" spans="1:11" x14ac:dyDescent="0.25">
      <c r="A1257" s="10">
        <v>34083</v>
      </c>
      <c r="B1257" s="9" t="s">
        <v>2079</v>
      </c>
      <c r="C1257" s="12" t="str">
        <f>IFERROR(VLOOKUP(TED[[#This Row],[CENTRO]],'CENTRO DE CUSTO'!B:E,4,FALSE)," ")</f>
        <v>JEFFERSON</v>
      </c>
      <c r="D1257" s="12">
        <v>101</v>
      </c>
      <c r="E1257" s="16">
        <v>101004</v>
      </c>
      <c r="F1257" s="10" t="s">
        <v>1905</v>
      </c>
      <c r="G1257" s="10">
        <v>220</v>
      </c>
      <c r="H1257" s="11">
        <v>45566</v>
      </c>
      <c r="I1257" s="10" t="s">
        <v>947</v>
      </c>
      <c r="J1257" s="12" t="str">
        <f>IF(OR(TED[[#This Row],[SITUACAO]]=1,TED[[#This Row],[SITUACAO]]=9,TED[[#This Row],[SITUACAO]]=18),"ATIVO","AFASTADO")</f>
        <v>ATIVO</v>
      </c>
      <c r="K1257" s="12">
        <v>1</v>
      </c>
    </row>
    <row r="1258" spans="1:11" x14ac:dyDescent="0.25">
      <c r="A1258" s="10">
        <v>12341</v>
      </c>
      <c r="B1258" s="9" t="s">
        <v>1531</v>
      </c>
      <c r="C1258" s="12" t="str">
        <f>IFERROR(VLOOKUP(TED[[#This Row],[CENTRO]],'CENTRO DE CUSTO'!B:E,4,FALSE)," ")</f>
        <v>MARCOS</v>
      </c>
      <c r="D1258" s="12">
        <v>101</v>
      </c>
      <c r="E1258" s="16">
        <v>101010</v>
      </c>
      <c r="F1258" s="10" t="s">
        <v>1911</v>
      </c>
      <c r="G1258" s="10">
        <v>220</v>
      </c>
      <c r="H1258" s="11">
        <v>43531</v>
      </c>
      <c r="I1258" s="10" t="s">
        <v>948</v>
      </c>
      <c r="J1258" s="12" t="str">
        <f>IF(OR(TED[[#This Row],[SITUACAO]]=1,TED[[#This Row],[SITUACAO]]=9,TED[[#This Row],[SITUACAO]]=18),"ATIVO","AFASTADO")</f>
        <v>ATIVO</v>
      </c>
      <c r="K1258" s="12">
        <v>1</v>
      </c>
    </row>
    <row r="1259" spans="1:11" x14ac:dyDescent="0.25">
      <c r="A1259" s="10">
        <v>12283</v>
      </c>
      <c r="B1259" s="9" t="s">
        <v>1508</v>
      </c>
      <c r="C1259" s="12" t="str">
        <f>IFERROR(VLOOKUP(TED[[#This Row],[CENTRO]],'CENTRO DE CUSTO'!B:E,4,FALSE)," ")</f>
        <v>MARCOS</v>
      </c>
      <c r="D1259" s="12">
        <v>101</v>
      </c>
      <c r="E1259" s="16">
        <v>101008</v>
      </c>
      <c r="F1259" s="10" t="s">
        <v>1909</v>
      </c>
      <c r="G1259" s="10">
        <v>220</v>
      </c>
      <c r="H1259" s="11">
        <v>43509</v>
      </c>
      <c r="I1259" s="10" t="s">
        <v>957</v>
      </c>
      <c r="J1259" s="12" t="str">
        <f>IF(OR(TED[[#This Row],[SITUACAO]]=1,TED[[#This Row],[SITUACAO]]=9,TED[[#This Row],[SITUACAO]]=18),"ATIVO","AFASTADO")</f>
        <v>ATIVO</v>
      </c>
      <c r="K1259" s="12">
        <v>1</v>
      </c>
    </row>
    <row r="1260" spans="1:11" x14ac:dyDescent="0.25">
      <c r="A1260" s="10">
        <v>12593</v>
      </c>
      <c r="B1260" s="9" t="s">
        <v>1396</v>
      </c>
      <c r="C1260" s="12" t="str">
        <f>IFERROR(VLOOKUP(TED[[#This Row],[CENTRO]],'CENTRO DE CUSTO'!B:E,4,FALSE)," ")</f>
        <v>MARCOS</v>
      </c>
      <c r="D1260" s="12">
        <v>101</v>
      </c>
      <c r="E1260" s="16">
        <v>101005</v>
      </c>
      <c r="F1260" s="10" t="s">
        <v>1906</v>
      </c>
      <c r="G1260" s="10">
        <v>220</v>
      </c>
      <c r="H1260" s="11">
        <v>43573</v>
      </c>
      <c r="I1260" s="10" t="s">
        <v>1</v>
      </c>
      <c r="J1260" s="12" t="str">
        <f>IF(OR(TED[[#This Row],[SITUACAO]]=1,TED[[#This Row],[SITUACAO]]=9,TED[[#This Row],[SITUACAO]]=18),"ATIVO","AFASTADO")</f>
        <v>ATIVO</v>
      </c>
      <c r="K1260" s="12">
        <v>1</v>
      </c>
    </row>
    <row r="1261" spans="1:11" x14ac:dyDescent="0.25">
      <c r="A1261" s="10">
        <v>7430</v>
      </c>
      <c r="B1261" s="9" t="s">
        <v>1405</v>
      </c>
      <c r="C1261" s="12" t="str">
        <f>IFERROR(VLOOKUP(TED[[#This Row],[CENTRO]],'CENTRO DE CUSTO'!B:E,4,FALSE)," ")</f>
        <v>MARCOS</v>
      </c>
      <c r="D1261" s="12">
        <v>101</v>
      </c>
      <c r="E1261" s="16">
        <v>101005</v>
      </c>
      <c r="F1261" s="10" t="s">
        <v>1906</v>
      </c>
      <c r="G1261" s="10">
        <v>220</v>
      </c>
      <c r="H1261" s="11">
        <v>42461</v>
      </c>
      <c r="I1261" s="10" t="s">
        <v>1007</v>
      </c>
      <c r="J1261" s="12" t="str">
        <f>IF(OR(TED[[#This Row],[SITUACAO]]=1,TED[[#This Row],[SITUACAO]]=9,TED[[#This Row],[SITUACAO]]=18),"ATIVO","AFASTADO")</f>
        <v>ATIVO</v>
      </c>
      <c r="K1261" s="12">
        <v>1</v>
      </c>
    </row>
    <row r="1262" spans="1:11" x14ac:dyDescent="0.25">
      <c r="A1262" s="10">
        <v>17689</v>
      </c>
      <c r="B1262" s="9" t="s">
        <v>1395</v>
      </c>
      <c r="C1262" s="12" t="str">
        <f>IFERROR(VLOOKUP(TED[[#This Row],[CENTRO]],'CENTRO DE CUSTO'!B:E,4,FALSE)," ")</f>
        <v>MARCOS</v>
      </c>
      <c r="D1262" s="12">
        <v>101</v>
      </c>
      <c r="E1262" s="16">
        <v>101005</v>
      </c>
      <c r="F1262" s="10" t="s">
        <v>1906</v>
      </c>
      <c r="G1262" s="10">
        <v>220</v>
      </c>
      <c r="H1262" s="11">
        <v>44473</v>
      </c>
      <c r="I1262" s="10" t="s">
        <v>1</v>
      </c>
      <c r="J1262" s="12" t="str">
        <f>IF(OR(TED[[#This Row],[SITUACAO]]=1,TED[[#This Row],[SITUACAO]]=9,TED[[#This Row],[SITUACAO]]=18),"ATIVO","AFASTADO")</f>
        <v>ATIVO</v>
      </c>
      <c r="K1262" s="12">
        <v>9</v>
      </c>
    </row>
    <row r="1263" spans="1:11" x14ac:dyDescent="0.25">
      <c r="A1263" s="10">
        <v>17508</v>
      </c>
      <c r="B1263" s="9" t="s">
        <v>1316</v>
      </c>
      <c r="C1263" s="12" t="str">
        <f>IFERROR(VLOOKUP(TED[[#This Row],[CENTRO]],'CENTRO DE CUSTO'!B:E,4,FALSE)," ")</f>
        <v>JEFFERSON</v>
      </c>
      <c r="D1263" s="12">
        <v>101</v>
      </c>
      <c r="E1263" s="16">
        <v>101004</v>
      </c>
      <c r="F1263" s="10" t="s">
        <v>1905</v>
      </c>
      <c r="G1263" s="10">
        <v>220</v>
      </c>
      <c r="H1263" s="11">
        <v>44434</v>
      </c>
      <c r="I1263" s="10" t="s">
        <v>21</v>
      </c>
      <c r="J1263" s="12" t="str">
        <f>IF(OR(TED[[#This Row],[SITUACAO]]=1,TED[[#This Row],[SITUACAO]]=9,TED[[#This Row],[SITUACAO]]=18),"ATIVO","AFASTADO")</f>
        <v>ATIVO</v>
      </c>
      <c r="K1263" s="12">
        <v>1</v>
      </c>
    </row>
    <row r="1264" spans="1:11" x14ac:dyDescent="0.25">
      <c r="A1264" s="10">
        <v>27703</v>
      </c>
      <c r="B1264" s="9" t="s">
        <v>1423</v>
      </c>
      <c r="C1264" s="12" t="str">
        <f>IFERROR(VLOOKUP(TED[[#This Row],[CENTRO]],'CENTRO DE CUSTO'!B:E,4,FALSE)," ")</f>
        <v>MARCOS</v>
      </c>
      <c r="D1264" s="12">
        <v>101</v>
      </c>
      <c r="E1264" s="16">
        <v>101005</v>
      </c>
      <c r="F1264" s="10" t="s">
        <v>1906</v>
      </c>
      <c r="G1264" s="10">
        <v>220</v>
      </c>
      <c r="H1264" s="11">
        <v>45110</v>
      </c>
      <c r="I1264" s="10" t="s">
        <v>973</v>
      </c>
      <c r="J1264" s="12" t="str">
        <f>IF(OR(TED[[#This Row],[SITUACAO]]=1,TED[[#This Row],[SITUACAO]]=9,TED[[#This Row],[SITUACAO]]=18),"ATIVO","AFASTADO")</f>
        <v>ATIVO</v>
      </c>
      <c r="K1264" s="12">
        <v>1</v>
      </c>
    </row>
    <row r="1265" spans="1:11" x14ac:dyDescent="0.25">
      <c r="A1265" s="10">
        <v>20980</v>
      </c>
      <c r="B1265" s="9" t="s">
        <v>1196</v>
      </c>
      <c r="C1265" s="12" t="str">
        <f>IFERROR(VLOOKUP(TED[[#This Row],[CENTRO]],'CENTRO DE CUSTO'!B:E,4,FALSE)," ")</f>
        <v>MARCOS</v>
      </c>
      <c r="D1265" s="12">
        <v>101</v>
      </c>
      <c r="E1265" s="16">
        <v>101001</v>
      </c>
      <c r="F1265" s="10" t="s">
        <v>1902</v>
      </c>
      <c r="G1265" s="10">
        <v>220</v>
      </c>
      <c r="H1265" s="11">
        <v>44683</v>
      </c>
      <c r="I1265" s="10" t="s">
        <v>947</v>
      </c>
      <c r="J1265" s="12" t="str">
        <f>IF(OR(TED[[#This Row],[SITUACAO]]=1,TED[[#This Row],[SITUACAO]]=9,TED[[#This Row],[SITUACAO]]=18),"ATIVO","AFASTADO")</f>
        <v>ATIVO</v>
      </c>
      <c r="K1265" s="12">
        <v>1</v>
      </c>
    </row>
    <row r="1266" spans="1:11" x14ac:dyDescent="0.25">
      <c r="A1266" s="10">
        <v>44655</v>
      </c>
      <c r="B1266" s="9" t="s">
        <v>2151</v>
      </c>
      <c r="C1266" s="12" t="str">
        <f>IFERROR(VLOOKUP(TED[[#This Row],[CENTRO]],'CENTRO DE CUSTO'!B:E,4,FALSE)," ")</f>
        <v>MARCOS</v>
      </c>
      <c r="D1266" s="12">
        <v>101</v>
      </c>
      <c r="E1266" s="16">
        <v>101001</v>
      </c>
      <c r="F1266" s="10" t="s">
        <v>1902</v>
      </c>
      <c r="G1266" s="10">
        <v>200</v>
      </c>
      <c r="H1266" s="11">
        <v>46100</v>
      </c>
      <c r="I1266" s="10" t="s">
        <v>21</v>
      </c>
      <c r="J1266" s="12" t="str">
        <f>IF(OR(TED[[#This Row],[SITUACAO]]=1,TED[[#This Row],[SITUACAO]]=9,TED[[#This Row],[SITUACAO]]=18),"ATIVO","AFASTADO")</f>
        <v>ATIVO</v>
      </c>
      <c r="K1266" s="12">
        <v>1</v>
      </c>
    </row>
    <row r="1267" spans="1:11" x14ac:dyDescent="0.25">
      <c r="A1267" s="10">
        <v>22242</v>
      </c>
      <c r="B1267" s="9" t="s">
        <v>1468</v>
      </c>
      <c r="C1267" s="12" t="str">
        <f>IFERROR(VLOOKUP(TED[[#This Row],[CENTRO]],'CENTRO DE CUSTO'!B:E,4,FALSE)," ")</f>
        <v>JEFFERSON</v>
      </c>
      <c r="D1267" s="12">
        <v>101</v>
      </c>
      <c r="E1267" s="16">
        <v>101007</v>
      </c>
      <c r="F1267" s="10" t="s">
        <v>1908</v>
      </c>
      <c r="G1267" s="10">
        <v>220</v>
      </c>
      <c r="H1267" s="11">
        <v>44732</v>
      </c>
      <c r="I1267" s="10" t="s">
        <v>957</v>
      </c>
      <c r="J1267" s="12" t="str">
        <f>IF(OR(TED[[#This Row],[SITUACAO]]=1,TED[[#This Row],[SITUACAO]]=9,TED[[#This Row],[SITUACAO]]=18),"ATIVO","AFASTADO")</f>
        <v>ATIVO</v>
      </c>
      <c r="K1267" s="12">
        <v>1</v>
      </c>
    </row>
    <row r="1268" spans="1:11" x14ac:dyDescent="0.25">
      <c r="A1268" s="10">
        <v>16383</v>
      </c>
      <c r="B1268" s="9" t="s">
        <v>1493</v>
      </c>
      <c r="C1268" s="12" t="str">
        <f>IFERROR(VLOOKUP(TED[[#This Row],[CENTRO]],'CENTRO DE CUSTO'!B:E,4,FALSE)," ")</f>
        <v>MARCOS</v>
      </c>
      <c r="D1268" s="12">
        <v>101</v>
      </c>
      <c r="E1268" s="16">
        <v>101008</v>
      </c>
      <c r="F1268" s="10" t="s">
        <v>1909</v>
      </c>
      <c r="G1268" s="10">
        <v>220</v>
      </c>
      <c r="H1268" s="11">
        <v>44343</v>
      </c>
      <c r="I1268" s="10" t="s">
        <v>957</v>
      </c>
      <c r="J1268" s="12" t="str">
        <f>IF(OR(TED[[#This Row],[SITUACAO]]=1,TED[[#This Row],[SITUACAO]]=9,TED[[#This Row],[SITUACAO]]=18),"ATIVO","AFASTADO")</f>
        <v>ATIVO</v>
      </c>
      <c r="K1268" s="12">
        <v>1</v>
      </c>
    </row>
    <row r="1269" spans="1:11" x14ac:dyDescent="0.25">
      <c r="A1269" s="10">
        <v>17493</v>
      </c>
      <c r="B1269" s="9" t="s">
        <v>1430</v>
      </c>
      <c r="C1269" s="12" t="str">
        <f>IFERROR(VLOOKUP(TED[[#This Row],[CENTRO]],'CENTRO DE CUSTO'!B:E,4,FALSE)," ")</f>
        <v>MARCOS</v>
      </c>
      <c r="D1269" s="12">
        <v>101</v>
      </c>
      <c r="E1269" s="16">
        <v>101005</v>
      </c>
      <c r="F1269" s="10" t="s">
        <v>1906</v>
      </c>
      <c r="G1269" s="10">
        <v>220</v>
      </c>
      <c r="H1269" s="11">
        <v>44434</v>
      </c>
      <c r="I1269" s="10" t="s">
        <v>1007</v>
      </c>
      <c r="J1269" s="12" t="str">
        <f>IF(OR(TED[[#This Row],[SITUACAO]]=1,TED[[#This Row],[SITUACAO]]=9,TED[[#This Row],[SITUACAO]]=18),"ATIVO","AFASTADO")</f>
        <v>ATIVO</v>
      </c>
      <c r="K1269" s="12">
        <v>9</v>
      </c>
    </row>
    <row r="1270" spans="1:11" x14ac:dyDescent="0.25">
      <c r="A1270" s="10">
        <v>8562</v>
      </c>
      <c r="B1270" s="9" t="s">
        <v>1537</v>
      </c>
      <c r="C1270" s="12" t="str">
        <f>IFERROR(VLOOKUP(TED[[#This Row],[CENTRO]],'CENTRO DE CUSTO'!B:E,4,FALSE)," ")</f>
        <v>MARCOS</v>
      </c>
      <c r="D1270" s="12">
        <v>101</v>
      </c>
      <c r="E1270" s="16">
        <v>101010</v>
      </c>
      <c r="F1270" s="10" t="s">
        <v>1911</v>
      </c>
      <c r="G1270" s="10">
        <v>220</v>
      </c>
      <c r="H1270" s="11">
        <v>42773</v>
      </c>
      <c r="I1270" s="10" t="s">
        <v>21</v>
      </c>
      <c r="J1270" s="12" t="str">
        <f>IF(OR(TED[[#This Row],[SITUACAO]]=1,TED[[#This Row],[SITUACAO]]=9,TED[[#This Row],[SITUACAO]]=18),"ATIVO","AFASTADO")</f>
        <v>ATIVO</v>
      </c>
      <c r="K1270" s="12">
        <v>1</v>
      </c>
    </row>
    <row r="1271" spans="1:11" x14ac:dyDescent="0.25">
      <c r="A1271" s="10">
        <v>14967</v>
      </c>
      <c r="B1271" s="9" t="s">
        <v>1193</v>
      </c>
      <c r="C1271" s="12" t="str">
        <f>IFERROR(VLOOKUP(TED[[#This Row],[CENTRO]],'CENTRO DE CUSTO'!B:E,4,FALSE)," ")</f>
        <v>MARCOS</v>
      </c>
      <c r="D1271" s="12">
        <v>101</v>
      </c>
      <c r="E1271" s="16">
        <v>101001</v>
      </c>
      <c r="F1271" s="10" t="s">
        <v>1902</v>
      </c>
      <c r="G1271" s="10">
        <v>220</v>
      </c>
      <c r="H1271" s="11">
        <v>44193</v>
      </c>
      <c r="I1271" s="10" t="s">
        <v>933</v>
      </c>
      <c r="J1271" s="12" t="str">
        <f>IF(OR(TED[[#This Row],[SITUACAO]]=1,TED[[#This Row],[SITUACAO]]=9,TED[[#This Row],[SITUACAO]]=18),"ATIVO","AFASTADO")</f>
        <v>ATIVO</v>
      </c>
      <c r="K1271" s="12">
        <v>1</v>
      </c>
    </row>
    <row r="1272" spans="1:11" x14ac:dyDescent="0.25">
      <c r="A1272" s="10">
        <v>24193</v>
      </c>
      <c r="B1272" s="9" t="s">
        <v>1504</v>
      </c>
      <c r="C1272" s="12" t="str">
        <f>IFERROR(VLOOKUP(TED[[#This Row],[CENTRO]],'CENTRO DE CUSTO'!B:E,4,FALSE)," ")</f>
        <v>MARCOS</v>
      </c>
      <c r="D1272" s="12">
        <v>101</v>
      </c>
      <c r="E1272" s="16">
        <v>101008</v>
      </c>
      <c r="F1272" s="10" t="s">
        <v>1909</v>
      </c>
      <c r="G1272" s="10">
        <v>220</v>
      </c>
      <c r="H1272" s="11">
        <v>44896</v>
      </c>
      <c r="I1272" s="10" t="s">
        <v>957</v>
      </c>
      <c r="J1272" s="12" t="str">
        <f>IF(OR(TED[[#This Row],[SITUACAO]]=1,TED[[#This Row],[SITUACAO]]=9,TED[[#This Row],[SITUACAO]]=18),"ATIVO","AFASTADO")</f>
        <v>ATIVO</v>
      </c>
      <c r="K1272" s="12">
        <v>1</v>
      </c>
    </row>
    <row r="1273" spans="1:11" x14ac:dyDescent="0.25">
      <c r="A1273" s="10">
        <v>14937</v>
      </c>
      <c r="B1273" s="9" t="s">
        <v>1424</v>
      </c>
      <c r="C1273" s="12" t="str">
        <f>IFERROR(VLOOKUP(TED[[#This Row],[CENTRO]],'CENTRO DE CUSTO'!B:E,4,FALSE)," ")</f>
        <v>MARCOS</v>
      </c>
      <c r="D1273" s="12">
        <v>101</v>
      </c>
      <c r="E1273" s="16">
        <v>101005</v>
      </c>
      <c r="F1273" s="10" t="s">
        <v>1906</v>
      </c>
      <c r="G1273" s="10">
        <v>220</v>
      </c>
      <c r="H1273" s="11">
        <v>44174</v>
      </c>
      <c r="I1273" s="10" t="s">
        <v>933</v>
      </c>
      <c r="J1273" s="12" t="str">
        <f>IF(OR(TED[[#This Row],[SITUACAO]]=1,TED[[#This Row],[SITUACAO]]=9,TED[[#This Row],[SITUACAO]]=18),"ATIVO","AFASTADO")</f>
        <v>ATIVO</v>
      </c>
      <c r="K1273" s="12">
        <v>1</v>
      </c>
    </row>
    <row r="1274" spans="1:11" x14ac:dyDescent="0.25">
      <c r="A1274" s="10">
        <v>7505</v>
      </c>
      <c r="B1274" s="9" t="s">
        <v>1524</v>
      </c>
      <c r="C1274" s="12" t="str">
        <f>IFERROR(VLOOKUP(TED[[#This Row],[CENTRO]],'CENTRO DE CUSTO'!B:E,4,FALSE)," ")</f>
        <v>MARCOS</v>
      </c>
      <c r="D1274" s="12">
        <v>101</v>
      </c>
      <c r="E1274" s="16">
        <v>101010</v>
      </c>
      <c r="F1274" s="10" t="s">
        <v>1911</v>
      </c>
      <c r="G1274" s="10">
        <v>220</v>
      </c>
      <c r="H1274" s="11">
        <v>42492</v>
      </c>
      <c r="I1274" s="10" t="s">
        <v>1</v>
      </c>
      <c r="J1274" s="12" t="str">
        <f>IF(OR(TED[[#This Row],[SITUACAO]]=1,TED[[#This Row],[SITUACAO]]=9,TED[[#This Row],[SITUACAO]]=18),"ATIVO","AFASTADO")</f>
        <v>ATIVO</v>
      </c>
      <c r="K1274" s="12">
        <v>1</v>
      </c>
    </row>
    <row r="1275" spans="1:11" x14ac:dyDescent="0.25">
      <c r="A1275" s="10">
        <v>24974</v>
      </c>
      <c r="B1275" s="9" t="s">
        <v>1250</v>
      </c>
      <c r="C1275" s="12" t="str">
        <f>IFERROR(VLOOKUP(TED[[#This Row],[CENTRO]],'CENTRO DE CUSTO'!B:E,4,FALSE)," ")</f>
        <v>JEFFERSON</v>
      </c>
      <c r="D1275" s="12">
        <v>101</v>
      </c>
      <c r="E1275" s="16">
        <v>101004</v>
      </c>
      <c r="F1275" s="10" t="s">
        <v>1905</v>
      </c>
      <c r="G1275" s="10">
        <v>220</v>
      </c>
      <c r="H1275" s="11">
        <v>44952</v>
      </c>
      <c r="I1275" s="10" t="s">
        <v>948</v>
      </c>
      <c r="J1275" s="12" t="str">
        <f>IF(OR(TED[[#This Row],[SITUACAO]]=1,TED[[#This Row],[SITUACAO]]=9,TED[[#This Row],[SITUACAO]]=18),"ATIVO","AFASTADO")</f>
        <v>ATIVO</v>
      </c>
      <c r="K1275" s="12">
        <v>1</v>
      </c>
    </row>
    <row r="1276" spans="1:11" x14ac:dyDescent="0.25">
      <c r="A1276" s="10">
        <v>7378</v>
      </c>
      <c r="B1276" s="9" t="s">
        <v>1553</v>
      </c>
      <c r="C1276" s="12" t="str">
        <f>IFERROR(VLOOKUP(TED[[#This Row],[CENTRO]],'CENTRO DE CUSTO'!B:E,4,FALSE)," ")</f>
        <v>MARCOS</v>
      </c>
      <c r="D1276" s="12">
        <v>101</v>
      </c>
      <c r="E1276" s="16">
        <v>101010</v>
      </c>
      <c r="F1276" s="10" t="s">
        <v>1911</v>
      </c>
      <c r="G1276" s="10">
        <v>220</v>
      </c>
      <c r="H1276" s="11">
        <v>42461</v>
      </c>
      <c r="I1276" s="10" t="s">
        <v>1</v>
      </c>
      <c r="J1276" s="12" t="str">
        <f>IF(OR(TED[[#This Row],[SITUACAO]]=1,TED[[#This Row],[SITUACAO]]=9,TED[[#This Row],[SITUACAO]]=18),"ATIVO","AFASTADO")</f>
        <v>ATIVO</v>
      </c>
      <c r="K1276" s="12">
        <v>1</v>
      </c>
    </row>
    <row r="1277" spans="1:11" x14ac:dyDescent="0.25">
      <c r="A1277" s="10">
        <v>10802</v>
      </c>
      <c r="B1277" s="9" t="s">
        <v>1289</v>
      </c>
      <c r="C1277" s="12" t="str">
        <f>IFERROR(VLOOKUP(TED[[#This Row],[CENTRO]],'CENTRO DE CUSTO'!B:E,4,FALSE)," ")</f>
        <v>JEFFERSON</v>
      </c>
      <c r="D1277" s="12">
        <v>101</v>
      </c>
      <c r="E1277" s="16">
        <v>101004</v>
      </c>
      <c r="F1277" s="10" t="s">
        <v>1905</v>
      </c>
      <c r="G1277" s="10">
        <v>220</v>
      </c>
      <c r="H1277" s="11">
        <v>43236</v>
      </c>
      <c r="I1277" s="10" t="s">
        <v>1</v>
      </c>
      <c r="J1277" s="12" t="str">
        <f>IF(OR(TED[[#This Row],[SITUACAO]]=1,TED[[#This Row],[SITUACAO]]=9,TED[[#This Row],[SITUACAO]]=18),"ATIVO","AFASTADO")</f>
        <v>ATIVO</v>
      </c>
      <c r="K1277" s="12">
        <v>1</v>
      </c>
    </row>
    <row r="1278" spans="1:11" x14ac:dyDescent="0.25">
      <c r="A1278" s="10">
        <v>42375</v>
      </c>
      <c r="B1278" s="9" t="s">
        <v>1273</v>
      </c>
      <c r="C1278" s="12" t="str">
        <f>IFERROR(VLOOKUP(TED[[#This Row],[CENTRO]],'CENTRO DE CUSTO'!B:E,4,FALSE)," ")</f>
        <v>JEFFERSON</v>
      </c>
      <c r="D1278" s="12">
        <v>101</v>
      </c>
      <c r="E1278" s="16">
        <v>101003</v>
      </c>
      <c r="F1278" s="10" t="s">
        <v>1904</v>
      </c>
      <c r="G1278" s="10">
        <v>220</v>
      </c>
      <c r="H1278" s="11">
        <v>45986</v>
      </c>
      <c r="I1278" s="10" t="s">
        <v>948</v>
      </c>
      <c r="J1278" s="12" t="str">
        <f>IF(OR(TED[[#This Row],[SITUACAO]]=1,TED[[#This Row],[SITUACAO]]=9,TED[[#This Row],[SITUACAO]]=18),"ATIVO","AFASTADO")</f>
        <v>ATIVO</v>
      </c>
      <c r="K1278" s="12">
        <v>1</v>
      </c>
    </row>
    <row r="1279" spans="1:11" x14ac:dyDescent="0.25">
      <c r="A1279" s="10">
        <v>20457</v>
      </c>
      <c r="B1279" s="9" t="s">
        <v>1314</v>
      </c>
      <c r="C1279" s="12" t="str">
        <f>IFERROR(VLOOKUP(TED[[#This Row],[CENTRO]],'CENTRO DE CUSTO'!B:E,4,FALSE)," ")</f>
        <v>JEFFERSON</v>
      </c>
      <c r="D1279" s="12">
        <v>101</v>
      </c>
      <c r="E1279" s="16">
        <v>101004</v>
      </c>
      <c r="F1279" s="10" t="s">
        <v>1905</v>
      </c>
      <c r="G1279" s="10">
        <v>220</v>
      </c>
      <c r="H1279" s="11">
        <v>44615</v>
      </c>
      <c r="I1279" s="10" t="s">
        <v>21</v>
      </c>
      <c r="J1279" s="12" t="str">
        <f>IF(OR(TED[[#This Row],[SITUACAO]]=1,TED[[#This Row],[SITUACAO]]=9,TED[[#This Row],[SITUACAO]]=18),"ATIVO","AFASTADO")</f>
        <v>ATIVO</v>
      </c>
      <c r="K1279" s="12">
        <v>1</v>
      </c>
    </row>
    <row r="1280" spans="1:11" x14ac:dyDescent="0.25">
      <c r="A1280" s="10">
        <v>44181</v>
      </c>
      <c r="B1280" s="9" t="s">
        <v>2084</v>
      </c>
      <c r="C1280" s="12" t="str">
        <f>IFERROR(VLOOKUP(TED[[#This Row],[CENTRO]],'CENTRO DE CUSTO'!B:E,4,FALSE)," ")</f>
        <v>JEFFERSON</v>
      </c>
      <c r="D1280" s="12">
        <v>101</v>
      </c>
      <c r="E1280" s="16">
        <v>101004</v>
      </c>
      <c r="F1280" s="10" t="s">
        <v>1905</v>
      </c>
      <c r="G1280" s="10">
        <v>220</v>
      </c>
      <c r="H1280" s="11">
        <v>46077</v>
      </c>
      <c r="I1280" s="10" t="s">
        <v>21</v>
      </c>
      <c r="J1280" s="12" t="str">
        <f>IF(OR(TED[[#This Row],[SITUACAO]]=1,TED[[#This Row],[SITUACAO]]=9,TED[[#This Row],[SITUACAO]]=18),"ATIVO","AFASTADO")</f>
        <v>ATIVO</v>
      </c>
      <c r="K1280" s="12">
        <v>1</v>
      </c>
    </row>
    <row r="1281" spans="1:11" x14ac:dyDescent="0.25">
      <c r="A1281" s="10">
        <v>22553</v>
      </c>
      <c r="B1281" s="9" t="s">
        <v>1426</v>
      </c>
      <c r="C1281" s="12" t="str">
        <f>IFERROR(VLOOKUP(TED[[#This Row],[CENTRO]],'CENTRO DE CUSTO'!B:E,4,FALSE)," ")</f>
        <v>MARCOS</v>
      </c>
      <c r="D1281" s="12">
        <v>101</v>
      </c>
      <c r="E1281" s="16">
        <v>101005</v>
      </c>
      <c r="F1281" s="10" t="s">
        <v>1906</v>
      </c>
      <c r="G1281" s="10">
        <v>220</v>
      </c>
      <c r="H1281" s="11">
        <v>44764</v>
      </c>
      <c r="I1281" s="10" t="s">
        <v>21</v>
      </c>
      <c r="J1281" s="12" t="str">
        <f>IF(OR(TED[[#This Row],[SITUACAO]]=1,TED[[#This Row],[SITUACAO]]=9,TED[[#This Row],[SITUACAO]]=18),"ATIVO","AFASTADO")</f>
        <v>ATIVO</v>
      </c>
      <c r="K1281" s="12">
        <v>1</v>
      </c>
    </row>
    <row r="1282" spans="1:11" x14ac:dyDescent="0.25">
      <c r="A1282" s="10">
        <v>10986</v>
      </c>
      <c r="B1282" s="9" t="s">
        <v>943</v>
      </c>
      <c r="C1282" s="12" t="str">
        <f>IFERROR(VLOOKUP(TED[[#This Row],[CENTRO]],'CENTRO DE CUSTO'!B:E,4,FALSE)," ")</f>
        <v>MARCOS</v>
      </c>
      <c r="D1282" s="12">
        <v>101</v>
      </c>
      <c r="E1282" s="16">
        <v>101001</v>
      </c>
      <c r="F1282" s="10" t="s">
        <v>1902</v>
      </c>
      <c r="G1282" s="10">
        <v>220</v>
      </c>
      <c r="H1282" s="11">
        <v>43313</v>
      </c>
      <c r="I1282" s="10" t="s">
        <v>1</v>
      </c>
      <c r="J1282" s="12" t="str">
        <f>IF(OR(TED[[#This Row],[SITUACAO]]=1,TED[[#This Row],[SITUACAO]]=9,TED[[#This Row],[SITUACAO]]=18),"ATIVO","AFASTADO")</f>
        <v>ATIVO</v>
      </c>
      <c r="K1282" s="12">
        <v>1</v>
      </c>
    </row>
    <row r="1283" spans="1:11" x14ac:dyDescent="0.25">
      <c r="A1283" s="10">
        <v>8831</v>
      </c>
      <c r="B1283" s="9" t="s">
        <v>938</v>
      </c>
      <c r="C1283" s="12" t="str">
        <f>IFERROR(VLOOKUP(TED[[#This Row],[CENTRO]],'CENTRO DE CUSTO'!B:E,4,FALSE)," ")</f>
        <v>MARCOS</v>
      </c>
      <c r="D1283" s="12">
        <v>101</v>
      </c>
      <c r="E1283" s="16">
        <v>101010</v>
      </c>
      <c r="F1283" s="10" t="s">
        <v>1911</v>
      </c>
      <c r="G1283" s="10">
        <v>220</v>
      </c>
      <c r="H1283" s="11">
        <v>42802</v>
      </c>
      <c r="I1283" s="10" t="s">
        <v>937</v>
      </c>
      <c r="J1283" s="12" t="str">
        <f>IF(OR(TED[[#This Row],[SITUACAO]]=1,TED[[#This Row],[SITUACAO]]=9,TED[[#This Row],[SITUACAO]]=18),"ATIVO","AFASTADO")</f>
        <v>ATIVO</v>
      </c>
      <c r="K1283" s="12">
        <v>1</v>
      </c>
    </row>
    <row r="1284" spans="1:11" x14ac:dyDescent="0.25">
      <c r="A1284" s="10">
        <v>37375</v>
      </c>
      <c r="B1284" s="9" t="s">
        <v>1435</v>
      </c>
      <c r="C1284" s="12" t="str">
        <f>IFERROR(VLOOKUP(TED[[#This Row],[CENTRO]],'CENTRO DE CUSTO'!B:E,4,FALSE)," ")</f>
        <v>MARCOS</v>
      </c>
      <c r="D1284" s="12">
        <v>101</v>
      </c>
      <c r="E1284" s="16">
        <v>101005</v>
      </c>
      <c r="F1284" s="10" t="s">
        <v>1906</v>
      </c>
      <c r="G1284" s="10">
        <v>220</v>
      </c>
      <c r="H1284" s="11">
        <v>45722</v>
      </c>
      <c r="I1284" s="10" t="s">
        <v>973</v>
      </c>
      <c r="J1284" s="12" t="str">
        <f>IF(OR(TED[[#This Row],[SITUACAO]]=1,TED[[#This Row],[SITUACAO]]=9,TED[[#This Row],[SITUACAO]]=18),"ATIVO","AFASTADO")</f>
        <v>ATIVO</v>
      </c>
      <c r="K1284" s="12">
        <v>1</v>
      </c>
    </row>
    <row r="1285" spans="1:11" x14ac:dyDescent="0.25">
      <c r="A1285" s="10">
        <v>17713</v>
      </c>
      <c r="B1285" s="9" t="s">
        <v>1462</v>
      </c>
      <c r="C1285" s="12" t="str">
        <f>IFERROR(VLOOKUP(TED[[#This Row],[CENTRO]],'CENTRO DE CUSTO'!B:E,4,FALSE)," ")</f>
        <v>JEFFERSON</v>
      </c>
      <c r="D1285" s="12">
        <v>101</v>
      </c>
      <c r="E1285" s="16">
        <v>101007</v>
      </c>
      <c r="F1285" s="10" t="s">
        <v>1908</v>
      </c>
      <c r="G1285" s="10">
        <v>220</v>
      </c>
      <c r="H1285" s="11">
        <v>44474</v>
      </c>
      <c r="I1285" s="10" t="s">
        <v>933</v>
      </c>
      <c r="J1285" s="12" t="str">
        <f>IF(OR(TED[[#This Row],[SITUACAO]]=1,TED[[#This Row],[SITUACAO]]=9,TED[[#This Row],[SITUACAO]]=18),"ATIVO","AFASTADO")</f>
        <v>ATIVO</v>
      </c>
      <c r="K1285" s="12">
        <v>9</v>
      </c>
    </row>
    <row r="1286" spans="1:11" x14ac:dyDescent="0.25">
      <c r="A1286" s="10">
        <v>33345</v>
      </c>
      <c r="B1286" s="9" t="s">
        <v>1448</v>
      </c>
      <c r="C1286" s="12" t="str">
        <f>IFERROR(VLOOKUP(TED[[#This Row],[CENTRO]],'CENTRO DE CUSTO'!B:E,4,FALSE)," ")</f>
        <v>JEFFERSON</v>
      </c>
      <c r="D1286" s="12">
        <v>101</v>
      </c>
      <c r="E1286" s="16">
        <v>101006</v>
      </c>
      <c r="F1286" s="10" t="s">
        <v>1907</v>
      </c>
      <c r="G1286" s="10">
        <v>220</v>
      </c>
      <c r="H1286" s="11">
        <v>45502</v>
      </c>
      <c r="I1286" s="10" t="s">
        <v>947</v>
      </c>
      <c r="J1286" s="12" t="str">
        <f>IF(OR(TED[[#This Row],[SITUACAO]]=1,TED[[#This Row],[SITUACAO]]=9,TED[[#This Row],[SITUACAO]]=18),"ATIVO","AFASTADO")</f>
        <v>ATIVO</v>
      </c>
      <c r="K1286" s="12">
        <v>1</v>
      </c>
    </row>
    <row r="1287" spans="1:11" x14ac:dyDescent="0.25">
      <c r="A1287" s="10">
        <v>12516</v>
      </c>
      <c r="B1287" s="9" t="s">
        <v>1561</v>
      </c>
      <c r="C1287" s="12" t="str">
        <f>IFERROR(VLOOKUP(TED[[#This Row],[CENTRO]],'CENTRO DE CUSTO'!B:E,4,FALSE)," ")</f>
        <v>MARCOS</v>
      </c>
      <c r="D1287" s="12">
        <v>101</v>
      </c>
      <c r="E1287" s="16">
        <v>101010</v>
      </c>
      <c r="F1287" s="10" t="s">
        <v>1911</v>
      </c>
      <c r="G1287" s="10">
        <v>220</v>
      </c>
      <c r="H1287" s="11">
        <v>43556</v>
      </c>
      <c r="I1287" s="10" t="s">
        <v>941</v>
      </c>
      <c r="J1287" s="12" t="str">
        <f>IF(OR(TED[[#This Row],[SITUACAO]]=1,TED[[#This Row],[SITUACAO]]=9,TED[[#This Row],[SITUACAO]]=18),"ATIVO","AFASTADO")</f>
        <v>ATIVO</v>
      </c>
      <c r="K1287" s="12">
        <v>1</v>
      </c>
    </row>
    <row r="1288" spans="1:11" x14ac:dyDescent="0.25">
      <c r="A1288" s="10">
        <v>25426</v>
      </c>
      <c r="B1288" s="9" t="s">
        <v>1442</v>
      </c>
      <c r="C1288" s="12" t="str">
        <f>IFERROR(VLOOKUP(TED[[#This Row],[CENTRO]],'CENTRO DE CUSTO'!B:E,4,FALSE)," ")</f>
        <v>MARCOS</v>
      </c>
      <c r="D1288" s="12">
        <v>101</v>
      </c>
      <c r="E1288" s="16">
        <v>101005</v>
      </c>
      <c r="F1288" s="10" t="s">
        <v>1906</v>
      </c>
      <c r="G1288" s="10">
        <v>220</v>
      </c>
      <c r="H1288" s="11">
        <v>44971</v>
      </c>
      <c r="I1288" s="10" t="s">
        <v>942</v>
      </c>
      <c r="J1288" s="12" t="str">
        <f>IF(OR(TED[[#This Row],[SITUACAO]]=1,TED[[#This Row],[SITUACAO]]=9,TED[[#This Row],[SITUACAO]]=18),"ATIVO","AFASTADO")</f>
        <v>ATIVO</v>
      </c>
      <c r="K1288" s="12">
        <v>1</v>
      </c>
    </row>
    <row r="1289" spans="1:11" x14ac:dyDescent="0.25">
      <c r="A1289" s="10">
        <v>32523</v>
      </c>
      <c r="B1289" s="9" t="s">
        <v>1216</v>
      </c>
      <c r="C1289" s="12" t="str">
        <f>IFERROR(VLOOKUP(TED[[#This Row],[CENTRO]],'CENTRO DE CUSTO'!B:E,4,FALSE)," ")</f>
        <v>MARCOS</v>
      </c>
      <c r="D1289" s="12">
        <v>101</v>
      </c>
      <c r="E1289" s="16">
        <v>101001</v>
      </c>
      <c r="F1289" s="10" t="s">
        <v>1902</v>
      </c>
      <c r="G1289" s="10">
        <v>220</v>
      </c>
      <c r="H1289" s="11">
        <v>45425</v>
      </c>
      <c r="I1289" s="10" t="s">
        <v>946</v>
      </c>
      <c r="J1289" s="12" t="str">
        <f>IF(OR(TED[[#This Row],[SITUACAO]]=1,TED[[#This Row],[SITUACAO]]=9,TED[[#This Row],[SITUACAO]]=18),"ATIVO","AFASTADO")</f>
        <v>ATIVO</v>
      </c>
      <c r="K1289" s="12">
        <v>1</v>
      </c>
    </row>
    <row r="1290" spans="1:11" x14ac:dyDescent="0.25">
      <c r="A1290" s="10">
        <v>15875</v>
      </c>
      <c r="B1290" s="9" t="s">
        <v>1200</v>
      </c>
      <c r="C1290" s="12" t="str">
        <f>IFERROR(VLOOKUP(TED[[#This Row],[CENTRO]],'CENTRO DE CUSTO'!B:E,4,FALSE)," ")</f>
        <v>MARCOS</v>
      </c>
      <c r="D1290" s="12">
        <v>101</v>
      </c>
      <c r="E1290" s="16">
        <v>101001</v>
      </c>
      <c r="F1290" s="10" t="s">
        <v>1902</v>
      </c>
      <c r="G1290" s="10">
        <v>220</v>
      </c>
      <c r="H1290" s="11">
        <v>44272</v>
      </c>
      <c r="I1290" s="10" t="s">
        <v>933</v>
      </c>
      <c r="J1290" s="12" t="str">
        <f>IF(OR(TED[[#This Row],[SITUACAO]]=1,TED[[#This Row],[SITUACAO]]=9,TED[[#This Row],[SITUACAO]]=18),"ATIVO","AFASTADO")</f>
        <v>ATIVO</v>
      </c>
      <c r="K1290" s="12">
        <v>1</v>
      </c>
    </row>
    <row r="1291" spans="1:11" x14ac:dyDescent="0.25">
      <c r="A1291" s="10">
        <v>41349</v>
      </c>
      <c r="B1291" s="9" t="s">
        <v>1576</v>
      </c>
      <c r="C1291" s="12" t="str">
        <f>IFERROR(VLOOKUP(TED[[#This Row],[CENTRO]],'CENTRO DE CUSTO'!B:E,4,FALSE)," ")</f>
        <v>MARCOS</v>
      </c>
      <c r="D1291" s="12">
        <v>101</v>
      </c>
      <c r="E1291" s="16">
        <v>101012</v>
      </c>
      <c r="F1291" s="10" t="s">
        <v>1913</v>
      </c>
      <c r="G1291" s="10">
        <v>220</v>
      </c>
      <c r="H1291" s="11">
        <v>45932</v>
      </c>
      <c r="I1291" s="10" t="s">
        <v>933</v>
      </c>
      <c r="J1291" s="12" t="str">
        <f>IF(OR(TED[[#This Row],[SITUACAO]]=1,TED[[#This Row],[SITUACAO]]=9,TED[[#This Row],[SITUACAO]]=18),"ATIVO","AFASTADO")</f>
        <v>ATIVO</v>
      </c>
      <c r="K1291" s="12">
        <v>1</v>
      </c>
    </row>
    <row r="1292" spans="1:11" x14ac:dyDescent="0.25">
      <c r="A1292" s="10">
        <v>45191</v>
      </c>
      <c r="B1292" s="9" t="s">
        <v>2235</v>
      </c>
      <c r="C1292" s="12" t="str">
        <f>IFERROR(VLOOKUP(TED[[#This Row],[CENTRO]],'CENTRO DE CUSTO'!B:E,4,FALSE)," ")</f>
        <v>MARCOS</v>
      </c>
      <c r="D1292" s="12">
        <v>101</v>
      </c>
      <c r="E1292" s="16">
        <v>101008</v>
      </c>
      <c r="F1292" s="10" t="s">
        <v>1909</v>
      </c>
      <c r="G1292" s="10">
        <v>220</v>
      </c>
      <c r="H1292" s="11">
        <v>46134</v>
      </c>
      <c r="I1292" s="10" t="s">
        <v>935</v>
      </c>
      <c r="J1292" s="12" t="str">
        <f>IF(OR(TED[[#This Row],[SITUACAO]]=1,TED[[#This Row],[SITUACAO]]=9,TED[[#This Row],[SITUACAO]]=18),"ATIVO","AFASTADO")</f>
        <v>ATIVO</v>
      </c>
      <c r="K1292" s="12">
        <v>1</v>
      </c>
    </row>
    <row r="1293" spans="1:11" x14ac:dyDescent="0.25">
      <c r="A1293" s="10">
        <v>15907</v>
      </c>
      <c r="B1293" s="9" t="s">
        <v>1499</v>
      </c>
      <c r="C1293" s="12" t="str">
        <f>IFERROR(VLOOKUP(TED[[#This Row],[CENTRO]],'CENTRO DE CUSTO'!B:E,4,FALSE)," ")</f>
        <v>MARCOS</v>
      </c>
      <c r="D1293" s="12">
        <v>101</v>
      </c>
      <c r="E1293" s="16">
        <v>101008</v>
      </c>
      <c r="F1293" s="10" t="s">
        <v>1909</v>
      </c>
      <c r="G1293" s="10">
        <v>220</v>
      </c>
      <c r="H1293" s="11">
        <v>44285</v>
      </c>
      <c r="I1293" s="10" t="s">
        <v>957</v>
      </c>
      <c r="J1293" s="12" t="str">
        <f>IF(OR(TED[[#This Row],[SITUACAO]]=1,TED[[#This Row],[SITUACAO]]=9,TED[[#This Row],[SITUACAO]]=18),"ATIVO","AFASTADO")</f>
        <v>ATIVO</v>
      </c>
      <c r="K1293" s="12">
        <v>1</v>
      </c>
    </row>
    <row r="1294" spans="1:11" x14ac:dyDescent="0.25">
      <c r="A1294" s="10">
        <v>46072</v>
      </c>
      <c r="B1294" s="9" t="s">
        <v>2349</v>
      </c>
      <c r="C1294" s="12" t="str">
        <f>IFERROR(VLOOKUP(TED[[#This Row],[CENTRO]],'CENTRO DE CUSTO'!B:E,4,FALSE)," ")</f>
        <v>MARCOS</v>
      </c>
      <c r="D1294" s="12">
        <v>101</v>
      </c>
      <c r="E1294" s="16">
        <v>101005</v>
      </c>
      <c r="F1294" s="10" t="s">
        <v>1906</v>
      </c>
      <c r="G1294" s="10">
        <v>220</v>
      </c>
      <c r="H1294" s="11">
        <v>46183</v>
      </c>
      <c r="I1294" s="10" t="s">
        <v>933</v>
      </c>
      <c r="J1294" s="12" t="str">
        <f>IF(OR(TED[[#This Row],[SITUACAO]]=1,TED[[#This Row],[SITUACAO]]=9,TED[[#This Row],[SITUACAO]]=18),"ATIVO","AFASTADO")</f>
        <v>ATIVO</v>
      </c>
      <c r="K1294" s="12">
        <v>1</v>
      </c>
    </row>
    <row r="1295" spans="1:11" x14ac:dyDescent="0.25">
      <c r="A1295" s="10">
        <v>25525</v>
      </c>
      <c r="B1295" s="9" t="s">
        <v>1224</v>
      </c>
      <c r="C1295" s="12" t="str">
        <f>IFERROR(VLOOKUP(TED[[#This Row],[CENTRO]],'CENTRO DE CUSTO'!B:E,4,FALSE)," ")</f>
        <v>MARCOS</v>
      </c>
      <c r="D1295" s="12">
        <v>101</v>
      </c>
      <c r="E1295" s="16">
        <v>101001</v>
      </c>
      <c r="F1295" s="10" t="s">
        <v>1902</v>
      </c>
      <c r="G1295" s="10">
        <v>220</v>
      </c>
      <c r="H1295" s="11">
        <v>44981</v>
      </c>
      <c r="I1295" s="10" t="s">
        <v>947</v>
      </c>
      <c r="J1295" s="12" t="str">
        <f>IF(OR(TED[[#This Row],[SITUACAO]]=1,TED[[#This Row],[SITUACAO]]=9,TED[[#This Row],[SITUACAO]]=18),"ATIVO","AFASTADO")</f>
        <v>ATIVO</v>
      </c>
      <c r="K1295" s="12">
        <v>1</v>
      </c>
    </row>
    <row r="1296" spans="1:11" x14ac:dyDescent="0.25">
      <c r="A1296" s="10">
        <v>26217</v>
      </c>
      <c r="B1296" s="9" t="s">
        <v>1429</v>
      </c>
      <c r="C1296" s="12" t="str">
        <f>IFERROR(VLOOKUP(TED[[#This Row],[CENTRO]],'CENTRO DE CUSTO'!B:E,4,FALSE)," ")</f>
        <v>MARCOS</v>
      </c>
      <c r="D1296" s="12">
        <v>101</v>
      </c>
      <c r="E1296" s="16">
        <v>101005</v>
      </c>
      <c r="F1296" s="10" t="s">
        <v>1906</v>
      </c>
      <c r="G1296" s="10">
        <v>220</v>
      </c>
      <c r="H1296" s="11">
        <v>45020</v>
      </c>
      <c r="I1296" s="10" t="s">
        <v>973</v>
      </c>
      <c r="J1296" s="12" t="str">
        <f>IF(OR(TED[[#This Row],[SITUACAO]]=1,TED[[#This Row],[SITUACAO]]=9,TED[[#This Row],[SITUACAO]]=18),"ATIVO","AFASTADO")</f>
        <v>ATIVO</v>
      </c>
      <c r="K1296" s="12">
        <v>1</v>
      </c>
    </row>
    <row r="1297" spans="1:11" x14ac:dyDescent="0.25">
      <c r="A1297" s="10">
        <v>7408</v>
      </c>
      <c r="B1297" s="9" t="s">
        <v>1281</v>
      </c>
      <c r="C1297" s="12" t="str">
        <f>IFERROR(VLOOKUP(TED[[#This Row],[CENTRO]],'CENTRO DE CUSTO'!B:E,4,FALSE)," ")</f>
        <v>JEFFERSON</v>
      </c>
      <c r="D1297" s="12">
        <v>101</v>
      </c>
      <c r="E1297" s="16">
        <v>101004</v>
      </c>
      <c r="F1297" s="10" t="s">
        <v>1905</v>
      </c>
      <c r="G1297" s="10">
        <v>220</v>
      </c>
      <c r="H1297" s="11">
        <v>42461</v>
      </c>
      <c r="I1297" s="10" t="s">
        <v>1</v>
      </c>
      <c r="J1297" s="12" t="str">
        <f>IF(OR(TED[[#This Row],[SITUACAO]]=1,TED[[#This Row],[SITUACAO]]=9,TED[[#This Row],[SITUACAO]]=18),"ATIVO","AFASTADO")</f>
        <v>ATIVO</v>
      </c>
      <c r="K1297" s="12">
        <v>1</v>
      </c>
    </row>
    <row r="1298" spans="1:11" x14ac:dyDescent="0.25">
      <c r="A1298" s="10">
        <v>17759</v>
      </c>
      <c r="B1298" s="9" t="s">
        <v>1307</v>
      </c>
      <c r="C1298" s="12" t="str">
        <f>IFERROR(VLOOKUP(TED[[#This Row],[CENTRO]],'CENTRO DE CUSTO'!B:E,4,FALSE)," ")</f>
        <v>JEFFERSON</v>
      </c>
      <c r="D1298" s="12">
        <v>101</v>
      </c>
      <c r="E1298" s="16">
        <v>101004</v>
      </c>
      <c r="F1298" s="10" t="s">
        <v>1905</v>
      </c>
      <c r="G1298" s="10">
        <v>220</v>
      </c>
      <c r="H1298" s="11">
        <v>44473</v>
      </c>
      <c r="I1298" s="10" t="s">
        <v>1</v>
      </c>
      <c r="J1298" s="12" t="str">
        <f>IF(OR(TED[[#This Row],[SITUACAO]]=1,TED[[#This Row],[SITUACAO]]=9,TED[[#This Row],[SITUACAO]]=18),"ATIVO","AFASTADO")</f>
        <v>ATIVO</v>
      </c>
      <c r="K1298" s="12">
        <v>1</v>
      </c>
    </row>
    <row r="1299" spans="1:11" x14ac:dyDescent="0.25">
      <c r="A1299" s="10">
        <v>34205</v>
      </c>
      <c r="B1299" s="9" t="s">
        <v>1555</v>
      </c>
      <c r="C1299" s="12" t="str">
        <f>IFERROR(VLOOKUP(TED[[#This Row],[CENTRO]],'CENTRO DE CUSTO'!B:E,4,FALSE)," ")</f>
        <v>MARCOS</v>
      </c>
      <c r="D1299" s="12">
        <v>101</v>
      </c>
      <c r="E1299" s="16">
        <v>101010</v>
      </c>
      <c r="F1299" s="10" t="s">
        <v>1911</v>
      </c>
      <c r="G1299" s="10">
        <v>220</v>
      </c>
      <c r="H1299" s="11">
        <v>45574</v>
      </c>
      <c r="I1299" s="10" t="s">
        <v>21</v>
      </c>
      <c r="J1299" s="12" t="str">
        <f>IF(OR(TED[[#This Row],[SITUACAO]]=1,TED[[#This Row],[SITUACAO]]=9,TED[[#This Row],[SITUACAO]]=18),"ATIVO","AFASTADO")</f>
        <v>ATIVO</v>
      </c>
      <c r="K1299" s="12">
        <v>1</v>
      </c>
    </row>
    <row r="1300" spans="1:11" x14ac:dyDescent="0.25">
      <c r="A1300" s="10">
        <v>43200</v>
      </c>
      <c r="B1300" s="9" t="s">
        <v>1673</v>
      </c>
      <c r="C1300" s="12" t="str">
        <f>IFERROR(VLOOKUP(TED[[#This Row],[CENTRO]],'CENTRO DE CUSTO'!B:E,4,FALSE)," ")</f>
        <v>FERNANDO SANTOS</v>
      </c>
      <c r="D1300" s="12">
        <v>229</v>
      </c>
      <c r="E1300" s="16">
        <v>229043</v>
      </c>
      <c r="F1300" s="10" t="s">
        <v>1935</v>
      </c>
      <c r="G1300" s="10">
        <v>220</v>
      </c>
      <c r="H1300" s="11">
        <v>46034</v>
      </c>
      <c r="I1300" s="10" t="s">
        <v>21</v>
      </c>
      <c r="J1300" s="12" t="str">
        <f>IF(OR(TED[[#This Row],[SITUACAO]]=1,TED[[#This Row],[SITUACAO]]=9,TED[[#This Row],[SITUACAO]]=18),"ATIVO","AFASTADO")</f>
        <v>ATIVO</v>
      </c>
      <c r="K1300" s="12">
        <v>1</v>
      </c>
    </row>
    <row r="1301" spans="1:11" x14ac:dyDescent="0.25">
      <c r="A1301" s="10">
        <v>25396</v>
      </c>
      <c r="B1301" s="9" t="s">
        <v>1661</v>
      </c>
      <c r="C1301" s="12" t="str">
        <f>IFERROR(VLOOKUP(TED[[#This Row],[CENTRO]],'CENTRO DE CUSTO'!B:E,4,FALSE)," ")</f>
        <v>FERNANDO SANTOS</v>
      </c>
      <c r="D1301" s="12">
        <v>229</v>
      </c>
      <c r="E1301" s="16">
        <v>229038</v>
      </c>
      <c r="F1301" s="10" t="s">
        <v>1930</v>
      </c>
      <c r="G1301" s="10">
        <v>220</v>
      </c>
      <c r="H1301" s="11">
        <v>44973</v>
      </c>
      <c r="I1301" s="10" t="s">
        <v>21</v>
      </c>
      <c r="J1301" s="12" t="str">
        <f>IF(OR(TED[[#This Row],[SITUACAO]]=1,TED[[#This Row],[SITUACAO]]=9,TED[[#This Row],[SITUACAO]]=18),"ATIVO","AFASTADO")</f>
        <v>ATIVO</v>
      </c>
      <c r="K1301" s="12">
        <v>9</v>
      </c>
    </row>
    <row r="1302" spans="1:11" x14ac:dyDescent="0.25">
      <c r="A1302" s="10">
        <v>42975</v>
      </c>
      <c r="B1302" s="9" t="s">
        <v>1629</v>
      </c>
      <c r="C1302" s="12" t="str">
        <f>IFERROR(VLOOKUP(TED[[#This Row],[CENTRO]],'CENTRO DE CUSTO'!B:E,4,FALSE)," ")</f>
        <v>FERNANDO SANTOS</v>
      </c>
      <c r="D1302" s="12">
        <v>229</v>
      </c>
      <c r="E1302" s="16">
        <v>229026</v>
      </c>
      <c r="F1302" s="10" t="s">
        <v>1918</v>
      </c>
      <c r="G1302" s="10">
        <v>220</v>
      </c>
      <c r="H1302" s="11">
        <v>45999</v>
      </c>
      <c r="I1302" s="10" t="s">
        <v>21</v>
      </c>
      <c r="J1302" s="12" t="str">
        <f>IF(OR(TED[[#This Row],[SITUACAO]]=1,TED[[#This Row],[SITUACAO]]=9,TED[[#This Row],[SITUACAO]]=18),"ATIVO","AFASTADO")</f>
        <v>ATIVO</v>
      </c>
      <c r="K1302" s="12">
        <v>1</v>
      </c>
    </row>
    <row r="1303" spans="1:11" x14ac:dyDescent="0.25">
      <c r="A1303" s="10">
        <v>45562</v>
      </c>
      <c r="B1303" s="9" t="s">
        <v>2240</v>
      </c>
      <c r="C1303" s="12" t="str">
        <f>IFERROR(VLOOKUP(TED[[#This Row],[CENTRO]],'CENTRO DE CUSTO'!B:E,4,FALSE)," ")</f>
        <v>FERNANDO SANTOS</v>
      </c>
      <c r="D1303" s="12">
        <v>229</v>
      </c>
      <c r="E1303" s="16">
        <v>229043</v>
      </c>
      <c r="F1303" s="10" t="s">
        <v>1935</v>
      </c>
      <c r="G1303" s="10">
        <v>220</v>
      </c>
      <c r="H1303" s="11">
        <v>46155</v>
      </c>
      <c r="I1303" s="10" t="s">
        <v>21</v>
      </c>
      <c r="J1303" s="12" t="str">
        <f>IF(OR(TED[[#This Row],[SITUACAO]]=1,TED[[#This Row],[SITUACAO]]=9,TED[[#This Row],[SITUACAO]]=18),"ATIVO","AFASTADO")</f>
        <v>ATIVO</v>
      </c>
      <c r="K1303" s="12">
        <v>1</v>
      </c>
    </row>
    <row r="1304" spans="1:11" x14ac:dyDescent="0.25">
      <c r="A1304" s="10">
        <v>44956</v>
      </c>
      <c r="B1304" s="9" t="s">
        <v>2184</v>
      </c>
      <c r="C1304" s="12" t="str">
        <f>IFERROR(VLOOKUP(TED[[#This Row],[CENTRO]],'CENTRO DE CUSTO'!B:E,4,FALSE)," ")</f>
        <v>FERNANDO SANTOS</v>
      </c>
      <c r="D1304" s="12">
        <v>229</v>
      </c>
      <c r="E1304" s="16">
        <v>229043</v>
      </c>
      <c r="F1304" s="10" t="s">
        <v>1935</v>
      </c>
      <c r="G1304" s="10">
        <v>220</v>
      </c>
      <c r="H1304" s="11">
        <v>46120</v>
      </c>
      <c r="I1304" s="10" t="s">
        <v>21</v>
      </c>
      <c r="J1304" s="12" t="str">
        <f>IF(OR(TED[[#This Row],[SITUACAO]]=1,TED[[#This Row],[SITUACAO]]=9,TED[[#This Row],[SITUACAO]]=18),"ATIVO","AFASTADO")</f>
        <v>ATIVO</v>
      </c>
      <c r="K1304" s="12">
        <v>1</v>
      </c>
    </row>
    <row r="1305" spans="1:11" x14ac:dyDescent="0.25">
      <c r="A1305" s="10">
        <v>43011</v>
      </c>
      <c r="B1305" s="9" t="s">
        <v>1674</v>
      </c>
      <c r="C1305" s="12" t="str">
        <f>IFERROR(VLOOKUP(TED[[#This Row],[CENTRO]],'CENTRO DE CUSTO'!B:E,4,FALSE)," ")</f>
        <v>FERNANDO SANTOS</v>
      </c>
      <c r="D1305" s="12">
        <v>229</v>
      </c>
      <c r="E1305" s="16">
        <v>229043</v>
      </c>
      <c r="F1305" s="10" t="s">
        <v>1935</v>
      </c>
      <c r="G1305" s="10">
        <v>220</v>
      </c>
      <c r="H1305" s="11">
        <v>45999</v>
      </c>
      <c r="I1305" s="10" t="s">
        <v>944</v>
      </c>
      <c r="J1305" s="12" t="str">
        <f>IF(OR(TED[[#This Row],[SITUACAO]]=1,TED[[#This Row],[SITUACAO]]=9,TED[[#This Row],[SITUACAO]]=18),"ATIVO","AFASTADO")</f>
        <v>ATIVO</v>
      </c>
      <c r="K1305" s="12">
        <v>1</v>
      </c>
    </row>
    <row r="1306" spans="1:11" x14ac:dyDescent="0.25">
      <c r="A1306" s="10">
        <v>31976</v>
      </c>
      <c r="B1306" s="9" t="s">
        <v>1649</v>
      </c>
      <c r="C1306" s="12" t="str">
        <f>IFERROR(VLOOKUP(TED[[#This Row],[CENTRO]],'CENTRO DE CUSTO'!B:E,4,FALSE)," ")</f>
        <v>FERNANDO SANTOS</v>
      </c>
      <c r="D1306" s="12">
        <v>229</v>
      </c>
      <c r="E1306" s="16">
        <v>229033</v>
      </c>
      <c r="F1306" s="10" t="s">
        <v>1925</v>
      </c>
      <c r="G1306" s="10">
        <v>220</v>
      </c>
      <c r="H1306" s="11">
        <v>45385</v>
      </c>
      <c r="I1306" s="10" t="s">
        <v>21</v>
      </c>
      <c r="J1306" s="12" t="str">
        <f>IF(OR(TED[[#This Row],[SITUACAO]]=1,TED[[#This Row],[SITUACAO]]=9,TED[[#This Row],[SITUACAO]]=18),"ATIVO","AFASTADO")</f>
        <v>ATIVO</v>
      </c>
      <c r="K1306" s="12">
        <v>1</v>
      </c>
    </row>
    <row r="1307" spans="1:11" x14ac:dyDescent="0.25">
      <c r="A1307" s="10">
        <v>44868</v>
      </c>
      <c r="B1307" s="9" t="s">
        <v>2180</v>
      </c>
      <c r="C1307" s="12" t="str">
        <f>IFERROR(VLOOKUP(TED[[#This Row],[CENTRO]],'CENTRO DE CUSTO'!B:E,4,FALSE)," ")</f>
        <v>FERNANDO SANTOS</v>
      </c>
      <c r="D1307" s="12">
        <v>229</v>
      </c>
      <c r="E1307" s="16">
        <v>229023</v>
      </c>
      <c r="F1307" s="10" t="s">
        <v>1915</v>
      </c>
      <c r="G1307" s="10">
        <v>220</v>
      </c>
      <c r="H1307" s="11">
        <v>46118</v>
      </c>
      <c r="I1307" s="10" t="s">
        <v>21</v>
      </c>
      <c r="J1307" s="12" t="str">
        <f>IF(OR(TED[[#This Row],[SITUACAO]]=1,TED[[#This Row],[SITUACAO]]=9,TED[[#This Row],[SITUACAO]]=18),"ATIVO","AFASTADO")</f>
        <v>ATIVO</v>
      </c>
      <c r="K1307" s="12">
        <v>1</v>
      </c>
    </row>
    <row r="1308" spans="1:11" x14ac:dyDescent="0.25">
      <c r="A1308" s="10">
        <v>47199</v>
      </c>
      <c r="B1308" s="9" t="s">
        <v>2350</v>
      </c>
      <c r="C1308" s="12" t="str">
        <f>IFERROR(VLOOKUP(TED[[#This Row],[CENTRO]],'CENTRO DE CUSTO'!B:E,4,FALSE)," ")</f>
        <v>FERNANDO SANTOS</v>
      </c>
      <c r="D1308" s="12">
        <v>229</v>
      </c>
      <c r="E1308" s="16">
        <v>229023</v>
      </c>
      <c r="F1308" s="10" t="s">
        <v>1915</v>
      </c>
      <c r="G1308" s="10">
        <v>220</v>
      </c>
      <c r="H1308" s="11">
        <v>46204</v>
      </c>
      <c r="I1308" s="10" t="s">
        <v>944</v>
      </c>
      <c r="J1308" s="12" t="str">
        <f>IF(OR(TED[[#This Row],[SITUACAO]]=1,TED[[#This Row],[SITUACAO]]=9,TED[[#This Row],[SITUACAO]]=18),"ATIVO","AFASTADO")</f>
        <v>ATIVO</v>
      </c>
      <c r="K1308" s="12">
        <v>1</v>
      </c>
    </row>
    <row r="1309" spans="1:11" x14ac:dyDescent="0.25">
      <c r="A1309" s="10">
        <v>46763</v>
      </c>
      <c r="B1309" s="9" t="s">
        <v>2351</v>
      </c>
      <c r="C1309" s="12" t="str">
        <f>IFERROR(VLOOKUP(TED[[#This Row],[CENTRO]],'CENTRO DE CUSTO'!B:E,4,FALSE)," ")</f>
        <v>FERNANDO SANTOS</v>
      </c>
      <c r="D1309" s="12">
        <v>229</v>
      </c>
      <c r="E1309" s="16">
        <v>229043</v>
      </c>
      <c r="F1309" s="10" t="s">
        <v>1935</v>
      </c>
      <c r="G1309" s="10">
        <v>220</v>
      </c>
      <c r="H1309" s="11">
        <v>46195</v>
      </c>
      <c r="I1309" s="10" t="s">
        <v>21</v>
      </c>
      <c r="J1309" s="12" t="str">
        <f>IF(OR(TED[[#This Row],[SITUACAO]]=1,TED[[#This Row],[SITUACAO]]=9,TED[[#This Row],[SITUACAO]]=18),"ATIVO","AFASTADO")</f>
        <v>ATIVO</v>
      </c>
      <c r="K1309" s="12">
        <v>1</v>
      </c>
    </row>
    <row r="1310" spans="1:11" x14ac:dyDescent="0.25">
      <c r="A1310" s="10">
        <v>43913</v>
      </c>
      <c r="B1310" s="9" t="s">
        <v>2087</v>
      </c>
      <c r="C1310" s="12" t="str">
        <f>IFERROR(VLOOKUP(TED[[#This Row],[CENTRO]],'CENTRO DE CUSTO'!B:E,4,FALSE)," ")</f>
        <v>FERNANDO SANTOS</v>
      </c>
      <c r="D1310" s="12">
        <v>229</v>
      </c>
      <c r="E1310" s="16">
        <v>229023</v>
      </c>
      <c r="F1310" s="10" t="s">
        <v>1915</v>
      </c>
      <c r="G1310" s="10">
        <v>220</v>
      </c>
      <c r="H1310" s="11">
        <v>46064</v>
      </c>
      <c r="I1310" s="10" t="s">
        <v>21</v>
      </c>
      <c r="J1310" s="12" t="str">
        <f>IF(OR(TED[[#This Row],[SITUACAO]]=1,TED[[#This Row],[SITUACAO]]=9,TED[[#This Row],[SITUACAO]]=18),"ATIVO","AFASTADO")</f>
        <v>ATIVO</v>
      </c>
      <c r="K1310" s="12">
        <v>1</v>
      </c>
    </row>
    <row r="1311" spans="1:11" x14ac:dyDescent="0.25">
      <c r="A1311" s="10">
        <v>39713</v>
      </c>
      <c r="B1311" s="9" t="s">
        <v>1667</v>
      </c>
      <c r="C1311" s="12" t="str">
        <f>IFERROR(VLOOKUP(TED[[#This Row],[CENTRO]],'CENTRO DE CUSTO'!B:E,4,FALSE)," ")</f>
        <v>FERNANDO SANTOS</v>
      </c>
      <c r="D1311" s="12">
        <v>229</v>
      </c>
      <c r="E1311" s="16">
        <v>229040</v>
      </c>
      <c r="F1311" s="10" t="s">
        <v>1932</v>
      </c>
      <c r="G1311" s="10">
        <v>220</v>
      </c>
      <c r="H1311" s="11">
        <v>45866</v>
      </c>
      <c r="I1311" s="10" t="s">
        <v>21</v>
      </c>
      <c r="J1311" s="12" t="str">
        <f>IF(OR(TED[[#This Row],[SITUACAO]]=1,TED[[#This Row],[SITUACAO]]=9,TED[[#This Row],[SITUACAO]]=18),"ATIVO","AFASTADO")</f>
        <v>ATIVO</v>
      </c>
      <c r="K1311" s="12">
        <v>1</v>
      </c>
    </row>
    <row r="1312" spans="1:11" x14ac:dyDescent="0.25">
      <c r="A1312" s="10">
        <v>33078</v>
      </c>
      <c r="B1312" s="9" t="s">
        <v>1611</v>
      </c>
      <c r="C1312" s="12" t="str">
        <f>IFERROR(VLOOKUP(TED[[#This Row],[CENTRO]],'CENTRO DE CUSTO'!B:E,4,FALSE)," ")</f>
        <v>FERNANDO SANTOS</v>
      </c>
      <c r="D1312" s="12">
        <v>229</v>
      </c>
      <c r="E1312" s="16">
        <v>229024</v>
      </c>
      <c r="F1312" s="10" t="s">
        <v>1916</v>
      </c>
      <c r="G1312" s="10">
        <v>220</v>
      </c>
      <c r="H1312" s="11">
        <v>45475</v>
      </c>
      <c r="I1312" s="10" t="s">
        <v>948</v>
      </c>
      <c r="J1312" s="12" t="str">
        <f>IF(OR(TED[[#This Row],[SITUACAO]]=1,TED[[#This Row],[SITUACAO]]=9,TED[[#This Row],[SITUACAO]]=18),"ATIVO","AFASTADO")</f>
        <v>ATIVO</v>
      </c>
      <c r="K1312" s="12">
        <v>1</v>
      </c>
    </row>
    <row r="1313" spans="1:11" x14ac:dyDescent="0.25">
      <c r="A1313" s="10">
        <v>31406</v>
      </c>
      <c r="B1313" s="9" t="s">
        <v>602</v>
      </c>
      <c r="C1313" s="12" t="str">
        <f>IFERROR(VLOOKUP(TED[[#This Row],[CENTRO]],'CENTRO DE CUSTO'!B:E,4,FALSE)," ")</f>
        <v>FERNANDO SANTOS</v>
      </c>
      <c r="D1313" s="12">
        <v>229</v>
      </c>
      <c r="E1313" s="16">
        <v>229043</v>
      </c>
      <c r="F1313" s="10" t="s">
        <v>1935</v>
      </c>
      <c r="G1313" s="10">
        <v>220</v>
      </c>
      <c r="H1313" s="11">
        <v>45352</v>
      </c>
      <c r="I1313" s="10" t="s">
        <v>604</v>
      </c>
      <c r="J1313" s="12" t="str">
        <f>IF(OR(TED[[#This Row],[SITUACAO]]=1,TED[[#This Row],[SITUACAO]]=9,TED[[#This Row],[SITUACAO]]=18),"ATIVO","AFASTADO")</f>
        <v>ATIVO</v>
      </c>
      <c r="K1313" s="12">
        <v>1</v>
      </c>
    </row>
    <row r="1314" spans="1:11" x14ac:dyDescent="0.25">
      <c r="A1314" s="10">
        <v>25365</v>
      </c>
      <c r="B1314" s="9" t="s">
        <v>1644</v>
      </c>
      <c r="C1314" s="12" t="str">
        <f>IFERROR(VLOOKUP(TED[[#This Row],[CENTRO]],'CENTRO DE CUSTO'!B:E,4,FALSE)," ")</f>
        <v>FERNANDO SANTOS</v>
      </c>
      <c r="D1314" s="12">
        <v>229</v>
      </c>
      <c r="E1314" s="16">
        <v>229031</v>
      </c>
      <c r="F1314" s="10" t="s">
        <v>1923</v>
      </c>
      <c r="G1314" s="10">
        <v>220</v>
      </c>
      <c r="H1314" s="11">
        <v>44973</v>
      </c>
      <c r="I1314" s="10" t="s">
        <v>948</v>
      </c>
      <c r="J1314" s="12" t="str">
        <f>IF(OR(TED[[#This Row],[SITUACAO]]=1,TED[[#This Row],[SITUACAO]]=9,TED[[#This Row],[SITUACAO]]=18),"ATIVO","AFASTADO")</f>
        <v>ATIVO</v>
      </c>
      <c r="K1314" s="12">
        <v>1</v>
      </c>
    </row>
    <row r="1315" spans="1:11" x14ac:dyDescent="0.25">
      <c r="A1315" s="10">
        <v>47390</v>
      </c>
      <c r="B1315" s="9" t="s">
        <v>2352</v>
      </c>
      <c r="C1315" s="12" t="str">
        <f>IFERROR(VLOOKUP(TED[[#This Row],[CENTRO]],'CENTRO DE CUSTO'!B:E,4,FALSE)," ")</f>
        <v>FERNANDO SANTOS</v>
      </c>
      <c r="D1315" s="12">
        <v>229</v>
      </c>
      <c r="E1315" s="16">
        <v>229040</v>
      </c>
      <c r="F1315" s="10" t="s">
        <v>1932</v>
      </c>
      <c r="G1315" s="10">
        <v>220</v>
      </c>
      <c r="H1315" s="11">
        <v>46204</v>
      </c>
      <c r="I1315" s="10" t="s">
        <v>948</v>
      </c>
      <c r="J1315" s="12" t="str">
        <f>IF(OR(TED[[#This Row],[SITUACAO]]=1,TED[[#This Row],[SITUACAO]]=9,TED[[#This Row],[SITUACAO]]=18),"ATIVO","AFASTADO")</f>
        <v>ATIVO</v>
      </c>
      <c r="K1315" s="12">
        <v>1</v>
      </c>
    </row>
    <row r="1316" spans="1:11" x14ac:dyDescent="0.25">
      <c r="A1316" s="10">
        <v>43570</v>
      </c>
      <c r="B1316" s="9" t="s">
        <v>2088</v>
      </c>
      <c r="C1316" s="12" t="str">
        <f>IFERROR(VLOOKUP(TED[[#This Row],[CENTRO]],'CENTRO DE CUSTO'!B:E,4,FALSE)," ")</f>
        <v>FERNANDO SANTOS</v>
      </c>
      <c r="D1316" s="12">
        <v>229</v>
      </c>
      <c r="E1316" s="16">
        <v>229043</v>
      </c>
      <c r="F1316" s="10" t="s">
        <v>1935</v>
      </c>
      <c r="G1316" s="10">
        <v>220</v>
      </c>
      <c r="H1316" s="11">
        <v>46062</v>
      </c>
      <c r="I1316" s="10" t="s">
        <v>21</v>
      </c>
      <c r="J1316" s="12" t="str">
        <f>IF(OR(TED[[#This Row],[SITUACAO]]=1,TED[[#This Row],[SITUACAO]]=9,TED[[#This Row],[SITUACAO]]=18),"ATIVO","AFASTADO")</f>
        <v>ATIVO</v>
      </c>
      <c r="K1316" s="12">
        <v>1</v>
      </c>
    </row>
    <row r="1317" spans="1:11" x14ac:dyDescent="0.25">
      <c r="A1317" s="10">
        <v>25403</v>
      </c>
      <c r="B1317" s="9" t="s">
        <v>1668</v>
      </c>
      <c r="C1317" s="12" t="str">
        <f>IFERROR(VLOOKUP(TED[[#This Row],[CENTRO]],'CENTRO DE CUSTO'!B:E,4,FALSE)," ")</f>
        <v>FERNANDO SANTOS</v>
      </c>
      <c r="D1317" s="12">
        <v>229</v>
      </c>
      <c r="E1317" s="16">
        <v>229041</v>
      </c>
      <c r="F1317" s="10" t="s">
        <v>1933</v>
      </c>
      <c r="G1317" s="10">
        <v>220</v>
      </c>
      <c r="H1317" s="11">
        <v>44973</v>
      </c>
      <c r="I1317" s="10" t="s">
        <v>948</v>
      </c>
      <c r="J1317" s="12" t="str">
        <f>IF(OR(TED[[#This Row],[SITUACAO]]=1,TED[[#This Row],[SITUACAO]]=9,TED[[#This Row],[SITUACAO]]=18),"ATIVO","AFASTADO")</f>
        <v>ATIVO</v>
      </c>
      <c r="K1317" s="12">
        <v>1</v>
      </c>
    </row>
    <row r="1318" spans="1:11" x14ac:dyDescent="0.25">
      <c r="A1318" s="10">
        <v>25373</v>
      </c>
      <c r="B1318" s="9" t="s">
        <v>1594</v>
      </c>
      <c r="C1318" s="12" t="str">
        <f>IFERROR(VLOOKUP(TED[[#This Row],[CENTRO]],'CENTRO DE CUSTO'!B:E,4,FALSE)," ")</f>
        <v>FERNANDO SANTOS</v>
      </c>
      <c r="D1318" s="12">
        <v>229</v>
      </c>
      <c r="E1318" s="16">
        <v>229023</v>
      </c>
      <c r="F1318" s="10" t="s">
        <v>1915</v>
      </c>
      <c r="G1318" s="10">
        <v>220</v>
      </c>
      <c r="H1318" s="11">
        <v>44973</v>
      </c>
      <c r="I1318" s="10" t="s">
        <v>21</v>
      </c>
      <c r="J1318" s="12" t="str">
        <f>IF(OR(TED[[#This Row],[SITUACAO]]=1,TED[[#This Row],[SITUACAO]]=9,TED[[#This Row],[SITUACAO]]=18),"ATIVO","AFASTADO")</f>
        <v>ATIVO</v>
      </c>
      <c r="K1318" s="12">
        <v>1</v>
      </c>
    </row>
    <row r="1319" spans="1:11" x14ac:dyDescent="0.25">
      <c r="A1319" s="10">
        <v>25337</v>
      </c>
      <c r="B1319" s="9" t="s">
        <v>1588</v>
      </c>
      <c r="C1319" s="12" t="str">
        <f>IFERROR(VLOOKUP(TED[[#This Row],[CENTRO]],'CENTRO DE CUSTO'!B:E,4,FALSE)," ")</f>
        <v>FERNANDO SANTOS</v>
      </c>
      <c r="D1319" s="12">
        <v>229</v>
      </c>
      <c r="E1319" s="16">
        <v>229023</v>
      </c>
      <c r="F1319" s="10" t="s">
        <v>1915</v>
      </c>
      <c r="G1319" s="10">
        <v>220</v>
      </c>
      <c r="H1319" s="11">
        <v>44973</v>
      </c>
      <c r="I1319" s="10" t="s">
        <v>948</v>
      </c>
      <c r="J1319" s="12" t="str">
        <f>IF(OR(TED[[#This Row],[SITUACAO]]=1,TED[[#This Row],[SITUACAO]]=9,TED[[#This Row],[SITUACAO]]=18),"ATIVO","AFASTADO")</f>
        <v>ATIVO</v>
      </c>
      <c r="K1319" s="12">
        <v>1</v>
      </c>
    </row>
    <row r="1320" spans="1:11" x14ac:dyDescent="0.25">
      <c r="A1320" s="10">
        <v>25313</v>
      </c>
      <c r="B1320" s="9" t="s">
        <v>1595</v>
      </c>
      <c r="C1320" s="12" t="str">
        <f>IFERROR(VLOOKUP(TED[[#This Row],[CENTRO]],'CENTRO DE CUSTO'!B:E,4,FALSE)," ")</f>
        <v>FERNANDO SANTOS</v>
      </c>
      <c r="D1320" s="12">
        <v>229</v>
      </c>
      <c r="E1320" s="16">
        <v>229023</v>
      </c>
      <c r="F1320" s="10" t="s">
        <v>1915</v>
      </c>
      <c r="G1320" s="10">
        <v>220</v>
      </c>
      <c r="H1320" s="11">
        <v>44973</v>
      </c>
      <c r="I1320" s="10" t="s">
        <v>604</v>
      </c>
      <c r="J1320" s="12" t="str">
        <f>IF(OR(TED[[#This Row],[SITUACAO]]=1,TED[[#This Row],[SITUACAO]]=9,TED[[#This Row],[SITUACAO]]=18),"ATIVO","AFASTADO")</f>
        <v>ATIVO</v>
      </c>
      <c r="K1320" s="12">
        <v>1</v>
      </c>
    </row>
    <row r="1321" spans="1:11" x14ac:dyDescent="0.25">
      <c r="A1321" s="10">
        <v>25368</v>
      </c>
      <c r="B1321" s="9" t="s">
        <v>1621</v>
      </c>
      <c r="C1321" s="12" t="str">
        <f>IFERROR(VLOOKUP(TED[[#This Row],[CENTRO]],'CENTRO DE CUSTO'!B:E,4,FALSE)," ")</f>
        <v>FERNANDO SANTOS</v>
      </c>
      <c r="D1321" s="12">
        <v>229</v>
      </c>
      <c r="E1321" s="16">
        <v>229025</v>
      </c>
      <c r="F1321" s="10" t="s">
        <v>1917</v>
      </c>
      <c r="G1321" s="10">
        <v>220</v>
      </c>
      <c r="H1321" s="11">
        <v>44973</v>
      </c>
      <c r="I1321" s="10" t="s">
        <v>948</v>
      </c>
      <c r="J1321" s="12" t="str">
        <f>IF(OR(TED[[#This Row],[SITUACAO]]=1,TED[[#This Row],[SITUACAO]]=9,TED[[#This Row],[SITUACAO]]=18),"ATIVO","AFASTADO")</f>
        <v>ATIVO</v>
      </c>
      <c r="K1321" s="12">
        <v>1</v>
      </c>
    </row>
    <row r="1322" spans="1:11" x14ac:dyDescent="0.25">
      <c r="A1322" s="10">
        <v>45722</v>
      </c>
      <c r="B1322" s="9" t="s">
        <v>2241</v>
      </c>
      <c r="C1322" s="12" t="str">
        <f>IFERROR(VLOOKUP(TED[[#This Row],[CENTRO]],'CENTRO DE CUSTO'!B:E,4,FALSE)," ")</f>
        <v>FERNANDO SANTOS</v>
      </c>
      <c r="D1322" s="12">
        <v>229</v>
      </c>
      <c r="E1322" s="16">
        <v>229043</v>
      </c>
      <c r="F1322" s="10" t="s">
        <v>1935</v>
      </c>
      <c r="G1322" s="10">
        <v>220</v>
      </c>
      <c r="H1322" s="11">
        <v>46162</v>
      </c>
      <c r="I1322" s="10" t="s">
        <v>21</v>
      </c>
      <c r="J1322" s="12" t="str">
        <f>IF(OR(TED[[#This Row],[SITUACAO]]=1,TED[[#This Row],[SITUACAO]]=9,TED[[#This Row],[SITUACAO]]=18),"ATIVO","AFASTADO")</f>
        <v>ATIVO</v>
      </c>
      <c r="K1322" s="12">
        <v>1</v>
      </c>
    </row>
    <row r="1323" spans="1:11" x14ac:dyDescent="0.25">
      <c r="A1323" s="10">
        <v>35270</v>
      </c>
      <c r="B1323" s="9" t="s">
        <v>1601</v>
      </c>
      <c r="C1323" s="12" t="str">
        <f>IFERROR(VLOOKUP(TED[[#This Row],[CENTRO]],'CENTRO DE CUSTO'!B:E,4,FALSE)," ")</f>
        <v>FERNANDO SANTOS</v>
      </c>
      <c r="D1323" s="12">
        <v>229</v>
      </c>
      <c r="E1323" s="16">
        <v>229023</v>
      </c>
      <c r="F1323" s="10" t="s">
        <v>1915</v>
      </c>
      <c r="G1323" s="10">
        <v>220</v>
      </c>
      <c r="H1323" s="11">
        <v>45684</v>
      </c>
      <c r="I1323" s="10" t="s">
        <v>21</v>
      </c>
      <c r="J1323" s="12" t="str">
        <f>IF(OR(TED[[#This Row],[SITUACAO]]=1,TED[[#This Row],[SITUACAO]]=9,TED[[#This Row],[SITUACAO]]=18),"ATIVO","AFASTADO")</f>
        <v>ATIVO</v>
      </c>
      <c r="K1323" s="12">
        <v>1</v>
      </c>
    </row>
    <row r="1324" spans="1:11" x14ac:dyDescent="0.25">
      <c r="A1324" s="10">
        <v>27416</v>
      </c>
      <c r="B1324" s="9" t="s">
        <v>1631</v>
      </c>
      <c r="C1324" s="12" t="str">
        <f>IFERROR(VLOOKUP(TED[[#This Row],[CENTRO]],'CENTRO DE CUSTO'!B:E,4,FALSE)," ")</f>
        <v>FERNANDO SANTOS</v>
      </c>
      <c r="D1324" s="12">
        <v>229</v>
      </c>
      <c r="E1324" s="16">
        <v>229026</v>
      </c>
      <c r="F1324" s="10" t="s">
        <v>1918</v>
      </c>
      <c r="G1324" s="10">
        <v>220</v>
      </c>
      <c r="H1324" s="11">
        <v>45082</v>
      </c>
      <c r="I1324" s="10" t="s">
        <v>21</v>
      </c>
      <c r="J1324" s="12" t="str">
        <f>IF(OR(TED[[#This Row],[SITUACAO]]=1,TED[[#This Row],[SITUACAO]]=9,TED[[#This Row],[SITUACAO]]=18),"ATIVO","AFASTADO")</f>
        <v>ATIVO</v>
      </c>
      <c r="K1324" s="12">
        <v>1</v>
      </c>
    </row>
    <row r="1325" spans="1:11" x14ac:dyDescent="0.25">
      <c r="A1325" s="10">
        <v>25410</v>
      </c>
      <c r="B1325" s="9" t="s">
        <v>1650</v>
      </c>
      <c r="C1325" s="12" t="str">
        <f>IFERROR(VLOOKUP(TED[[#This Row],[CENTRO]],'CENTRO DE CUSTO'!B:E,4,FALSE)," ")</f>
        <v>FERNANDO SANTOS</v>
      </c>
      <c r="D1325" s="12">
        <v>229</v>
      </c>
      <c r="E1325" s="16">
        <v>229034</v>
      </c>
      <c r="F1325" s="10" t="s">
        <v>1926</v>
      </c>
      <c r="G1325" s="10">
        <v>220</v>
      </c>
      <c r="H1325" s="11">
        <v>44973</v>
      </c>
      <c r="I1325" s="10" t="s">
        <v>21</v>
      </c>
      <c r="J1325" s="12" t="str">
        <f>IF(OR(TED[[#This Row],[SITUACAO]]=1,TED[[#This Row],[SITUACAO]]=9,TED[[#This Row],[SITUACAO]]=18),"ATIVO","AFASTADO")</f>
        <v>ATIVO</v>
      </c>
      <c r="K1325" s="12">
        <v>1</v>
      </c>
    </row>
    <row r="1326" spans="1:11" x14ac:dyDescent="0.25">
      <c r="A1326" s="10">
        <v>25270</v>
      </c>
      <c r="B1326" s="9" t="s">
        <v>1671</v>
      </c>
      <c r="C1326" s="12" t="str">
        <f>IFERROR(VLOOKUP(TED[[#This Row],[CENTRO]],'CENTRO DE CUSTO'!B:E,4,FALSE)," ")</f>
        <v>FERNANDO SANTOS</v>
      </c>
      <c r="D1326" s="12">
        <v>229</v>
      </c>
      <c r="E1326" s="16">
        <v>229043</v>
      </c>
      <c r="F1326" s="10" t="s">
        <v>1935</v>
      </c>
      <c r="G1326" s="10">
        <v>220</v>
      </c>
      <c r="H1326" s="11">
        <v>44973</v>
      </c>
      <c r="I1326" s="10" t="s">
        <v>21</v>
      </c>
      <c r="J1326" s="12" t="str">
        <f>IF(OR(TED[[#This Row],[SITUACAO]]=1,TED[[#This Row],[SITUACAO]]=9,TED[[#This Row],[SITUACAO]]=18),"ATIVO","AFASTADO")</f>
        <v>ATIVO</v>
      </c>
      <c r="K1326" s="12">
        <v>1</v>
      </c>
    </row>
    <row r="1327" spans="1:11" x14ac:dyDescent="0.25">
      <c r="A1327" s="10">
        <v>31645</v>
      </c>
      <c r="B1327" s="9" t="s">
        <v>1605</v>
      </c>
      <c r="C1327" s="12" t="str">
        <f>IFERROR(VLOOKUP(TED[[#This Row],[CENTRO]],'CENTRO DE CUSTO'!B:E,4,FALSE)," ")</f>
        <v>FERNANDO SANTOS</v>
      </c>
      <c r="D1327" s="12">
        <v>229</v>
      </c>
      <c r="E1327" s="16">
        <v>229023</v>
      </c>
      <c r="F1327" s="10" t="s">
        <v>1915</v>
      </c>
      <c r="G1327" s="10">
        <v>220</v>
      </c>
      <c r="H1327" s="11">
        <v>45365</v>
      </c>
      <c r="I1327" s="10" t="s">
        <v>21</v>
      </c>
      <c r="J1327" s="12" t="str">
        <f>IF(OR(TED[[#This Row],[SITUACAO]]=1,TED[[#This Row],[SITUACAO]]=9,TED[[#This Row],[SITUACAO]]=18),"ATIVO","AFASTADO")</f>
        <v>ATIVO</v>
      </c>
      <c r="K1327" s="12">
        <v>1</v>
      </c>
    </row>
    <row r="1328" spans="1:11" x14ac:dyDescent="0.25">
      <c r="A1328" s="10">
        <v>25339</v>
      </c>
      <c r="B1328" s="9" t="s">
        <v>1586</v>
      </c>
      <c r="C1328" s="12" t="str">
        <f>IFERROR(VLOOKUP(TED[[#This Row],[CENTRO]],'CENTRO DE CUSTO'!B:E,4,FALSE)," ")</f>
        <v>FERNANDO SANTOS</v>
      </c>
      <c r="D1328" s="12">
        <v>229</v>
      </c>
      <c r="E1328" s="16">
        <v>229023</v>
      </c>
      <c r="F1328" s="10" t="s">
        <v>1915</v>
      </c>
      <c r="G1328" s="10">
        <v>220</v>
      </c>
      <c r="H1328" s="11">
        <v>44973</v>
      </c>
      <c r="I1328" s="10" t="s">
        <v>21</v>
      </c>
      <c r="J1328" s="12" t="str">
        <f>IF(OR(TED[[#This Row],[SITUACAO]]=1,TED[[#This Row],[SITUACAO]]=9,TED[[#This Row],[SITUACAO]]=18),"ATIVO","AFASTADO")</f>
        <v>ATIVO</v>
      </c>
      <c r="K1328" s="12">
        <v>1</v>
      </c>
    </row>
    <row r="1329" spans="1:11" x14ac:dyDescent="0.25">
      <c r="A1329" s="10">
        <v>34521</v>
      </c>
      <c r="B1329" s="9" t="s">
        <v>1665</v>
      </c>
      <c r="C1329" s="12" t="str">
        <f>IFERROR(VLOOKUP(TED[[#This Row],[CENTRO]],'CENTRO DE CUSTO'!B:E,4,FALSE)," ")</f>
        <v>FERNANDO SANTOS</v>
      </c>
      <c r="D1329" s="12">
        <v>229</v>
      </c>
      <c r="E1329" s="16">
        <v>229039</v>
      </c>
      <c r="F1329" s="10" t="s">
        <v>1931</v>
      </c>
      <c r="G1329" s="10">
        <v>220</v>
      </c>
      <c r="H1329" s="11">
        <v>45601</v>
      </c>
      <c r="I1329" s="10" t="s">
        <v>21</v>
      </c>
      <c r="J1329" s="12" t="str">
        <f>IF(OR(TED[[#This Row],[SITUACAO]]=1,TED[[#This Row],[SITUACAO]]=9,TED[[#This Row],[SITUACAO]]=18),"ATIVO","AFASTADO")</f>
        <v>ATIVO</v>
      </c>
      <c r="K1329" s="12">
        <v>1</v>
      </c>
    </row>
    <row r="1330" spans="1:11" x14ac:dyDescent="0.25">
      <c r="A1330" s="10">
        <v>25326</v>
      </c>
      <c r="B1330" s="9" t="s">
        <v>1583</v>
      </c>
      <c r="C1330" s="12" t="str">
        <f>IFERROR(VLOOKUP(TED[[#This Row],[CENTRO]],'CENTRO DE CUSTO'!B:E,4,FALSE)," ")</f>
        <v>FERNANDO SANTOS</v>
      </c>
      <c r="D1330" s="12">
        <v>229</v>
      </c>
      <c r="E1330" s="16">
        <v>229023</v>
      </c>
      <c r="F1330" s="10" t="s">
        <v>1915</v>
      </c>
      <c r="G1330" s="10">
        <v>220</v>
      </c>
      <c r="H1330" s="11">
        <v>44973</v>
      </c>
      <c r="I1330" s="10" t="s">
        <v>21</v>
      </c>
      <c r="J1330" s="12" t="str">
        <f>IF(OR(TED[[#This Row],[SITUACAO]]=1,TED[[#This Row],[SITUACAO]]=9,TED[[#This Row],[SITUACAO]]=18),"ATIVO","AFASTADO")</f>
        <v>ATIVO</v>
      </c>
      <c r="K1330" s="12">
        <v>1</v>
      </c>
    </row>
    <row r="1331" spans="1:11" x14ac:dyDescent="0.25">
      <c r="A1331" s="10">
        <v>25286</v>
      </c>
      <c r="B1331" s="9" t="s">
        <v>1626</v>
      </c>
      <c r="C1331" s="12" t="str">
        <f>IFERROR(VLOOKUP(TED[[#This Row],[CENTRO]],'CENTRO DE CUSTO'!B:E,4,FALSE)," ")</f>
        <v>FERNANDO SANTOS</v>
      </c>
      <c r="D1331" s="12">
        <v>229</v>
      </c>
      <c r="E1331" s="16">
        <v>229026</v>
      </c>
      <c r="F1331" s="10" t="s">
        <v>1918</v>
      </c>
      <c r="G1331" s="10">
        <v>220</v>
      </c>
      <c r="H1331" s="11">
        <v>44973</v>
      </c>
      <c r="I1331" s="10" t="s">
        <v>948</v>
      </c>
      <c r="J1331" s="12" t="str">
        <f>IF(OR(TED[[#This Row],[SITUACAO]]=1,TED[[#This Row],[SITUACAO]]=9,TED[[#This Row],[SITUACAO]]=18),"ATIVO","AFASTADO")</f>
        <v>ATIVO</v>
      </c>
      <c r="K1331" s="12">
        <v>1</v>
      </c>
    </row>
    <row r="1332" spans="1:11" x14ac:dyDescent="0.25">
      <c r="A1332" s="10">
        <v>25310</v>
      </c>
      <c r="B1332" s="9" t="s">
        <v>1634</v>
      </c>
      <c r="C1332" s="12" t="str">
        <f>IFERROR(VLOOKUP(TED[[#This Row],[CENTRO]],'CENTRO DE CUSTO'!B:E,4,FALSE)," ")</f>
        <v>FERNANDO SANTOS</v>
      </c>
      <c r="D1332" s="12">
        <v>229</v>
      </c>
      <c r="E1332" s="16">
        <v>229027</v>
      </c>
      <c r="F1332" s="10" t="s">
        <v>1919</v>
      </c>
      <c r="G1332" s="10">
        <v>220</v>
      </c>
      <c r="H1332" s="11">
        <v>44973</v>
      </c>
      <c r="I1332" s="10" t="s">
        <v>21</v>
      </c>
      <c r="J1332" s="12" t="str">
        <f>IF(OR(TED[[#This Row],[SITUACAO]]=1,TED[[#This Row],[SITUACAO]]=9,TED[[#This Row],[SITUACAO]]=18),"ATIVO","AFASTADO")</f>
        <v>ATIVO</v>
      </c>
      <c r="K1332" s="12">
        <v>1</v>
      </c>
    </row>
    <row r="1333" spans="1:11" x14ac:dyDescent="0.25">
      <c r="A1333" s="10">
        <v>25377</v>
      </c>
      <c r="B1333" s="9" t="s">
        <v>1592</v>
      </c>
      <c r="C1333" s="12" t="str">
        <f>IFERROR(VLOOKUP(TED[[#This Row],[CENTRO]],'CENTRO DE CUSTO'!B:E,4,FALSE)," ")</f>
        <v>FERNANDO SANTOS</v>
      </c>
      <c r="D1333" s="12">
        <v>229</v>
      </c>
      <c r="E1333" s="16">
        <v>229023</v>
      </c>
      <c r="F1333" s="10" t="s">
        <v>1915</v>
      </c>
      <c r="G1333" s="10">
        <v>220</v>
      </c>
      <c r="H1333" s="11">
        <v>44973</v>
      </c>
      <c r="I1333" s="10" t="s">
        <v>21</v>
      </c>
      <c r="J1333" s="12" t="str">
        <f>IF(OR(TED[[#This Row],[SITUACAO]]=1,TED[[#This Row],[SITUACAO]]=9,TED[[#This Row],[SITUACAO]]=18),"ATIVO","AFASTADO")</f>
        <v>AFASTADO</v>
      </c>
      <c r="K1333" s="12">
        <v>6</v>
      </c>
    </row>
    <row r="1334" spans="1:11" x14ac:dyDescent="0.25">
      <c r="A1334" s="10">
        <v>25388</v>
      </c>
      <c r="B1334" s="9" t="s">
        <v>1653</v>
      </c>
      <c r="C1334" s="12" t="str">
        <f>IFERROR(VLOOKUP(TED[[#This Row],[CENTRO]],'CENTRO DE CUSTO'!B:E,4,FALSE)," ")</f>
        <v>FERNANDO SANTOS</v>
      </c>
      <c r="D1334" s="12">
        <v>229</v>
      </c>
      <c r="E1334" s="16">
        <v>229034</v>
      </c>
      <c r="F1334" s="10" t="s">
        <v>1926</v>
      </c>
      <c r="G1334" s="10">
        <v>220</v>
      </c>
      <c r="H1334" s="11">
        <v>44973</v>
      </c>
      <c r="I1334" s="10" t="s">
        <v>948</v>
      </c>
      <c r="J1334" s="12" t="str">
        <f>IF(OR(TED[[#This Row],[SITUACAO]]=1,TED[[#This Row],[SITUACAO]]=9,TED[[#This Row],[SITUACAO]]=18),"ATIVO","AFASTADO")</f>
        <v>ATIVO</v>
      </c>
      <c r="K1334" s="12">
        <v>1</v>
      </c>
    </row>
    <row r="1335" spans="1:11" x14ac:dyDescent="0.25">
      <c r="A1335" s="10">
        <v>25287</v>
      </c>
      <c r="B1335" s="9" t="s">
        <v>1625</v>
      </c>
      <c r="C1335" s="12" t="str">
        <f>IFERROR(VLOOKUP(TED[[#This Row],[CENTRO]],'CENTRO DE CUSTO'!B:E,4,FALSE)," ")</f>
        <v>FERNANDO SANTOS</v>
      </c>
      <c r="D1335" s="12">
        <v>229</v>
      </c>
      <c r="E1335" s="16">
        <v>229026</v>
      </c>
      <c r="F1335" s="10" t="s">
        <v>1918</v>
      </c>
      <c r="G1335" s="10">
        <v>220</v>
      </c>
      <c r="H1335" s="11">
        <v>44973</v>
      </c>
      <c r="I1335" s="10" t="s">
        <v>21</v>
      </c>
      <c r="J1335" s="12" t="str">
        <f>IF(OR(TED[[#This Row],[SITUACAO]]=1,TED[[#This Row],[SITUACAO]]=9,TED[[#This Row],[SITUACAO]]=18),"ATIVO","AFASTADO")</f>
        <v>ATIVO</v>
      </c>
      <c r="K1335" s="12">
        <v>1</v>
      </c>
    </row>
    <row r="1336" spans="1:11" x14ac:dyDescent="0.25">
      <c r="A1336" s="10">
        <v>37767</v>
      </c>
      <c r="B1336" s="9" t="s">
        <v>1599</v>
      </c>
      <c r="C1336" s="12" t="str">
        <f>IFERROR(VLOOKUP(TED[[#This Row],[CENTRO]],'CENTRO DE CUSTO'!B:E,4,FALSE)," ")</f>
        <v>FERNANDO SANTOS</v>
      </c>
      <c r="D1336" s="12">
        <v>229</v>
      </c>
      <c r="E1336" s="16">
        <v>229023</v>
      </c>
      <c r="F1336" s="10" t="s">
        <v>1915</v>
      </c>
      <c r="G1336" s="10">
        <v>220</v>
      </c>
      <c r="H1336" s="11">
        <v>45735</v>
      </c>
      <c r="I1336" s="10" t="s">
        <v>21</v>
      </c>
      <c r="J1336" s="12" t="str">
        <f>IF(OR(TED[[#This Row],[SITUACAO]]=1,TED[[#This Row],[SITUACAO]]=9,TED[[#This Row],[SITUACAO]]=18),"ATIVO","AFASTADO")</f>
        <v>ATIVO</v>
      </c>
      <c r="K1336" s="12">
        <v>1</v>
      </c>
    </row>
    <row r="1337" spans="1:11" x14ac:dyDescent="0.25">
      <c r="A1337" s="10">
        <v>43612</v>
      </c>
      <c r="B1337" s="9" t="s">
        <v>2089</v>
      </c>
      <c r="C1337" s="12" t="str">
        <f>IFERROR(VLOOKUP(TED[[#This Row],[CENTRO]],'CENTRO DE CUSTO'!B:E,4,FALSE)," ")</f>
        <v>FERNANDO SANTOS</v>
      </c>
      <c r="D1337" s="12">
        <v>229</v>
      </c>
      <c r="E1337" s="16">
        <v>229043</v>
      </c>
      <c r="F1337" s="10" t="s">
        <v>1935</v>
      </c>
      <c r="G1337" s="10">
        <v>220</v>
      </c>
      <c r="H1337" s="11">
        <v>46062</v>
      </c>
      <c r="I1337" s="10" t="s">
        <v>21</v>
      </c>
      <c r="J1337" s="12" t="str">
        <f>IF(OR(TED[[#This Row],[SITUACAO]]=1,TED[[#This Row],[SITUACAO]]=9,TED[[#This Row],[SITUACAO]]=18),"ATIVO","AFASTADO")</f>
        <v>ATIVO</v>
      </c>
      <c r="K1337" s="12">
        <v>1</v>
      </c>
    </row>
    <row r="1338" spans="1:11" x14ac:dyDescent="0.25">
      <c r="A1338" s="10">
        <v>28789</v>
      </c>
      <c r="B1338" s="9" t="s">
        <v>1597</v>
      </c>
      <c r="C1338" s="12" t="str">
        <f>IFERROR(VLOOKUP(TED[[#This Row],[CENTRO]],'CENTRO DE CUSTO'!B:E,4,FALSE)," ")</f>
        <v>FERNANDO SANTOS</v>
      </c>
      <c r="D1338" s="12">
        <v>229</v>
      </c>
      <c r="E1338" s="16">
        <v>229023</v>
      </c>
      <c r="F1338" s="10" t="s">
        <v>1915</v>
      </c>
      <c r="G1338" s="10">
        <v>220</v>
      </c>
      <c r="H1338" s="11">
        <v>45216</v>
      </c>
      <c r="I1338" s="10" t="s">
        <v>944</v>
      </c>
      <c r="J1338" s="12" t="str">
        <f>IF(OR(TED[[#This Row],[SITUACAO]]=1,TED[[#This Row],[SITUACAO]]=9,TED[[#This Row],[SITUACAO]]=18),"ATIVO","AFASTADO")</f>
        <v>ATIVO</v>
      </c>
      <c r="K1338" s="12">
        <v>1</v>
      </c>
    </row>
    <row r="1339" spans="1:11" x14ac:dyDescent="0.25">
      <c r="A1339" s="10">
        <v>25332</v>
      </c>
      <c r="B1339" s="9" t="s">
        <v>1617</v>
      </c>
      <c r="C1339" s="12" t="str">
        <f>IFERROR(VLOOKUP(TED[[#This Row],[CENTRO]],'CENTRO DE CUSTO'!B:E,4,FALSE)," ")</f>
        <v>FERNANDO SANTOS</v>
      </c>
      <c r="D1339" s="12">
        <v>229</v>
      </c>
      <c r="E1339" s="16">
        <v>229025</v>
      </c>
      <c r="F1339" s="10" t="s">
        <v>1917</v>
      </c>
      <c r="G1339" s="10">
        <v>220</v>
      </c>
      <c r="H1339" s="11">
        <v>44973</v>
      </c>
      <c r="I1339" s="10" t="s">
        <v>21</v>
      </c>
      <c r="J1339" s="12" t="str">
        <f>IF(OR(TED[[#This Row],[SITUACAO]]=1,TED[[#This Row],[SITUACAO]]=9,TED[[#This Row],[SITUACAO]]=18),"ATIVO","AFASTADO")</f>
        <v>ATIVO</v>
      </c>
      <c r="K1339" s="12">
        <v>1</v>
      </c>
    </row>
    <row r="1340" spans="1:11" x14ac:dyDescent="0.25">
      <c r="A1340" s="10">
        <v>33465</v>
      </c>
      <c r="B1340" s="9" t="s">
        <v>1633</v>
      </c>
      <c r="C1340" s="12" t="str">
        <f>IFERROR(VLOOKUP(TED[[#This Row],[CENTRO]],'CENTRO DE CUSTO'!B:E,4,FALSE)," ")</f>
        <v>FERNANDO SANTOS</v>
      </c>
      <c r="D1340" s="12">
        <v>229</v>
      </c>
      <c r="E1340" s="16">
        <v>229027</v>
      </c>
      <c r="F1340" s="10" t="s">
        <v>1919</v>
      </c>
      <c r="G1340" s="10">
        <v>220</v>
      </c>
      <c r="H1340" s="11">
        <v>45511</v>
      </c>
      <c r="I1340" s="10" t="s">
        <v>21</v>
      </c>
      <c r="J1340" s="12" t="str">
        <f>IF(OR(TED[[#This Row],[SITUACAO]]=1,TED[[#This Row],[SITUACAO]]=9,TED[[#This Row],[SITUACAO]]=18),"ATIVO","AFASTADO")</f>
        <v>ATIVO</v>
      </c>
      <c r="K1340" s="12">
        <v>1</v>
      </c>
    </row>
    <row r="1341" spans="1:11" x14ac:dyDescent="0.25">
      <c r="A1341" s="10">
        <v>44834</v>
      </c>
      <c r="B1341" s="9" t="s">
        <v>2181</v>
      </c>
      <c r="C1341" s="12" t="str">
        <f>IFERROR(VLOOKUP(TED[[#This Row],[CENTRO]],'CENTRO DE CUSTO'!B:E,4,FALSE)," ")</f>
        <v>FERNANDO SANTOS</v>
      </c>
      <c r="D1341" s="12">
        <v>229</v>
      </c>
      <c r="E1341" s="16">
        <v>229023</v>
      </c>
      <c r="F1341" s="10" t="s">
        <v>1915</v>
      </c>
      <c r="G1341" s="10">
        <v>220</v>
      </c>
      <c r="H1341" s="11">
        <v>46113</v>
      </c>
      <c r="I1341" s="10" t="s">
        <v>21</v>
      </c>
      <c r="J1341" s="12" t="str">
        <f>IF(OR(TED[[#This Row],[SITUACAO]]=1,TED[[#This Row],[SITUACAO]]=9,TED[[#This Row],[SITUACAO]]=18),"ATIVO","AFASTADO")</f>
        <v>ATIVO</v>
      </c>
      <c r="K1341" s="12">
        <v>1</v>
      </c>
    </row>
    <row r="1342" spans="1:11" x14ac:dyDescent="0.25">
      <c r="A1342" s="10">
        <v>25274</v>
      </c>
      <c r="B1342" s="9" t="s">
        <v>1672</v>
      </c>
      <c r="C1342" s="12" t="str">
        <f>IFERROR(VLOOKUP(TED[[#This Row],[CENTRO]],'CENTRO DE CUSTO'!B:E,4,FALSE)," ")</f>
        <v>FERNANDO SANTOS</v>
      </c>
      <c r="D1342" s="12">
        <v>229</v>
      </c>
      <c r="E1342" s="16">
        <v>229043</v>
      </c>
      <c r="F1342" s="10" t="s">
        <v>1935</v>
      </c>
      <c r="G1342" s="10">
        <v>220</v>
      </c>
      <c r="H1342" s="11">
        <v>44973</v>
      </c>
      <c r="I1342" s="10" t="s">
        <v>948</v>
      </c>
      <c r="J1342" s="12" t="str">
        <f>IF(OR(TED[[#This Row],[SITUACAO]]=1,TED[[#This Row],[SITUACAO]]=9,TED[[#This Row],[SITUACAO]]=18),"ATIVO","AFASTADO")</f>
        <v>ATIVO</v>
      </c>
      <c r="K1342" s="12">
        <v>1</v>
      </c>
    </row>
    <row r="1343" spans="1:11" x14ac:dyDescent="0.25">
      <c r="A1343" s="10">
        <v>44549</v>
      </c>
      <c r="B1343" s="9" t="s">
        <v>2139</v>
      </c>
      <c r="C1343" s="12" t="str">
        <f>IFERROR(VLOOKUP(TED[[#This Row],[CENTRO]],'CENTRO DE CUSTO'!B:E,4,FALSE)," ")</f>
        <v>FERNANDO SANTOS</v>
      </c>
      <c r="D1343" s="12">
        <v>229</v>
      </c>
      <c r="E1343" s="16">
        <v>229043</v>
      </c>
      <c r="F1343" s="10" t="s">
        <v>1935</v>
      </c>
      <c r="G1343" s="10">
        <v>220</v>
      </c>
      <c r="H1343" s="11">
        <v>46097</v>
      </c>
      <c r="I1343" s="10" t="s">
        <v>21</v>
      </c>
      <c r="J1343" s="12" t="str">
        <f>IF(OR(TED[[#This Row],[SITUACAO]]=1,TED[[#This Row],[SITUACAO]]=9,TED[[#This Row],[SITUACAO]]=18),"ATIVO","AFASTADO")</f>
        <v>ATIVO</v>
      </c>
      <c r="K1343" s="12">
        <v>1</v>
      </c>
    </row>
    <row r="1344" spans="1:11" x14ac:dyDescent="0.25">
      <c r="A1344" s="10">
        <v>25275</v>
      </c>
      <c r="B1344" s="9" t="s">
        <v>1620</v>
      </c>
      <c r="C1344" s="12" t="str">
        <f>IFERROR(VLOOKUP(TED[[#This Row],[CENTRO]],'CENTRO DE CUSTO'!B:E,4,FALSE)," ")</f>
        <v>FERNANDO SANTOS</v>
      </c>
      <c r="D1344" s="12">
        <v>229</v>
      </c>
      <c r="E1344" s="16">
        <v>229025</v>
      </c>
      <c r="F1344" s="10" t="s">
        <v>1917</v>
      </c>
      <c r="G1344" s="10">
        <v>220</v>
      </c>
      <c r="H1344" s="11">
        <v>44973</v>
      </c>
      <c r="I1344" s="10" t="s">
        <v>21</v>
      </c>
      <c r="J1344" s="12" t="str">
        <f>IF(OR(TED[[#This Row],[SITUACAO]]=1,TED[[#This Row],[SITUACAO]]=9,TED[[#This Row],[SITUACAO]]=18),"ATIVO","AFASTADO")</f>
        <v>ATIVO</v>
      </c>
      <c r="K1344" s="12">
        <v>1</v>
      </c>
    </row>
    <row r="1345" spans="1:11" x14ac:dyDescent="0.25">
      <c r="A1345" s="10">
        <v>46592</v>
      </c>
      <c r="B1345" s="9" t="s">
        <v>2353</v>
      </c>
      <c r="C1345" s="12" t="str">
        <f>IFERROR(VLOOKUP(TED[[#This Row],[CENTRO]],'CENTRO DE CUSTO'!B:E,4,FALSE)," ")</f>
        <v>FERNANDO SANTOS</v>
      </c>
      <c r="D1345" s="12">
        <v>229</v>
      </c>
      <c r="E1345" s="16">
        <v>229038</v>
      </c>
      <c r="F1345" s="10" t="s">
        <v>1930</v>
      </c>
      <c r="G1345" s="10">
        <v>220</v>
      </c>
      <c r="H1345" s="11">
        <v>46195</v>
      </c>
      <c r="I1345" s="10" t="s">
        <v>21</v>
      </c>
      <c r="J1345" s="12" t="str">
        <f>IF(OR(TED[[#This Row],[SITUACAO]]=1,TED[[#This Row],[SITUACAO]]=9,TED[[#This Row],[SITUACAO]]=18),"ATIVO","AFASTADO")</f>
        <v>ATIVO</v>
      </c>
      <c r="K1345" s="12">
        <v>1</v>
      </c>
    </row>
    <row r="1346" spans="1:11" x14ac:dyDescent="0.25">
      <c r="A1346" s="10">
        <v>46686</v>
      </c>
      <c r="B1346" s="9" t="s">
        <v>2354</v>
      </c>
      <c r="C1346" s="12" t="str">
        <f>IFERROR(VLOOKUP(TED[[#This Row],[CENTRO]],'CENTRO DE CUSTO'!B:E,4,FALSE)," ")</f>
        <v>FERNANDO SANTOS</v>
      </c>
      <c r="D1346" s="12">
        <v>229</v>
      </c>
      <c r="E1346" s="16">
        <v>229023</v>
      </c>
      <c r="F1346" s="10" t="s">
        <v>1915</v>
      </c>
      <c r="G1346" s="10">
        <v>220</v>
      </c>
      <c r="H1346" s="11">
        <v>46195</v>
      </c>
      <c r="I1346" s="10" t="s">
        <v>21</v>
      </c>
      <c r="J1346" s="12" t="str">
        <f>IF(OR(TED[[#This Row],[SITUACAO]]=1,TED[[#This Row],[SITUACAO]]=9,TED[[#This Row],[SITUACAO]]=18),"ATIVO","AFASTADO")</f>
        <v>ATIVO</v>
      </c>
      <c r="K1346" s="12">
        <v>1</v>
      </c>
    </row>
    <row r="1347" spans="1:11" x14ac:dyDescent="0.25">
      <c r="A1347" s="10">
        <v>25389</v>
      </c>
      <c r="B1347" s="9" t="s">
        <v>1655</v>
      </c>
      <c r="C1347" s="12" t="str">
        <f>IFERROR(VLOOKUP(TED[[#This Row],[CENTRO]],'CENTRO DE CUSTO'!B:E,4,FALSE)," ")</f>
        <v>FERNANDO SANTOS</v>
      </c>
      <c r="D1347" s="12">
        <v>229</v>
      </c>
      <c r="E1347" s="16">
        <v>229035</v>
      </c>
      <c r="F1347" s="10" t="s">
        <v>1927</v>
      </c>
      <c r="G1347" s="10">
        <v>220</v>
      </c>
      <c r="H1347" s="11">
        <v>44973</v>
      </c>
      <c r="I1347" s="10" t="s">
        <v>948</v>
      </c>
      <c r="J1347" s="12" t="str">
        <f>IF(OR(TED[[#This Row],[SITUACAO]]=1,TED[[#This Row],[SITUACAO]]=9,TED[[#This Row],[SITUACAO]]=18),"ATIVO","AFASTADO")</f>
        <v>ATIVO</v>
      </c>
      <c r="K1347" s="12">
        <v>1</v>
      </c>
    </row>
    <row r="1348" spans="1:11" x14ac:dyDescent="0.25">
      <c r="A1348" s="10">
        <v>25370</v>
      </c>
      <c r="B1348" s="9" t="s">
        <v>1589</v>
      </c>
      <c r="C1348" s="12" t="str">
        <f>IFERROR(VLOOKUP(TED[[#This Row],[CENTRO]],'CENTRO DE CUSTO'!B:E,4,FALSE)," ")</f>
        <v>FERNANDO SANTOS</v>
      </c>
      <c r="D1348" s="12">
        <v>229</v>
      </c>
      <c r="E1348" s="16">
        <v>229023</v>
      </c>
      <c r="F1348" s="10" t="s">
        <v>1915</v>
      </c>
      <c r="G1348" s="10">
        <v>220</v>
      </c>
      <c r="H1348" s="11">
        <v>44973</v>
      </c>
      <c r="I1348" s="10" t="s">
        <v>21</v>
      </c>
      <c r="J1348" s="12" t="str">
        <f>IF(OR(TED[[#This Row],[SITUACAO]]=1,TED[[#This Row],[SITUACAO]]=9,TED[[#This Row],[SITUACAO]]=18),"ATIVO","AFASTADO")</f>
        <v>ATIVO</v>
      </c>
      <c r="K1348" s="12">
        <v>1</v>
      </c>
    </row>
    <row r="1349" spans="1:11" x14ac:dyDescent="0.25">
      <c r="A1349" s="10">
        <v>25328</v>
      </c>
      <c r="B1349" s="9" t="s">
        <v>1613</v>
      </c>
      <c r="C1349" s="12" t="str">
        <f>IFERROR(VLOOKUP(TED[[#This Row],[CENTRO]],'CENTRO DE CUSTO'!B:E,4,FALSE)," ")</f>
        <v>FERNANDO SANTOS</v>
      </c>
      <c r="D1349" s="12">
        <v>229</v>
      </c>
      <c r="E1349" s="16">
        <v>229024</v>
      </c>
      <c r="F1349" s="10" t="s">
        <v>1916</v>
      </c>
      <c r="G1349" s="10">
        <v>220</v>
      </c>
      <c r="H1349" s="11">
        <v>44973</v>
      </c>
      <c r="I1349" s="10" t="s">
        <v>604</v>
      </c>
      <c r="J1349" s="12" t="str">
        <f>IF(OR(TED[[#This Row],[SITUACAO]]=1,TED[[#This Row],[SITUACAO]]=9,TED[[#This Row],[SITUACAO]]=18),"ATIVO","AFASTADO")</f>
        <v>ATIVO</v>
      </c>
      <c r="K1349" s="12">
        <v>1</v>
      </c>
    </row>
    <row r="1350" spans="1:11" x14ac:dyDescent="0.25">
      <c r="A1350" s="10">
        <v>25375</v>
      </c>
      <c r="B1350" s="9" t="s">
        <v>1593</v>
      </c>
      <c r="C1350" s="12" t="str">
        <f>IFERROR(VLOOKUP(TED[[#This Row],[CENTRO]],'CENTRO DE CUSTO'!B:E,4,FALSE)," ")</f>
        <v>FERNANDO SANTOS</v>
      </c>
      <c r="D1350" s="12">
        <v>229</v>
      </c>
      <c r="E1350" s="16">
        <v>229023</v>
      </c>
      <c r="F1350" s="10" t="s">
        <v>1915</v>
      </c>
      <c r="G1350" s="10">
        <v>220</v>
      </c>
      <c r="H1350" s="11">
        <v>44973</v>
      </c>
      <c r="I1350" s="10" t="s">
        <v>21</v>
      </c>
      <c r="J1350" s="12" t="str">
        <f>IF(OR(TED[[#This Row],[SITUACAO]]=1,TED[[#This Row],[SITUACAO]]=9,TED[[#This Row],[SITUACAO]]=18),"ATIVO","AFASTADO")</f>
        <v>ATIVO</v>
      </c>
      <c r="K1350" s="12">
        <v>9</v>
      </c>
    </row>
    <row r="1351" spans="1:11" x14ac:dyDescent="0.25">
      <c r="A1351" s="10">
        <v>25371</v>
      </c>
      <c r="B1351" s="9" t="s">
        <v>1636</v>
      </c>
      <c r="C1351" s="12" t="str">
        <f>IFERROR(VLOOKUP(TED[[#This Row],[CENTRO]],'CENTRO DE CUSTO'!B:E,4,FALSE)," ")</f>
        <v>FERNANDO SANTOS</v>
      </c>
      <c r="D1351" s="12">
        <v>229</v>
      </c>
      <c r="E1351" s="16">
        <v>229028</v>
      </c>
      <c r="F1351" s="10" t="s">
        <v>1920</v>
      </c>
      <c r="G1351" s="10">
        <v>220</v>
      </c>
      <c r="H1351" s="11">
        <v>44973</v>
      </c>
      <c r="I1351" s="10" t="s">
        <v>21</v>
      </c>
      <c r="J1351" s="12" t="str">
        <f>IF(OR(TED[[#This Row],[SITUACAO]]=1,TED[[#This Row],[SITUACAO]]=9,TED[[#This Row],[SITUACAO]]=18),"ATIVO","AFASTADO")</f>
        <v>ATIVO</v>
      </c>
      <c r="K1351" s="12">
        <v>1</v>
      </c>
    </row>
    <row r="1352" spans="1:11" x14ac:dyDescent="0.25">
      <c r="A1352" s="10">
        <v>25276</v>
      </c>
      <c r="B1352" s="9" t="s">
        <v>1619</v>
      </c>
      <c r="C1352" s="12" t="str">
        <f>IFERROR(VLOOKUP(TED[[#This Row],[CENTRO]],'CENTRO DE CUSTO'!B:E,4,FALSE)," ")</f>
        <v>FERNANDO SANTOS</v>
      </c>
      <c r="D1352" s="12">
        <v>229</v>
      </c>
      <c r="E1352" s="16">
        <v>229025</v>
      </c>
      <c r="F1352" s="10" t="s">
        <v>1917</v>
      </c>
      <c r="G1352" s="10">
        <v>220</v>
      </c>
      <c r="H1352" s="11">
        <v>44973</v>
      </c>
      <c r="I1352" s="10" t="s">
        <v>21</v>
      </c>
      <c r="J1352" s="12" t="str">
        <f>IF(OR(TED[[#This Row],[SITUACAO]]=1,TED[[#This Row],[SITUACAO]]=9,TED[[#This Row],[SITUACAO]]=18),"ATIVO","AFASTADO")</f>
        <v>ATIVO</v>
      </c>
      <c r="K1352" s="12">
        <v>1</v>
      </c>
    </row>
    <row r="1353" spans="1:11" x14ac:dyDescent="0.25">
      <c r="A1353" s="10">
        <v>45113</v>
      </c>
      <c r="B1353" s="9" t="s">
        <v>2186</v>
      </c>
      <c r="C1353" s="12" t="str">
        <f>IFERROR(VLOOKUP(TED[[#This Row],[CENTRO]],'CENTRO DE CUSTO'!B:E,4,FALSE)," ")</f>
        <v>FERNANDO SANTOS</v>
      </c>
      <c r="D1353" s="12">
        <v>229</v>
      </c>
      <c r="E1353" s="16">
        <v>229043</v>
      </c>
      <c r="F1353" s="10" t="s">
        <v>1935</v>
      </c>
      <c r="G1353" s="10">
        <v>220</v>
      </c>
      <c r="H1353" s="11">
        <v>46127</v>
      </c>
      <c r="I1353" s="10" t="s">
        <v>21</v>
      </c>
      <c r="J1353" s="12" t="str">
        <f>IF(OR(TED[[#This Row],[SITUACAO]]=1,TED[[#This Row],[SITUACAO]]=9,TED[[#This Row],[SITUACAO]]=18),"ATIVO","AFASTADO")</f>
        <v>ATIVO</v>
      </c>
      <c r="K1353" s="12">
        <v>1</v>
      </c>
    </row>
    <row r="1354" spans="1:11" x14ac:dyDescent="0.25">
      <c r="A1354" s="10">
        <v>44749</v>
      </c>
      <c r="B1354" s="9" t="s">
        <v>2155</v>
      </c>
      <c r="C1354" s="12" t="str">
        <f>IFERROR(VLOOKUP(TED[[#This Row],[CENTRO]],'CENTRO DE CUSTO'!B:E,4,FALSE)," ")</f>
        <v>FERNANDO SANTOS</v>
      </c>
      <c r="D1354" s="12">
        <v>229</v>
      </c>
      <c r="E1354" s="16">
        <v>229023</v>
      </c>
      <c r="F1354" s="10" t="s">
        <v>1915</v>
      </c>
      <c r="G1354" s="10">
        <v>220</v>
      </c>
      <c r="H1354" s="11">
        <v>46125</v>
      </c>
      <c r="I1354" s="10" t="s">
        <v>944</v>
      </c>
      <c r="J1354" s="12" t="str">
        <f>IF(OR(TED[[#This Row],[SITUACAO]]=1,TED[[#This Row],[SITUACAO]]=9,TED[[#This Row],[SITUACAO]]=18),"ATIVO","AFASTADO")</f>
        <v>ATIVO</v>
      </c>
      <c r="K1354" s="12">
        <v>1</v>
      </c>
    </row>
    <row r="1355" spans="1:11" x14ac:dyDescent="0.25">
      <c r="A1355" s="10">
        <v>33901</v>
      </c>
      <c r="B1355" s="9" t="s">
        <v>1675</v>
      </c>
      <c r="C1355" s="12" t="str">
        <f>IFERROR(VLOOKUP(TED[[#This Row],[CENTRO]],'CENTRO DE CUSTO'!B:E,4,FALSE)," ")</f>
        <v>FERNANDO SANTOS</v>
      </c>
      <c r="D1355" s="12">
        <v>229</v>
      </c>
      <c r="E1355" s="16">
        <v>229043</v>
      </c>
      <c r="F1355" s="10" t="s">
        <v>1935</v>
      </c>
      <c r="G1355" s="10">
        <v>220</v>
      </c>
      <c r="H1355" s="11">
        <v>45553</v>
      </c>
      <c r="I1355" s="10" t="s">
        <v>944</v>
      </c>
      <c r="J1355" s="12" t="str">
        <f>IF(OR(TED[[#This Row],[SITUACAO]]=1,TED[[#This Row],[SITUACAO]]=9,TED[[#This Row],[SITUACAO]]=18),"ATIVO","AFASTADO")</f>
        <v>ATIVO</v>
      </c>
      <c r="K1355" s="12">
        <v>1</v>
      </c>
    </row>
    <row r="1356" spans="1:11" x14ac:dyDescent="0.25">
      <c r="A1356" s="10">
        <v>25288</v>
      </c>
      <c r="B1356" s="9" t="s">
        <v>1624</v>
      </c>
      <c r="C1356" s="12" t="str">
        <f>IFERROR(VLOOKUP(TED[[#This Row],[CENTRO]],'CENTRO DE CUSTO'!B:E,4,FALSE)," ")</f>
        <v>FERNANDO SANTOS</v>
      </c>
      <c r="D1356" s="12">
        <v>229</v>
      </c>
      <c r="E1356" s="16">
        <v>229026</v>
      </c>
      <c r="F1356" s="10" t="s">
        <v>1918</v>
      </c>
      <c r="G1356" s="10">
        <v>220</v>
      </c>
      <c r="H1356" s="11">
        <v>44973</v>
      </c>
      <c r="I1356" s="10" t="s">
        <v>21</v>
      </c>
      <c r="J1356" s="12" t="str">
        <f>IF(OR(TED[[#This Row],[SITUACAO]]=1,TED[[#This Row],[SITUACAO]]=9,TED[[#This Row],[SITUACAO]]=18),"ATIVO","AFASTADO")</f>
        <v>ATIVO</v>
      </c>
      <c r="K1356" s="12">
        <v>1</v>
      </c>
    </row>
    <row r="1357" spans="1:11" x14ac:dyDescent="0.25">
      <c r="A1357" s="10">
        <v>46689</v>
      </c>
      <c r="B1357" s="9" t="s">
        <v>2355</v>
      </c>
      <c r="C1357" s="12" t="str">
        <f>IFERROR(VLOOKUP(TED[[#This Row],[CENTRO]],'CENTRO DE CUSTO'!B:E,4,FALSE)," ")</f>
        <v>FERNANDO SANTOS</v>
      </c>
      <c r="D1357" s="12">
        <v>229</v>
      </c>
      <c r="E1357" s="16">
        <v>229043</v>
      </c>
      <c r="F1357" s="10" t="s">
        <v>1935</v>
      </c>
      <c r="G1357" s="10">
        <v>220</v>
      </c>
      <c r="H1357" s="11">
        <v>46195</v>
      </c>
      <c r="I1357" s="10" t="s">
        <v>21</v>
      </c>
      <c r="J1357" s="12" t="str">
        <f>IF(OR(TED[[#This Row],[SITUACAO]]=1,TED[[#This Row],[SITUACAO]]=9,TED[[#This Row],[SITUACAO]]=18),"ATIVO","AFASTADO")</f>
        <v>ATIVO</v>
      </c>
      <c r="K1357" s="12">
        <v>1</v>
      </c>
    </row>
    <row r="1358" spans="1:11" x14ac:dyDescent="0.25">
      <c r="A1358" s="10">
        <v>29640</v>
      </c>
      <c r="B1358" s="9" t="s">
        <v>1598</v>
      </c>
      <c r="C1358" s="12" t="str">
        <f>IFERROR(VLOOKUP(TED[[#This Row],[CENTRO]],'CENTRO DE CUSTO'!B:E,4,FALSE)," ")</f>
        <v>FERNANDO SANTOS</v>
      </c>
      <c r="D1358" s="12">
        <v>229</v>
      </c>
      <c r="E1358" s="16">
        <v>229023</v>
      </c>
      <c r="F1358" s="10" t="s">
        <v>1915</v>
      </c>
      <c r="G1358" s="10">
        <v>220</v>
      </c>
      <c r="H1358" s="11">
        <v>45299</v>
      </c>
      <c r="I1358" s="10" t="s">
        <v>944</v>
      </c>
      <c r="J1358" s="12" t="str">
        <f>IF(OR(TED[[#This Row],[SITUACAO]]=1,TED[[#This Row],[SITUACAO]]=9,TED[[#This Row],[SITUACAO]]=18),"ATIVO","AFASTADO")</f>
        <v>ATIVO</v>
      </c>
      <c r="K1358" s="12">
        <v>1</v>
      </c>
    </row>
    <row r="1359" spans="1:11" x14ac:dyDescent="0.25">
      <c r="A1359" s="10">
        <v>30240</v>
      </c>
      <c r="B1359" s="9" t="s">
        <v>1604</v>
      </c>
      <c r="C1359" s="12" t="str">
        <f>IFERROR(VLOOKUP(TED[[#This Row],[CENTRO]],'CENTRO DE CUSTO'!B:E,4,FALSE)," ")</f>
        <v>FERNANDO SANTOS</v>
      </c>
      <c r="D1359" s="12">
        <v>229</v>
      </c>
      <c r="E1359" s="16">
        <v>229023</v>
      </c>
      <c r="F1359" s="10" t="s">
        <v>1915</v>
      </c>
      <c r="G1359" s="10">
        <v>220</v>
      </c>
      <c r="H1359" s="11">
        <v>45327</v>
      </c>
      <c r="I1359" s="10" t="s">
        <v>21</v>
      </c>
      <c r="J1359" s="12" t="str">
        <f>IF(OR(TED[[#This Row],[SITUACAO]]=1,TED[[#This Row],[SITUACAO]]=9,TED[[#This Row],[SITUACAO]]=18),"ATIVO","AFASTADO")</f>
        <v>ATIVO</v>
      </c>
      <c r="K1359" s="12">
        <v>1</v>
      </c>
    </row>
    <row r="1360" spans="1:11" x14ac:dyDescent="0.25">
      <c r="A1360" s="10">
        <v>34541</v>
      </c>
      <c r="B1360" s="9" t="s">
        <v>1656</v>
      </c>
      <c r="C1360" s="12" t="str">
        <f>IFERROR(VLOOKUP(TED[[#This Row],[CENTRO]],'CENTRO DE CUSTO'!B:E,4,FALSE)," ")</f>
        <v>FERNANDO SANTOS</v>
      </c>
      <c r="D1360" s="12">
        <v>229</v>
      </c>
      <c r="E1360" s="16">
        <v>229036</v>
      </c>
      <c r="F1360" s="10" t="s">
        <v>1928</v>
      </c>
      <c r="G1360" s="10">
        <v>220</v>
      </c>
      <c r="H1360" s="11">
        <v>45603</v>
      </c>
      <c r="I1360" s="10" t="s">
        <v>948</v>
      </c>
      <c r="J1360" s="12" t="str">
        <f>IF(OR(TED[[#This Row],[SITUACAO]]=1,TED[[#This Row],[SITUACAO]]=9,TED[[#This Row],[SITUACAO]]=18),"ATIVO","AFASTADO")</f>
        <v>ATIVO</v>
      </c>
      <c r="K1360" s="12">
        <v>1</v>
      </c>
    </row>
    <row r="1361" spans="1:11" x14ac:dyDescent="0.25">
      <c r="A1361" s="10">
        <v>45966</v>
      </c>
      <c r="B1361" s="9" t="s">
        <v>2356</v>
      </c>
      <c r="C1361" s="12" t="str">
        <f>IFERROR(VLOOKUP(TED[[#This Row],[CENTRO]],'CENTRO DE CUSTO'!B:E,4,FALSE)," ")</f>
        <v>FERNANDO SANTOS</v>
      </c>
      <c r="D1361" s="12">
        <v>229</v>
      </c>
      <c r="E1361" s="16">
        <v>229043</v>
      </c>
      <c r="F1361" s="10" t="s">
        <v>1935</v>
      </c>
      <c r="G1361" s="10">
        <v>220</v>
      </c>
      <c r="H1361" s="11">
        <v>46174</v>
      </c>
      <c r="I1361" s="10" t="s">
        <v>21</v>
      </c>
      <c r="J1361" s="12" t="str">
        <f>IF(OR(TED[[#This Row],[SITUACAO]]=1,TED[[#This Row],[SITUACAO]]=9,TED[[#This Row],[SITUACAO]]=18),"ATIVO","AFASTADO")</f>
        <v>ATIVO</v>
      </c>
      <c r="K1361" s="12">
        <v>1</v>
      </c>
    </row>
    <row r="1362" spans="1:11" x14ac:dyDescent="0.25">
      <c r="A1362" s="10">
        <v>42980</v>
      </c>
      <c r="B1362" s="9" t="s">
        <v>1614</v>
      </c>
      <c r="C1362" s="12" t="str">
        <f>IFERROR(VLOOKUP(TED[[#This Row],[CENTRO]],'CENTRO DE CUSTO'!B:E,4,FALSE)," ")</f>
        <v>FERNANDO SANTOS</v>
      </c>
      <c r="D1362" s="12">
        <v>229</v>
      </c>
      <c r="E1362" s="16">
        <v>229024</v>
      </c>
      <c r="F1362" s="10" t="s">
        <v>1916</v>
      </c>
      <c r="G1362" s="10">
        <v>220</v>
      </c>
      <c r="H1362" s="11">
        <v>45999</v>
      </c>
      <c r="I1362" s="10" t="s">
        <v>21</v>
      </c>
      <c r="J1362" s="12" t="str">
        <f>IF(OR(TED[[#This Row],[SITUACAO]]=1,TED[[#This Row],[SITUACAO]]=9,TED[[#This Row],[SITUACAO]]=18),"ATIVO","AFASTADO")</f>
        <v>ATIVO</v>
      </c>
      <c r="K1362" s="12">
        <v>1</v>
      </c>
    </row>
    <row r="1363" spans="1:11" x14ac:dyDescent="0.25">
      <c r="A1363" s="10">
        <v>44927</v>
      </c>
      <c r="B1363" s="9" t="s">
        <v>2185</v>
      </c>
      <c r="C1363" s="12" t="str">
        <f>IFERROR(VLOOKUP(TED[[#This Row],[CENTRO]],'CENTRO DE CUSTO'!B:E,4,FALSE)," ")</f>
        <v>FERNANDO SANTOS</v>
      </c>
      <c r="D1363" s="12">
        <v>229</v>
      </c>
      <c r="E1363" s="16">
        <v>229043</v>
      </c>
      <c r="F1363" s="10" t="s">
        <v>1935</v>
      </c>
      <c r="G1363" s="10">
        <v>220</v>
      </c>
      <c r="H1363" s="11">
        <v>46118</v>
      </c>
      <c r="I1363" s="10" t="s">
        <v>21</v>
      </c>
      <c r="J1363" s="12" t="str">
        <f>IF(OR(TED[[#This Row],[SITUACAO]]=1,TED[[#This Row],[SITUACAO]]=9,TED[[#This Row],[SITUACAO]]=18),"ATIVO","AFASTADO")</f>
        <v>ATIVO</v>
      </c>
      <c r="K1363" s="12">
        <v>1</v>
      </c>
    </row>
    <row r="1364" spans="1:11" x14ac:dyDescent="0.25">
      <c r="A1364" s="10">
        <v>44551</v>
      </c>
      <c r="B1364" s="9" t="s">
        <v>2138</v>
      </c>
      <c r="C1364" s="12" t="str">
        <f>IFERROR(VLOOKUP(TED[[#This Row],[CENTRO]],'CENTRO DE CUSTO'!B:E,4,FALSE)," ")</f>
        <v>FERNANDO SANTOS</v>
      </c>
      <c r="D1364" s="12">
        <v>229</v>
      </c>
      <c r="E1364" s="16">
        <v>229043</v>
      </c>
      <c r="F1364" s="10" t="s">
        <v>1935</v>
      </c>
      <c r="G1364" s="10">
        <v>220</v>
      </c>
      <c r="H1364" s="11">
        <v>46097</v>
      </c>
      <c r="I1364" s="10" t="s">
        <v>21</v>
      </c>
      <c r="J1364" s="12" t="str">
        <f>IF(OR(TED[[#This Row],[SITUACAO]]=1,TED[[#This Row],[SITUACAO]]=9,TED[[#This Row],[SITUACAO]]=18),"ATIVO","AFASTADO")</f>
        <v>ATIVO</v>
      </c>
      <c r="K1364" s="12">
        <v>1</v>
      </c>
    </row>
    <row r="1365" spans="1:11" x14ac:dyDescent="0.25">
      <c r="A1365" s="10">
        <v>25295</v>
      </c>
      <c r="B1365" s="9" t="s">
        <v>1639</v>
      </c>
      <c r="C1365" s="12" t="str">
        <f>IFERROR(VLOOKUP(TED[[#This Row],[CENTRO]],'CENTRO DE CUSTO'!B:E,4,FALSE)," ")</f>
        <v>FERNANDO SANTOS</v>
      </c>
      <c r="D1365" s="12">
        <v>229</v>
      </c>
      <c r="E1365" s="16">
        <v>229029</v>
      </c>
      <c r="F1365" s="10" t="s">
        <v>1921</v>
      </c>
      <c r="G1365" s="10">
        <v>220</v>
      </c>
      <c r="H1365" s="11">
        <v>44973</v>
      </c>
      <c r="I1365" s="10" t="s">
        <v>21</v>
      </c>
      <c r="J1365" s="12" t="str">
        <f>IF(OR(TED[[#This Row],[SITUACAO]]=1,TED[[#This Row],[SITUACAO]]=9,TED[[#This Row],[SITUACAO]]=18),"ATIVO","AFASTADO")</f>
        <v>ATIVO</v>
      </c>
      <c r="K1365" s="12">
        <v>1</v>
      </c>
    </row>
    <row r="1366" spans="1:11" x14ac:dyDescent="0.25">
      <c r="A1366" s="10">
        <v>46202</v>
      </c>
      <c r="B1366" s="9" t="s">
        <v>2357</v>
      </c>
      <c r="C1366" s="12" t="str">
        <f>IFERROR(VLOOKUP(TED[[#This Row],[CENTRO]],'CENTRO DE CUSTO'!B:E,4,FALSE)," ")</f>
        <v>FERNANDO SANTOS</v>
      </c>
      <c r="D1366" s="12">
        <v>229</v>
      </c>
      <c r="E1366" s="16">
        <v>229034</v>
      </c>
      <c r="F1366" s="10" t="s">
        <v>1926</v>
      </c>
      <c r="G1366" s="10">
        <v>220</v>
      </c>
      <c r="H1366" s="11">
        <v>46190</v>
      </c>
      <c r="I1366" s="10" t="s">
        <v>21</v>
      </c>
      <c r="J1366" s="12" t="str">
        <f>IF(OR(TED[[#This Row],[SITUACAO]]=1,TED[[#This Row],[SITUACAO]]=9,TED[[#This Row],[SITUACAO]]=18),"ATIVO","AFASTADO")</f>
        <v>ATIVO</v>
      </c>
      <c r="K1366" s="12">
        <v>1</v>
      </c>
    </row>
    <row r="1367" spans="1:11" x14ac:dyDescent="0.25">
      <c r="A1367" s="10">
        <v>25402</v>
      </c>
      <c r="B1367" s="9" t="s">
        <v>1666</v>
      </c>
      <c r="C1367" s="12" t="str">
        <f>IFERROR(VLOOKUP(TED[[#This Row],[CENTRO]],'CENTRO DE CUSTO'!B:E,4,FALSE)," ")</f>
        <v>FERNANDO SANTOS</v>
      </c>
      <c r="D1367" s="12">
        <v>229</v>
      </c>
      <c r="E1367" s="16">
        <v>229040</v>
      </c>
      <c r="F1367" s="10" t="s">
        <v>1932</v>
      </c>
      <c r="G1367" s="10">
        <v>220</v>
      </c>
      <c r="H1367" s="11">
        <v>44973</v>
      </c>
      <c r="I1367" s="10" t="s">
        <v>948</v>
      </c>
      <c r="J1367" s="12" t="str">
        <f>IF(OR(TED[[#This Row],[SITUACAO]]=1,TED[[#This Row],[SITUACAO]]=9,TED[[#This Row],[SITUACAO]]=18),"ATIVO","AFASTADO")</f>
        <v>ATIVO</v>
      </c>
      <c r="K1367" s="12">
        <v>1</v>
      </c>
    </row>
    <row r="1368" spans="1:11" x14ac:dyDescent="0.25">
      <c r="A1368" s="10">
        <v>45897</v>
      </c>
      <c r="B1368" s="9" t="s">
        <v>2242</v>
      </c>
      <c r="C1368" s="12" t="str">
        <f>IFERROR(VLOOKUP(TED[[#This Row],[CENTRO]],'CENTRO DE CUSTO'!B:E,4,FALSE)," ")</f>
        <v>FERNANDO SANTOS</v>
      </c>
      <c r="D1368" s="12">
        <v>229</v>
      </c>
      <c r="E1368" s="16">
        <v>229043</v>
      </c>
      <c r="F1368" s="10" t="s">
        <v>1935</v>
      </c>
      <c r="G1368" s="10">
        <v>220</v>
      </c>
      <c r="H1368" s="11">
        <v>46167</v>
      </c>
      <c r="I1368" s="10" t="s">
        <v>21</v>
      </c>
      <c r="J1368" s="12" t="str">
        <f>IF(OR(TED[[#This Row],[SITUACAO]]=1,TED[[#This Row],[SITUACAO]]=9,TED[[#This Row],[SITUACAO]]=18),"ATIVO","AFASTADO")</f>
        <v>ATIVO</v>
      </c>
      <c r="K1368" s="12">
        <v>1</v>
      </c>
    </row>
    <row r="1369" spans="1:11" x14ac:dyDescent="0.25">
      <c r="A1369" s="10">
        <v>45904</v>
      </c>
      <c r="B1369" s="9" t="s">
        <v>2238</v>
      </c>
      <c r="C1369" s="12" t="str">
        <f>IFERROR(VLOOKUP(TED[[#This Row],[CENTRO]],'CENTRO DE CUSTO'!B:E,4,FALSE)," ")</f>
        <v>FERNANDO SANTOS</v>
      </c>
      <c r="D1369" s="12">
        <v>229</v>
      </c>
      <c r="E1369" s="16">
        <v>229023</v>
      </c>
      <c r="F1369" s="10" t="s">
        <v>1915</v>
      </c>
      <c r="G1369" s="10">
        <v>220</v>
      </c>
      <c r="H1369" s="11">
        <v>46167</v>
      </c>
      <c r="I1369" s="10" t="s">
        <v>21</v>
      </c>
      <c r="J1369" s="12" t="str">
        <f>IF(OR(TED[[#This Row],[SITUACAO]]=1,TED[[#This Row],[SITUACAO]]=9,TED[[#This Row],[SITUACAO]]=18),"ATIVO","AFASTADO")</f>
        <v>ATIVO</v>
      </c>
      <c r="K1369" s="12">
        <v>1</v>
      </c>
    </row>
    <row r="1370" spans="1:11" x14ac:dyDescent="0.25">
      <c r="A1370" s="10">
        <v>47440</v>
      </c>
      <c r="B1370" s="9" t="s">
        <v>2358</v>
      </c>
      <c r="C1370" s="12" t="str">
        <f>IFERROR(VLOOKUP(TED[[#This Row],[CENTRO]],'CENTRO DE CUSTO'!B:E,4,FALSE)," ")</f>
        <v>FERNANDO SANTOS</v>
      </c>
      <c r="D1370" s="12">
        <v>229</v>
      </c>
      <c r="E1370" s="16">
        <v>229027</v>
      </c>
      <c r="F1370" s="10" t="s">
        <v>1919</v>
      </c>
      <c r="G1370" s="10">
        <v>220</v>
      </c>
      <c r="H1370" s="11">
        <v>46211</v>
      </c>
      <c r="I1370" s="10" t="s">
        <v>21</v>
      </c>
      <c r="J1370" s="12" t="str">
        <f>IF(OR(TED[[#This Row],[SITUACAO]]=1,TED[[#This Row],[SITUACAO]]=9,TED[[#This Row],[SITUACAO]]=18),"ATIVO","AFASTADO")</f>
        <v>ATIVO</v>
      </c>
      <c r="K1370" s="12">
        <v>1</v>
      </c>
    </row>
    <row r="1371" spans="1:11" x14ac:dyDescent="0.25">
      <c r="A1371" s="10">
        <v>25312</v>
      </c>
      <c r="B1371" s="9" t="s">
        <v>1632</v>
      </c>
      <c r="C1371" s="12" t="str">
        <f>IFERROR(VLOOKUP(TED[[#This Row],[CENTRO]],'CENTRO DE CUSTO'!B:E,4,FALSE)," ")</f>
        <v>FERNANDO SANTOS</v>
      </c>
      <c r="D1371" s="12">
        <v>229</v>
      </c>
      <c r="E1371" s="16">
        <v>229027</v>
      </c>
      <c r="F1371" s="10" t="s">
        <v>1919</v>
      </c>
      <c r="G1371" s="10">
        <v>220</v>
      </c>
      <c r="H1371" s="11">
        <v>44973</v>
      </c>
      <c r="I1371" s="10" t="s">
        <v>948</v>
      </c>
      <c r="J1371" s="12" t="str">
        <f>IF(OR(TED[[#This Row],[SITUACAO]]=1,TED[[#This Row],[SITUACAO]]=9,TED[[#This Row],[SITUACAO]]=18),"ATIVO","AFASTADO")</f>
        <v>ATIVO</v>
      </c>
      <c r="K1371" s="12">
        <v>1</v>
      </c>
    </row>
    <row r="1372" spans="1:11" x14ac:dyDescent="0.25">
      <c r="A1372" s="10">
        <v>33186</v>
      </c>
      <c r="B1372" s="9" t="s">
        <v>1603</v>
      </c>
      <c r="C1372" s="12" t="str">
        <f>IFERROR(VLOOKUP(TED[[#This Row],[CENTRO]],'CENTRO DE CUSTO'!B:E,4,FALSE)," ")</f>
        <v>FERNANDO SANTOS</v>
      </c>
      <c r="D1372" s="12">
        <v>229</v>
      </c>
      <c r="E1372" s="16">
        <v>229023</v>
      </c>
      <c r="F1372" s="10" t="s">
        <v>1915</v>
      </c>
      <c r="G1372" s="10">
        <v>220</v>
      </c>
      <c r="H1372" s="11">
        <v>45483</v>
      </c>
      <c r="I1372" s="10" t="s">
        <v>21</v>
      </c>
      <c r="J1372" s="12" t="str">
        <f>IF(OR(TED[[#This Row],[SITUACAO]]=1,TED[[#This Row],[SITUACAO]]=9,TED[[#This Row],[SITUACAO]]=18),"ATIVO","AFASTADO")</f>
        <v>ATIVO</v>
      </c>
      <c r="K1372" s="12">
        <v>9</v>
      </c>
    </row>
    <row r="1373" spans="1:11" x14ac:dyDescent="0.25">
      <c r="A1373" s="10">
        <v>34652</v>
      </c>
      <c r="B1373" s="9" t="s">
        <v>1615</v>
      </c>
      <c r="C1373" s="12" t="str">
        <f>IFERROR(VLOOKUP(TED[[#This Row],[CENTRO]],'CENTRO DE CUSTO'!B:E,4,FALSE)," ")</f>
        <v>FERNANDO SANTOS</v>
      </c>
      <c r="D1373" s="12">
        <v>229</v>
      </c>
      <c r="E1373" s="16">
        <v>229024</v>
      </c>
      <c r="F1373" s="10" t="s">
        <v>1916</v>
      </c>
      <c r="G1373" s="10">
        <v>220</v>
      </c>
      <c r="H1373" s="11">
        <v>45615</v>
      </c>
      <c r="I1373" s="10" t="s">
        <v>21</v>
      </c>
      <c r="J1373" s="12" t="str">
        <f>IF(OR(TED[[#This Row],[SITUACAO]]=1,TED[[#This Row],[SITUACAO]]=9,TED[[#This Row],[SITUACAO]]=18),"ATIVO","AFASTADO")</f>
        <v>ATIVO</v>
      </c>
      <c r="K1373" s="12">
        <v>1</v>
      </c>
    </row>
    <row r="1374" spans="1:11" x14ac:dyDescent="0.25">
      <c r="A1374" s="10">
        <v>35865</v>
      </c>
      <c r="B1374" s="9" t="s">
        <v>1676</v>
      </c>
      <c r="C1374" s="12" t="str">
        <f>IFERROR(VLOOKUP(TED[[#This Row],[CENTRO]],'CENTRO DE CUSTO'!B:E,4,FALSE)," ")</f>
        <v>FERNANDO SANTOS</v>
      </c>
      <c r="D1374" s="12">
        <v>229</v>
      </c>
      <c r="E1374" s="16">
        <v>229043</v>
      </c>
      <c r="F1374" s="10" t="s">
        <v>1935</v>
      </c>
      <c r="G1374" s="10">
        <v>220</v>
      </c>
      <c r="H1374" s="11">
        <v>45693</v>
      </c>
      <c r="I1374" s="10" t="s">
        <v>21</v>
      </c>
      <c r="J1374" s="12" t="str">
        <f>IF(OR(TED[[#This Row],[SITUACAO]]=1,TED[[#This Row],[SITUACAO]]=9,TED[[#This Row],[SITUACAO]]=18),"ATIVO","AFASTADO")</f>
        <v>AFASTADO</v>
      </c>
      <c r="K1374" s="12">
        <v>12</v>
      </c>
    </row>
    <row r="1375" spans="1:11" x14ac:dyDescent="0.25">
      <c r="A1375" s="10">
        <v>28034</v>
      </c>
      <c r="B1375" s="9" t="s">
        <v>1654</v>
      </c>
      <c r="C1375" s="12" t="str">
        <f>IFERROR(VLOOKUP(TED[[#This Row],[CENTRO]],'CENTRO DE CUSTO'!B:E,4,FALSE)," ")</f>
        <v>FERNANDO SANTOS</v>
      </c>
      <c r="D1375" s="12">
        <v>229</v>
      </c>
      <c r="E1375" s="16">
        <v>229034</v>
      </c>
      <c r="F1375" s="10" t="s">
        <v>1926</v>
      </c>
      <c r="G1375" s="10">
        <v>220</v>
      </c>
      <c r="H1375" s="11">
        <v>45134</v>
      </c>
      <c r="I1375" s="10" t="s">
        <v>21</v>
      </c>
      <c r="J1375" s="12" t="str">
        <f>IF(OR(TED[[#This Row],[SITUACAO]]=1,TED[[#This Row],[SITUACAO]]=9,TED[[#This Row],[SITUACAO]]=18),"ATIVO","AFASTADO")</f>
        <v>ATIVO</v>
      </c>
      <c r="K1375" s="12">
        <v>9</v>
      </c>
    </row>
    <row r="1376" spans="1:11" x14ac:dyDescent="0.25">
      <c r="A1376" s="10">
        <v>28565</v>
      </c>
      <c r="B1376" s="9" t="s">
        <v>1627</v>
      </c>
      <c r="C1376" s="12" t="str">
        <f>IFERROR(VLOOKUP(TED[[#This Row],[CENTRO]],'CENTRO DE CUSTO'!B:E,4,FALSE)," ")</f>
        <v>FERNANDO SANTOS</v>
      </c>
      <c r="D1376" s="12">
        <v>229</v>
      </c>
      <c r="E1376" s="16">
        <v>229026</v>
      </c>
      <c r="F1376" s="10" t="s">
        <v>1918</v>
      </c>
      <c r="G1376" s="10">
        <v>220</v>
      </c>
      <c r="H1376" s="11">
        <v>45190</v>
      </c>
      <c r="I1376" s="10" t="s">
        <v>604</v>
      </c>
      <c r="J1376" s="12" t="str">
        <f>IF(OR(TED[[#This Row],[SITUACAO]]=1,TED[[#This Row],[SITUACAO]]=9,TED[[#This Row],[SITUACAO]]=18),"ATIVO","AFASTADO")</f>
        <v>ATIVO</v>
      </c>
      <c r="K1376" s="12">
        <v>1</v>
      </c>
    </row>
    <row r="1377" spans="1:11" x14ac:dyDescent="0.25">
      <c r="A1377" s="10">
        <v>25271</v>
      </c>
      <c r="B1377" s="9" t="s">
        <v>1587</v>
      </c>
      <c r="C1377" s="12" t="str">
        <f>IFERROR(VLOOKUP(TED[[#This Row],[CENTRO]],'CENTRO DE CUSTO'!B:E,4,FALSE)," ")</f>
        <v>FERNANDO SANTOS</v>
      </c>
      <c r="D1377" s="12">
        <v>229</v>
      </c>
      <c r="E1377" s="16">
        <v>229023</v>
      </c>
      <c r="F1377" s="10" t="s">
        <v>1915</v>
      </c>
      <c r="G1377" s="10">
        <v>220</v>
      </c>
      <c r="H1377" s="11">
        <v>44973</v>
      </c>
      <c r="I1377" s="10" t="s">
        <v>21</v>
      </c>
      <c r="J1377" s="12" t="str">
        <f>IF(OR(TED[[#This Row],[SITUACAO]]=1,TED[[#This Row],[SITUACAO]]=9,TED[[#This Row],[SITUACAO]]=18),"ATIVO","AFASTADO")</f>
        <v>AFASTADO</v>
      </c>
      <c r="K1377" s="12">
        <v>6</v>
      </c>
    </row>
    <row r="1378" spans="1:11" x14ac:dyDescent="0.25">
      <c r="A1378" s="10">
        <v>39669</v>
      </c>
      <c r="B1378" s="9" t="s">
        <v>1602</v>
      </c>
      <c r="C1378" s="12" t="str">
        <f>IFERROR(VLOOKUP(TED[[#This Row],[CENTRO]],'CENTRO DE CUSTO'!B:E,4,FALSE)," ")</f>
        <v>FERNANDO SANTOS</v>
      </c>
      <c r="D1378" s="12">
        <v>229</v>
      </c>
      <c r="E1378" s="16">
        <v>229023</v>
      </c>
      <c r="F1378" s="10" t="s">
        <v>1915</v>
      </c>
      <c r="G1378" s="10">
        <v>220</v>
      </c>
      <c r="H1378" s="11">
        <v>45859</v>
      </c>
      <c r="I1378" s="10" t="s">
        <v>21</v>
      </c>
      <c r="J1378" s="12" t="str">
        <f>IF(OR(TED[[#This Row],[SITUACAO]]=1,TED[[#This Row],[SITUACAO]]=9,TED[[#This Row],[SITUACAO]]=18),"ATIVO","AFASTADO")</f>
        <v>ATIVO</v>
      </c>
      <c r="K1378" s="12">
        <v>1</v>
      </c>
    </row>
    <row r="1379" spans="1:11" x14ac:dyDescent="0.25">
      <c r="A1379" s="10">
        <v>25395</v>
      </c>
      <c r="B1379" s="9" t="s">
        <v>1657</v>
      </c>
      <c r="C1379" s="12" t="str">
        <f>IFERROR(VLOOKUP(TED[[#This Row],[CENTRO]],'CENTRO DE CUSTO'!B:E,4,FALSE)," ")</f>
        <v>FERNANDO SANTOS</v>
      </c>
      <c r="D1379" s="12">
        <v>229</v>
      </c>
      <c r="E1379" s="16">
        <v>229037</v>
      </c>
      <c r="F1379" s="10" t="s">
        <v>1929</v>
      </c>
      <c r="G1379" s="10">
        <v>220</v>
      </c>
      <c r="H1379" s="11">
        <v>44973</v>
      </c>
      <c r="I1379" s="10" t="s">
        <v>21</v>
      </c>
      <c r="J1379" s="12" t="str">
        <f>IF(OR(TED[[#This Row],[SITUACAO]]=1,TED[[#This Row],[SITUACAO]]=9,TED[[#This Row],[SITUACAO]]=18),"ATIVO","AFASTADO")</f>
        <v>ATIVO</v>
      </c>
      <c r="K1379" s="12">
        <v>1</v>
      </c>
    </row>
    <row r="1380" spans="1:11" x14ac:dyDescent="0.25">
      <c r="A1380" s="10">
        <v>25273</v>
      </c>
      <c r="B1380" s="9" t="s">
        <v>1670</v>
      </c>
      <c r="C1380" s="12" t="str">
        <f>IFERROR(VLOOKUP(TED[[#This Row],[CENTRO]],'CENTRO DE CUSTO'!B:E,4,FALSE)," ")</f>
        <v>FERNANDO SANTOS</v>
      </c>
      <c r="D1380" s="12">
        <v>229</v>
      </c>
      <c r="E1380" s="16">
        <v>229043</v>
      </c>
      <c r="F1380" s="10" t="s">
        <v>1935</v>
      </c>
      <c r="G1380" s="10">
        <v>220</v>
      </c>
      <c r="H1380" s="11">
        <v>44973</v>
      </c>
      <c r="I1380" s="10" t="s">
        <v>21</v>
      </c>
      <c r="J1380" s="12" t="str">
        <f>IF(OR(TED[[#This Row],[SITUACAO]]=1,TED[[#This Row],[SITUACAO]]=9,TED[[#This Row],[SITUACAO]]=18),"ATIVO","AFASTADO")</f>
        <v>ATIVO</v>
      </c>
      <c r="K1380" s="12">
        <v>1</v>
      </c>
    </row>
    <row r="1381" spans="1:11" x14ac:dyDescent="0.25">
      <c r="A1381" s="10">
        <v>25302</v>
      </c>
      <c r="B1381" s="9" t="s">
        <v>1623</v>
      </c>
      <c r="C1381" s="12" t="str">
        <f>IFERROR(VLOOKUP(TED[[#This Row],[CENTRO]],'CENTRO DE CUSTO'!B:E,4,FALSE)," ")</f>
        <v>FERNANDO SANTOS</v>
      </c>
      <c r="D1381" s="12">
        <v>229</v>
      </c>
      <c r="E1381" s="16">
        <v>229026</v>
      </c>
      <c r="F1381" s="10" t="s">
        <v>1918</v>
      </c>
      <c r="G1381" s="10">
        <v>220</v>
      </c>
      <c r="H1381" s="11">
        <v>44973</v>
      </c>
      <c r="I1381" s="10" t="s">
        <v>21</v>
      </c>
      <c r="J1381" s="12" t="str">
        <f>IF(OR(TED[[#This Row],[SITUACAO]]=1,TED[[#This Row],[SITUACAO]]=9,TED[[#This Row],[SITUACAO]]=18),"ATIVO","AFASTADO")</f>
        <v>ATIVO</v>
      </c>
      <c r="K1381" s="12">
        <v>1</v>
      </c>
    </row>
    <row r="1382" spans="1:11" x14ac:dyDescent="0.25">
      <c r="A1382" s="10">
        <v>25386</v>
      </c>
      <c r="B1382" s="9" t="s">
        <v>1637</v>
      </c>
      <c r="C1382" s="12" t="str">
        <f>IFERROR(VLOOKUP(TED[[#This Row],[CENTRO]],'CENTRO DE CUSTO'!B:E,4,FALSE)," ")</f>
        <v>FERNANDO SANTOS</v>
      </c>
      <c r="D1382" s="12">
        <v>229</v>
      </c>
      <c r="E1382" s="16">
        <v>229028</v>
      </c>
      <c r="F1382" s="10" t="s">
        <v>1920</v>
      </c>
      <c r="G1382" s="10">
        <v>220</v>
      </c>
      <c r="H1382" s="11">
        <v>44973</v>
      </c>
      <c r="I1382" s="10" t="s">
        <v>948</v>
      </c>
      <c r="J1382" s="12" t="str">
        <f>IF(OR(TED[[#This Row],[SITUACAO]]=1,TED[[#This Row],[SITUACAO]]=9,TED[[#This Row],[SITUACAO]]=18),"ATIVO","AFASTADO")</f>
        <v>ATIVO</v>
      </c>
      <c r="K1382" s="12">
        <v>1</v>
      </c>
    </row>
    <row r="1383" spans="1:11" x14ac:dyDescent="0.25">
      <c r="A1383" s="10">
        <v>25264</v>
      </c>
      <c r="B1383" s="9" t="s">
        <v>1585</v>
      </c>
      <c r="C1383" s="12" t="str">
        <f>IFERROR(VLOOKUP(TED[[#This Row],[CENTRO]],'CENTRO DE CUSTO'!B:E,4,FALSE)," ")</f>
        <v>FERNANDO SANTOS</v>
      </c>
      <c r="D1383" s="12">
        <v>229</v>
      </c>
      <c r="E1383" s="16">
        <v>229023</v>
      </c>
      <c r="F1383" s="10" t="s">
        <v>1915</v>
      </c>
      <c r="G1383" s="10">
        <v>220</v>
      </c>
      <c r="H1383" s="11">
        <v>44973</v>
      </c>
      <c r="I1383" s="10" t="s">
        <v>21</v>
      </c>
      <c r="J1383" s="12" t="str">
        <f>IF(OR(TED[[#This Row],[SITUACAO]]=1,TED[[#This Row],[SITUACAO]]=9,TED[[#This Row],[SITUACAO]]=18),"ATIVO","AFASTADO")</f>
        <v>ATIVO</v>
      </c>
      <c r="K1383" s="12">
        <v>1</v>
      </c>
    </row>
    <row r="1384" spans="1:11" x14ac:dyDescent="0.25">
      <c r="A1384" s="10">
        <v>25392</v>
      </c>
      <c r="B1384" s="9" t="s">
        <v>1660</v>
      </c>
      <c r="C1384" s="12" t="str">
        <f>IFERROR(VLOOKUP(TED[[#This Row],[CENTRO]],'CENTRO DE CUSTO'!B:E,4,FALSE)," ")</f>
        <v>FERNANDO SANTOS</v>
      </c>
      <c r="D1384" s="12">
        <v>229</v>
      </c>
      <c r="E1384" s="16">
        <v>229037</v>
      </c>
      <c r="F1384" s="10" t="s">
        <v>1929</v>
      </c>
      <c r="G1384" s="10">
        <v>220</v>
      </c>
      <c r="H1384" s="11">
        <v>44973</v>
      </c>
      <c r="I1384" s="10" t="s">
        <v>948</v>
      </c>
      <c r="J1384" s="12" t="str">
        <f>IF(OR(TED[[#This Row],[SITUACAO]]=1,TED[[#This Row],[SITUACAO]]=9,TED[[#This Row],[SITUACAO]]=18),"ATIVO","AFASTADO")</f>
        <v>ATIVO</v>
      </c>
      <c r="K1384" s="12">
        <v>1</v>
      </c>
    </row>
    <row r="1385" spans="1:11" x14ac:dyDescent="0.25">
      <c r="A1385" s="10">
        <v>25333</v>
      </c>
      <c r="B1385" s="9" t="s">
        <v>1609</v>
      </c>
      <c r="C1385" s="12" t="str">
        <f>IFERROR(VLOOKUP(TED[[#This Row],[CENTRO]],'CENTRO DE CUSTO'!B:E,4,FALSE)," ")</f>
        <v>FERNANDO SANTOS</v>
      </c>
      <c r="D1385" s="12">
        <v>229</v>
      </c>
      <c r="E1385" s="16">
        <v>229024</v>
      </c>
      <c r="F1385" s="10" t="s">
        <v>1916</v>
      </c>
      <c r="G1385" s="10">
        <v>220</v>
      </c>
      <c r="H1385" s="11">
        <v>44973</v>
      </c>
      <c r="I1385" s="10" t="s">
        <v>21</v>
      </c>
      <c r="J1385" s="12" t="str">
        <f>IF(OR(TED[[#This Row],[SITUACAO]]=1,TED[[#This Row],[SITUACAO]]=9,TED[[#This Row],[SITUACAO]]=18),"ATIVO","AFASTADO")</f>
        <v>ATIVO</v>
      </c>
      <c r="K1385" s="12">
        <v>1</v>
      </c>
    </row>
    <row r="1386" spans="1:11" x14ac:dyDescent="0.25">
      <c r="A1386" s="10">
        <v>25383</v>
      </c>
      <c r="B1386" s="9" t="s">
        <v>1591</v>
      </c>
      <c r="C1386" s="12" t="str">
        <f>IFERROR(VLOOKUP(TED[[#This Row],[CENTRO]],'CENTRO DE CUSTO'!B:E,4,FALSE)," ")</f>
        <v>FERNANDO SANTOS</v>
      </c>
      <c r="D1386" s="12">
        <v>229</v>
      </c>
      <c r="E1386" s="16">
        <v>229023</v>
      </c>
      <c r="F1386" s="10" t="s">
        <v>1915</v>
      </c>
      <c r="G1386" s="10">
        <v>220</v>
      </c>
      <c r="H1386" s="11">
        <v>44973</v>
      </c>
      <c r="I1386" s="10" t="s">
        <v>21</v>
      </c>
      <c r="J1386" s="12" t="str">
        <f>IF(OR(TED[[#This Row],[SITUACAO]]=1,TED[[#This Row],[SITUACAO]]=9,TED[[#This Row],[SITUACAO]]=18),"ATIVO","AFASTADO")</f>
        <v>ATIVO</v>
      </c>
      <c r="K1386" s="12">
        <v>1</v>
      </c>
    </row>
    <row r="1387" spans="1:11" x14ac:dyDescent="0.25">
      <c r="A1387" s="10">
        <v>25309</v>
      </c>
      <c r="B1387" s="9" t="s">
        <v>1635</v>
      </c>
      <c r="C1387" s="12" t="str">
        <f>IFERROR(VLOOKUP(TED[[#This Row],[CENTRO]],'CENTRO DE CUSTO'!B:E,4,FALSE)," ")</f>
        <v>FERNANDO SANTOS</v>
      </c>
      <c r="D1387" s="12">
        <v>229</v>
      </c>
      <c r="E1387" s="16">
        <v>229027</v>
      </c>
      <c r="F1387" s="10" t="s">
        <v>1919</v>
      </c>
      <c r="G1387" s="10">
        <v>220</v>
      </c>
      <c r="H1387" s="11">
        <v>44973</v>
      </c>
      <c r="I1387" s="10" t="s">
        <v>21</v>
      </c>
      <c r="J1387" s="12" t="str">
        <f>IF(OR(TED[[#This Row],[SITUACAO]]=1,TED[[#This Row],[SITUACAO]]=9,TED[[#This Row],[SITUACAO]]=18),"ATIVO","AFASTADO")</f>
        <v>ATIVO</v>
      </c>
      <c r="K1387" s="12">
        <v>9</v>
      </c>
    </row>
    <row r="1388" spans="1:11" x14ac:dyDescent="0.25">
      <c r="A1388" s="10">
        <v>43907</v>
      </c>
      <c r="B1388" s="9" t="s">
        <v>2090</v>
      </c>
      <c r="C1388" s="12" t="str">
        <f>IFERROR(VLOOKUP(TED[[#This Row],[CENTRO]],'CENTRO DE CUSTO'!B:E,4,FALSE)," ")</f>
        <v>FERNANDO SANTOS</v>
      </c>
      <c r="D1388" s="12">
        <v>229</v>
      </c>
      <c r="E1388" s="16">
        <v>229043</v>
      </c>
      <c r="F1388" s="10" t="s">
        <v>1935</v>
      </c>
      <c r="G1388" s="10">
        <v>220</v>
      </c>
      <c r="H1388" s="11">
        <v>46064</v>
      </c>
      <c r="I1388" s="10" t="s">
        <v>21</v>
      </c>
      <c r="J1388" s="12" t="str">
        <f>IF(OR(TED[[#This Row],[SITUACAO]]=1,TED[[#This Row],[SITUACAO]]=9,TED[[#This Row],[SITUACAO]]=18),"ATIVO","AFASTADO")</f>
        <v>ATIVO</v>
      </c>
      <c r="K1388" s="12">
        <v>1</v>
      </c>
    </row>
    <row r="1389" spans="1:11" x14ac:dyDescent="0.25">
      <c r="A1389" s="10">
        <v>25325</v>
      </c>
      <c r="B1389" s="9" t="s">
        <v>1584</v>
      </c>
      <c r="C1389" s="12" t="str">
        <f>IFERROR(VLOOKUP(TED[[#This Row],[CENTRO]],'CENTRO DE CUSTO'!B:E,4,FALSE)," ")</f>
        <v>FERNANDO SANTOS</v>
      </c>
      <c r="D1389" s="12">
        <v>229</v>
      </c>
      <c r="E1389" s="16">
        <v>229023</v>
      </c>
      <c r="F1389" s="10" t="s">
        <v>1915</v>
      </c>
      <c r="G1389" s="10">
        <v>220</v>
      </c>
      <c r="H1389" s="11">
        <v>44973</v>
      </c>
      <c r="I1389" s="10" t="s">
        <v>21</v>
      </c>
      <c r="J1389" s="12" t="str">
        <f>IF(OR(TED[[#This Row],[SITUACAO]]=1,TED[[#This Row],[SITUACAO]]=9,TED[[#This Row],[SITUACAO]]=18),"ATIVO","AFASTADO")</f>
        <v>AFASTADO</v>
      </c>
      <c r="K1389" s="12">
        <v>6</v>
      </c>
    </row>
    <row r="1390" spans="1:11" x14ac:dyDescent="0.25">
      <c r="A1390" s="10">
        <v>25335</v>
      </c>
      <c r="B1390" s="9" t="s">
        <v>1610</v>
      </c>
      <c r="C1390" s="12" t="str">
        <f>IFERROR(VLOOKUP(TED[[#This Row],[CENTRO]],'CENTRO DE CUSTO'!B:E,4,FALSE)," ")</f>
        <v>FERNANDO SANTOS</v>
      </c>
      <c r="D1390" s="12">
        <v>229</v>
      </c>
      <c r="E1390" s="16">
        <v>229024</v>
      </c>
      <c r="F1390" s="10" t="s">
        <v>1916</v>
      </c>
      <c r="G1390" s="10">
        <v>220</v>
      </c>
      <c r="H1390" s="11">
        <v>44973</v>
      </c>
      <c r="I1390" s="10" t="s">
        <v>21</v>
      </c>
      <c r="J1390" s="12" t="str">
        <f>IF(OR(TED[[#This Row],[SITUACAO]]=1,TED[[#This Row],[SITUACAO]]=9,TED[[#This Row],[SITUACAO]]=18),"ATIVO","AFASTADO")</f>
        <v>ATIVO</v>
      </c>
      <c r="K1390" s="12">
        <v>1</v>
      </c>
    </row>
    <row r="1391" spans="1:11" x14ac:dyDescent="0.25">
      <c r="A1391" s="10">
        <v>27029</v>
      </c>
      <c r="B1391" s="9" t="s">
        <v>1669</v>
      </c>
      <c r="C1391" s="12" t="str">
        <f>IFERROR(VLOOKUP(TED[[#This Row],[CENTRO]],'CENTRO DE CUSTO'!B:E,4,FALSE)," ")</f>
        <v>FERNANDO SANTOS</v>
      </c>
      <c r="D1391" s="12">
        <v>229</v>
      </c>
      <c r="E1391" s="16">
        <v>229042</v>
      </c>
      <c r="F1391" s="10" t="s">
        <v>1934</v>
      </c>
      <c r="G1391" s="10">
        <v>220</v>
      </c>
      <c r="H1391" s="11">
        <v>45057</v>
      </c>
      <c r="I1391" s="10" t="s">
        <v>948</v>
      </c>
      <c r="J1391" s="12" t="str">
        <f>IF(OR(TED[[#This Row],[SITUACAO]]=1,TED[[#This Row],[SITUACAO]]=9,TED[[#This Row],[SITUACAO]]=18),"ATIVO","AFASTADO")</f>
        <v>ATIVO</v>
      </c>
      <c r="K1391" s="12">
        <v>1</v>
      </c>
    </row>
    <row r="1392" spans="1:11" x14ac:dyDescent="0.25">
      <c r="A1392" s="10">
        <v>45172</v>
      </c>
      <c r="B1392" s="9" t="s">
        <v>2183</v>
      </c>
      <c r="C1392" s="12" t="str">
        <f>IFERROR(VLOOKUP(TED[[#This Row],[CENTRO]],'CENTRO DE CUSTO'!B:E,4,FALSE)," ")</f>
        <v>FERNANDO SANTOS</v>
      </c>
      <c r="D1392" s="12">
        <v>229</v>
      </c>
      <c r="E1392" s="16">
        <v>229028</v>
      </c>
      <c r="F1392" s="10" t="s">
        <v>1920</v>
      </c>
      <c r="G1392" s="10">
        <v>220</v>
      </c>
      <c r="H1392" s="11">
        <v>46134</v>
      </c>
      <c r="I1392" s="10" t="s">
        <v>21</v>
      </c>
      <c r="J1392" s="12" t="str">
        <f>IF(OR(TED[[#This Row],[SITUACAO]]=1,TED[[#This Row],[SITUACAO]]=9,TED[[#This Row],[SITUACAO]]=18),"ATIVO","AFASTADO")</f>
        <v>ATIVO</v>
      </c>
      <c r="K1392" s="12">
        <v>1</v>
      </c>
    </row>
    <row r="1393" spans="1:11" x14ac:dyDescent="0.25">
      <c r="A1393" s="10">
        <v>44205</v>
      </c>
      <c r="B1393" s="9" t="s">
        <v>2086</v>
      </c>
      <c r="C1393" s="12" t="str">
        <f>IFERROR(VLOOKUP(TED[[#This Row],[CENTRO]],'CENTRO DE CUSTO'!B:E,4,FALSE)," ")</f>
        <v>FERNANDO SANTOS</v>
      </c>
      <c r="D1393" s="12">
        <v>229</v>
      </c>
      <c r="E1393" s="16">
        <v>229021</v>
      </c>
      <c r="F1393" s="10" t="s">
        <v>1914</v>
      </c>
      <c r="G1393" s="10">
        <v>220</v>
      </c>
      <c r="H1393" s="11">
        <v>46078</v>
      </c>
      <c r="I1393" s="10" t="s">
        <v>21</v>
      </c>
      <c r="J1393" s="12" t="str">
        <f>IF(OR(TED[[#This Row],[SITUACAO]]=1,TED[[#This Row],[SITUACAO]]=9,TED[[#This Row],[SITUACAO]]=18),"ATIVO","AFASTADO")</f>
        <v>ATIVO</v>
      </c>
      <c r="K1393" s="12">
        <v>1</v>
      </c>
    </row>
    <row r="1394" spans="1:11" x14ac:dyDescent="0.25">
      <c r="A1394" s="10">
        <v>25393</v>
      </c>
      <c r="B1394" s="9" t="s">
        <v>1659</v>
      </c>
      <c r="C1394" s="12" t="str">
        <f>IFERROR(VLOOKUP(TED[[#This Row],[CENTRO]],'CENTRO DE CUSTO'!B:E,4,FALSE)," ")</f>
        <v>FERNANDO SANTOS</v>
      </c>
      <c r="D1394" s="12">
        <v>229</v>
      </c>
      <c r="E1394" s="16">
        <v>229037</v>
      </c>
      <c r="F1394" s="10" t="s">
        <v>1929</v>
      </c>
      <c r="G1394" s="10">
        <v>220</v>
      </c>
      <c r="H1394" s="11">
        <v>44973</v>
      </c>
      <c r="I1394" s="10" t="s">
        <v>21</v>
      </c>
      <c r="J1394" s="12" t="str">
        <f>IF(OR(TED[[#This Row],[SITUACAO]]=1,TED[[#This Row],[SITUACAO]]=9,TED[[#This Row],[SITUACAO]]=18),"ATIVO","AFASTADO")</f>
        <v>ATIVO</v>
      </c>
      <c r="K1394" s="12">
        <v>1</v>
      </c>
    </row>
    <row r="1395" spans="1:11" x14ac:dyDescent="0.25">
      <c r="A1395" s="10">
        <v>44736</v>
      </c>
      <c r="B1395" s="9" t="s">
        <v>2156</v>
      </c>
      <c r="C1395" s="12" t="str">
        <f>IFERROR(VLOOKUP(TED[[#This Row],[CENTRO]],'CENTRO DE CUSTO'!B:E,4,FALSE)," ")</f>
        <v>FERNANDO SANTOS</v>
      </c>
      <c r="D1395" s="12">
        <v>229</v>
      </c>
      <c r="E1395" s="16">
        <v>229033</v>
      </c>
      <c r="F1395" s="10" t="s">
        <v>1925</v>
      </c>
      <c r="G1395" s="10">
        <v>220</v>
      </c>
      <c r="H1395" s="11">
        <v>46106</v>
      </c>
      <c r="I1395" s="10" t="s">
        <v>21</v>
      </c>
      <c r="J1395" s="12" t="str">
        <f>IF(OR(TED[[#This Row],[SITUACAO]]=1,TED[[#This Row],[SITUACAO]]=9,TED[[#This Row],[SITUACAO]]=18),"ATIVO","AFASTADO")</f>
        <v>ATIVO</v>
      </c>
      <c r="K1395" s="12">
        <v>1</v>
      </c>
    </row>
    <row r="1396" spans="1:11" x14ac:dyDescent="0.25">
      <c r="A1396" s="10">
        <v>25398</v>
      </c>
      <c r="B1396" s="9" t="s">
        <v>1663</v>
      </c>
      <c r="C1396" s="12" t="str">
        <f>IFERROR(VLOOKUP(TED[[#This Row],[CENTRO]],'CENTRO DE CUSTO'!B:E,4,FALSE)," ")</f>
        <v>FERNANDO SANTOS</v>
      </c>
      <c r="D1396" s="12">
        <v>229</v>
      </c>
      <c r="E1396" s="16">
        <v>229039</v>
      </c>
      <c r="F1396" s="10" t="s">
        <v>1931</v>
      </c>
      <c r="G1396" s="10">
        <v>220</v>
      </c>
      <c r="H1396" s="11">
        <v>44973</v>
      </c>
      <c r="I1396" s="10" t="s">
        <v>21</v>
      </c>
      <c r="J1396" s="12" t="str">
        <f>IF(OR(TED[[#This Row],[SITUACAO]]=1,TED[[#This Row],[SITUACAO]]=9,TED[[#This Row],[SITUACAO]]=18),"ATIVO","AFASTADO")</f>
        <v>ATIVO</v>
      </c>
      <c r="K1396" s="12">
        <v>1</v>
      </c>
    </row>
    <row r="1397" spans="1:11" x14ac:dyDescent="0.25">
      <c r="A1397" s="10">
        <v>25394</v>
      </c>
      <c r="B1397" s="9" t="s">
        <v>1658</v>
      </c>
      <c r="C1397" s="12" t="str">
        <f>IFERROR(VLOOKUP(TED[[#This Row],[CENTRO]],'CENTRO DE CUSTO'!B:E,4,FALSE)," ")</f>
        <v>FERNANDO SANTOS</v>
      </c>
      <c r="D1397" s="12">
        <v>229</v>
      </c>
      <c r="E1397" s="16">
        <v>229037</v>
      </c>
      <c r="F1397" s="10" t="s">
        <v>1929</v>
      </c>
      <c r="G1397" s="10">
        <v>220</v>
      </c>
      <c r="H1397" s="11">
        <v>44973</v>
      </c>
      <c r="I1397" s="10" t="s">
        <v>21</v>
      </c>
      <c r="J1397" s="12" t="str">
        <f>IF(OR(TED[[#This Row],[SITUACAO]]=1,TED[[#This Row],[SITUACAO]]=9,TED[[#This Row],[SITUACAO]]=18),"ATIVO","AFASTADO")</f>
        <v>ATIVO</v>
      </c>
      <c r="K1397" s="12">
        <v>1</v>
      </c>
    </row>
    <row r="1398" spans="1:11" x14ac:dyDescent="0.25">
      <c r="A1398" s="10">
        <v>41309</v>
      </c>
      <c r="B1398" s="9" t="s">
        <v>1596</v>
      </c>
      <c r="C1398" s="12" t="str">
        <f>IFERROR(VLOOKUP(TED[[#This Row],[CENTRO]],'CENTRO DE CUSTO'!B:E,4,FALSE)," ")</f>
        <v>FERNANDO SANTOS</v>
      </c>
      <c r="D1398" s="12">
        <v>229</v>
      </c>
      <c r="E1398" s="16">
        <v>229023</v>
      </c>
      <c r="F1398" s="10" t="s">
        <v>1915</v>
      </c>
      <c r="G1398" s="10">
        <v>220</v>
      </c>
      <c r="H1398" s="11">
        <v>45924</v>
      </c>
      <c r="I1398" s="10" t="s">
        <v>21</v>
      </c>
      <c r="J1398" s="12" t="str">
        <f>IF(OR(TED[[#This Row],[SITUACAO]]=1,TED[[#This Row],[SITUACAO]]=9,TED[[#This Row],[SITUACAO]]=18),"ATIVO","AFASTADO")</f>
        <v>ATIVO</v>
      </c>
      <c r="K1398" s="12">
        <v>1</v>
      </c>
    </row>
    <row r="1399" spans="1:11" x14ac:dyDescent="0.25">
      <c r="A1399" s="10">
        <v>33613</v>
      </c>
      <c r="B1399" s="9" t="s">
        <v>1642</v>
      </c>
      <c r="C1399" s="12" t="str">
        <f>IFERROR(VLOOKUP(TED[[#This Row],[CENTRO]],'CENTRO DE CUSTO'!B:E,4,FALSE)," ")</f>
        <v>FERNANDO SANTOS</v>
      </c>
      <c r="D1399" s="12">
        <v>229</v>
      </c>
      <c r="E1399" s="16">
        <v>229029</v>
      </c>
      <c r="F1399" s="10" t="s">
        <v>1921</v>
      </c>
      <c r="G1399" s="10">
        <v>220</v>
      </c>
      <c r="H1399" s="11">
        <v>45525</v>
      </c>
      <c r="I1399" s="10" t="s">
        <v>21</v>
      </c>
      <c r="J1399" s="12" t="str">
        <f>IF(OR(TED[[#This Row],[SITUACAO]]=1,TED[[#This Row],[SITUACAO]]=9,TED[[#This Row],[SITUACAO]]=18),"ATIVO","AFASTADO")</f>
        <v>ATIVO</v>
      </c>
      <c r="K1399" s="12">
        <v>1</v>
      </c>
    </row>
    <row r="1400" spans="1:11" x14ac:dyDescent="0.25">
      <c r="A1400" s="10">
        <v>39720</v>
      </c>
      <c r="B1400" s="9" t="s">
        <v>1600</v>
      </c>
      <c r="C1400" s="12" t="str">
        <f>IFERROR(VLOOKUP(TED[[#This Row],[CENTRO]],'CENTRO DE CUSTO'!B:E,4,FALSE)," ")</f>
        <v>FERNANDO SANTOS</v>
      </c>
      <c r="D1400" s="12">
        <v>229</v>
      </c>
      <c r="E1400" s="16">
        <v>229023</v>
      </c>
      <c r="F1400" s="10" t="s">
        <v>1915</v>
      </c>
      <c r="G1400" s="10">
        <v>220</v>
      </c>
      <c r="H1400" s="11">
        <v>45866</v>
      </c>
      <c r="I1400" s="10" t="s">
        <v>21</v>
      </c>
      <c r="J1400" s="12" t="str">
        <f>IF(OR(TED[[#This Row],[SITUACAO]]=1,TED[[#This Row],[SITUACAO]]=9,TED[[#This Row],[SITUACAO]]=18),"ATIVO","AFASTADO")</f>
        <v>ATIVO</v>
      </c>
      <c r="K1400" s="12">
        <v>1</v>
      </c>
    </row>
    <row r="1401" spans="1:11" x14ac:dyDescent="0.25">
      <c r="A1401" s="10">
        <v>25366</v>
      </c>
      <c r="B1401" s="9" t="s">
        <v>1645</v>
      </c>
      <c r="C1401" s="12" t="str">
        <f>IFERROR(VLOOKUP(TED[[#This Row],[CENTRO]],'CENTRO DE CUSTO'!B:E,4,FALSE)," ")</f>
        <v>FERNANDO SANTOS</v>
      </c>
      <c r="D1401" s="12">
        <v>229</v>
      </c>
      <c r="E1401" s="16">
        <v>229032</v>
      </c>
      <c r="F1401" s="10" t="s">
        <v>1924</v>
      </c>
      <c r="G1401" s="10">
        <v>220</v>
      </c>
      <c r="H1401" s="11">
        <v>44973</v>
      </c>
      <c r="I1401" s="10" t="s">
        <v>948</v>
      </c>
      <c r="J1401" s="12" t="str">
        <f>IF(OR(TED[[#This Row],[SITUACAO]]=1,TED[[#This Row],[SITUACAO]]=9,TED[[#This Row],[SITUACAO]]=18),"ATIVO","AFASTADO")</f>
        <v>ATIVO</v>
      </c>
      <c r="K1401" s="12">
        <v>1</v>
      </c>
    </row>
    <row r="1402" spans="1:11" x14ac:dyDescent="0.25">
      <c r="A1402" s="10">
        <v>25314</v>
      </c>
      <c r="B1402" s="9" t="s">
        <v>1616</v>
      </c>
      <c r="C1402" s="12" t="str">
        <f>IFERROR(VLOOKUP(TED[[#This Row],[CENTRO]],'CENTRO DE CUSTO'!B:E,4,FALSE)," ")</f>
        <v>FERNANDO SANTOS</v>
      </c>
      <c r="D1402" s="12">
        <v>229</v>
      </c>
      <c r="E1402" s="16">
        <v>229025</v>
      </c>
      <c r="F1402" s="10" t="s">
        <v>1917</v>
      </c>
      <c r="G1402" s="10">
        <v>220</v>
      </c>
      <c r="H1402" s="11">
        <v>44973</v>
      </c>
      <c r="I1402" s="10" t="s">
        <v>21</v>
      </c>
      <c r="J1402" s="12" t="str">
        <f>IF(OR(TED[[#This Row],[SITUACAO]]=1,TED[[#This Row],[SITUACAO]]=9,TED[[#This Row],[SITUACAO]]=18),"ATIVO","AFASTADO")</f>
        <v>ATIVO</v>
      </c>
      <c r="K1402" s="12">
        <v>1</v>
      </c>
    </row>
    <row r="1403" spans="1:11" x14ac:dyDescent="0.25">
      <c r="A1403" s="10">
        <v>26861</v>
      </c>
      <c r="B1403" s="9" t="s">
        <v>1607</v>
      </c>
      <c r="C1403" s="12" t="str">
        <f>IFERROR(VLOOKUP(TED[[#This Row],[CENTRO]],'CENTRO DE CUSTO'!B:E,4,FALSE)," ")</f>
        <v>FERNANDO SANTOS</v>
      </c>
      <c r="D1403" s="12">
        <v>229</v>
      </c>
      <c r="E1403" s="16">
        <v>229023</v>
      </c>
      <c r="F1403" s="10" t="s">
        <v>1915</v>
      </c>
      <c r="G1403" s="10">
        <v>220</v>
      </c>
      <c r="H1403" s="11">
        <v>45048</v>
      </c>
      <c r="I1403" s="10" t="s">
        <v>21</v>
      </c>
      <c r="J1403" s="12" t="str">
        <f>IF(OR(TED[[#This Row],[SITUACAO]]=1,TED[[#This Row],[SITUACAO]]=9,TED[[#This Row],[SITUACAO]]=18),"ATIVO","AFASTADO")</f>
        <v>ATIVO</v>
      </c>
      <c r="K1403" s="12">
        <v>1</v>
      </c>
    </row>
    <row r="1404" spans="1:11" x14ac:dyDescent="0.25">
      <c r="A1404" s="10">
        <v>45891</v>
      </c>
      <c r="B1404" s="9" t="s">
        <v>2239</v>
      </c>
      <c r="C1404" s="12" t="str">
        <f>IFERROR(VLOOKUP(TED[[#This Row],[CENTRO]],'CENTRO DE CUSTO'!B:E,4,FALSE)," ")</f>
        <v>FERNANDO SANTOS</v>
      </c>
      <c r="D1404" s="12">
        <v>229</v>
      </c>
      <c r="E1404" s="16">
        <v>229024</v>
      </c>
      <c r="F1404" s="10" t="s">
        <v>1916</v>
      </c>
      <c r="G1404" s="10">
        <v>220</v>
      </c>
      <c r="H1404" s="11">
        <v>46167</v>
      </c>
      <c r="I1404" s="10" t="s">
        <v>948</v>
      </c>
      <c r="J1404" s="12" t="str">
        <f>IF(OR(TED[[#This Row],[SITUACAO]]=1,TED[[#This Row],[SITUACAO]]=9,TED[[#This Row],[SITUACAO]]=18),"ATIVO","AFASTADO")</f>
        <v>ATIVO</v>
      </c>
      <c r="K1404" s="12">
        <v>1</v>
      </c>
    </row>
    <row r="1405" spans="1:11" x14ac:dyDescent="0.25">
      <c r="A1405" s="10">
        <v>29438</v>
      </c>
      <c r="B1405" s="9" t="s">
        <v>1606</v>
      </c>
      <c r="C1405" s="12" t="str">
        <f>IFERROR(VLOOKUP(TED[[#This Row],[CENTRO]],'CENTRO DE CUSTO'!B:E,4,FALSE)," ")</f>
        <v>FERNANDO SANTOS</v>
      </c>
      <c r="D1405" s="12">
        <v>229</v>
      </c>
      <c r="E1405" s="16">
        <v>229023</v>
      </c>
      <c r="F1405" s="10" t="s">
        <v>1915</v>
      </c>
      <c r="G1405" s="10">
        <v>220</v>
      </c>
      <c r="H1405" s="11">
        <v>45266</v>
      </c>
      <c r="I1405" s="10" t="s">
        <v>21</v>
      </c>
      <c r="J1405" s="12" t="str">
        <f>IF(OR(TED[[#This Row],[SITUACAO]]=1,TED[[#This Row],[SITUACAO]]=9,TED[[#This Row],[SITUACAO]]=18),"ATIVO","AFASTADO")</f>
        <v>ATIVO</v>
      </c>
      <c r="K1405" s="12">
        <v>1</v>
      </c>
    </row>
    <row r="1406" spans="1:11" x14ac:dyDescent="0.25">
      <c r="A1406" s="10">
        <v>25941</v>
      </c>
      <c r="B1406" s="9" t="s">
        <v>1646</v>
      </c>
      <c r="C1406" s="12" t="str">
        <f>IFERROR(VLOOKUP(TED[[#This Row],[CENTRO]],'CENTRO DE CUSTO'!B:E,4,FALSE)," ")</f>
        <v>FERNANDO SANTOS</v>
      </c>
      <c r="D1406" s="12">
        <v>229</v>
      </c>
      <c r="E1406" s="16">
        <v>229032</v>
      </c>
      <c r="F1406" s="10" t="s">
        <v>1924</v>
      </c>
      <c r="G1406" s="10">
        <v>220</v>
      </c>
      <c r="H1406" s="11">
        <v>45005</v>
      </c>
      <c r="I1406" s="10" t="s">
        <v>21</v>
      </c>
      <c r="J1406" s="12" t="str">
        <f>IF(OR(TED[[#This Row],[SITUACAO]]=1,TED[[#This Row],[SITUACAO]]=9,TED[[#This Row],[SITUACAO]]=18),"ATIVO","AFASTADO")</f>
        <v>ATIVO</v>
      </c>
      <c r="K1406" s="12">
        <v>1</v>
      </c>
    </row>
    <row r="1407" spans="1:11" x14ac:dyDescent="0.25">
      <c r="A1407" s="10">
        <v>25374</v>
      </c>
      <c r="B1407" s="9" t="s">
        <v>1612</v>
      </c>
      <c r="C1407" s="12" t="str">
        <f>IFERROR(VLOOKUP(TED[[#This Row],[CENTRO]],'CENTRO DE CUSTO'!B:E,4,FALSE)," ")</f>
        <v>FERNANDO SANTOS</v>
      </c>
      <c r="D1407" s="12">
        <v>229</v>
      </c>
      <c r="E1407" s="16">
        <v>229024</v>
      </c>
      <c r="F1407" s="10" t="s">
        <v>1916</v>
      </c>
      <c r="G1407" s="10">
        <v>220</v>
      </c>
      <c r="H1407" s="11">
        <v>44973</v>
      </c>
      <c r="I1407" s="10" t="s">
        <v>21</v>
      </c>
      <c r="J1407" s="12" t="str">
        <f>IF(OR(TED[[#This Row],[SITUACAO]]=1,TED[[#This Row],[SITUACAO]]=9,TED[[#This Row],[SITUACAO]]=18),"ATIVO","AFASTADO")</f>
        <v>ATIVO</v>
      </c>
      <c r="K1407" s="12">
        <v>1</v>
      </c>
    </row>
    <row r="1408" spans="1:11" x14ac:dyDescent="0.25">
      <c r="A1408" s="10">
        <v>25359</v>
      </c>
      <c r="B1408" s="9" t="s">
        <v>1590</v>
      </c>
      <c r="C1408" s="12" t="str">
        <f>IFERROR(VLOOKUP(TED[[#This Row],[CENTRO]],'CENTRO DE CUSTO'!B:E,4,FALSE)," ")</f>
        <v>FERNANDO SANTOS</v>
      </c>
      <c r="D1408" s="12">
        <v>229</v>
      </c>
      <c r="E1408" s="16">
        <v>229023</v>
      </c>
      <c r="F1408" s="10" t="s">
        <v>1915</v>
      </c>
      <c r="G1408" s="10">
        <v>220</v>
      </c>
      <c r="H1408" s="11">
        <v>44973</v>
      </c>
      <c r="I1408" s="10" t="s">
        <v>21</v>
      </c>
      <c r="J1408" s="12" t="str">
        <f>IF(OR(TED[[#This Row],[SITUACAO]]=1,TED[[#This Row],[SITUACAO]]=9,TED[[#This Row],[SITUACAO]]=18),"ATIVO","AFASTADO")</f>
        <v>ATIVO</v>
      </c>
      <c r="K1408" s="12">
        <v>1</v>
      </c>
    </row>
    <row r="1409" spans="1:11" x14ac:dyDescent="0.25">
      <c r="A1409" s="10">
        <v>43979</v>
      </c>
      <c r="B1409" s="9" t="s">
        <v>2091</v>
      </c>
      <c r="C1409" s="12" t="str">
        <f>IFERROR(VLOOKUP(TED[[#This Row],[CENTRO]],'CENTRO DE CUSTO'!B:E,4,FALSE)," ")</f>
        <v>FERNANDO SANTOS</v>
      </c>
      <c r="D1409" s="12">
        <v>229</v>
      </c>
      <c r="E1409" s="16">
        <v>229043</v>
      </c>
      <c r="F1409" s="10" t="s">
        <v>1935</v>
      </c>
      <c r="G1409" s="10">
        <v>220</v>
      </c>
      <c r="H1409" s="11">
        <v>46071</v>
      </c>
      <c r="I1409" s="10" t="s">
        <v>21</v>
      </c>
      <c r="J1409" s="12" t="str">
        <f>IF(OR(TED[[#This Row],[SITUACAO]]=1,TED[[#This Row],[SITUACAO]]=9,TED[[#This Row],[SITUACAO]]=18),"ATIVO","AFASTADO")</f>
        <v>ATIVO</v>
      </c>
      <c r="K1409" s="12">
        <v>1</v>
      </c>
    </row>
    <row r="1410" spans="1:11" x14ac:dyDescent="0.25">
      <c r="A1410" s="10">
        <v>25290</v>
      </c>
      <c r="B1410" s="9" t="s">
        <v>1640</v>
      </c>
      <c r="C1410" s="12" t="str">
        <f>IFERROR(VLOOKUP(TED[[#This Row],[CENTRO]],'CENTRO DE CUSTO'!B:E,4,FALSE)," ")</f>
        <v>FERNANDO SANTOS</v>
      </c>
      <c r="D1410" s="12">
        <v>229</v>
      </c>
      <c r="E1410" s="16">
        <v>229029</v>
      </c>
      <c r="F1410" s="10" t="s">
        <v>1921</v>
      </c>
      <c r="G1410" s="10">
        <v>220</v>
      </c>
      <c r="H1410" s="11">
        <v>44973</v>
      </c>
      <c r="I1410" s="10" t="s">
        <v>21</v>
      </c>
      <c r="J1410" s="12" t="str">
        <f>IF(OR(TED[[#This Row],[SITUACAO]]=1,TED[[#This Row],[SITUACAO]]=9,TED[[#This Row],[SITUACAO]]=18),"ATIVO","AFASTADO")</f>
        <v>ATIVO</v>
      </c>
      <c r="K1410" s="12">
        <v>1</v>
      </c>
    </row>
    <row r="1411" spans="1:11" x14ac:dyDescent="0.25">
      <c r="A1411" s="10">
        <v>25409</v>
      </c>
      <c r="B1411" s="9" t="s">
        <v>1662</v>
      </c>
      <c r="C1411" s="12" t="str">
        <f>IFERROR(VLOOKUP(TED[[#This Row],[CENTRO]],'CENTRO DE CUSTO'!B:E,4,FALSE)," ")</f>
        <v>FERNANDO SANTOS</v>
      </c>
      <c r="D1411" s="12">
        <v>229</v>
      </c>
      <c r="E1411" s="16">
        <v>229038</v>
      </c>
      <c r="F1411" s="10" t="s">
        <v>1930</v>
      </c>
      <c r="G1411" s="10">
        <v>220</v>
      </c>
      <c r="H1411" s="11">
        <v>44973</v>
      </c>
      <c r="I1411" s="10" t="s">
        <v>948</v>
      </c>
      <c r="J1411" s="12" t="str">
        <f>IF(OR(TED[[#This Row],[SITUACAO]]=1,TED[[#This Row],[SITUACAO]]=9,TED[[#This Row],[SITUACAO]]=18),"ATIVO","AFASTADO")</f>
        <v>ATIVO</v>
      </c>
      <c r="K1411" s="12">
        <v>1</v>
      </c>
    </row>
    <row r="1412" spans="1:11" x14ac:dyDescent="0.25">
      <c r="A1412" s="10">
        <v>25385</v>
      </c>
      <c r="B1412" s="9" t="s">
        <v>1648</v>
      </c>
      <c r="C1412" s="12" t="str">
        <f>IFERROR(VLOOKUP(TED[[#This Row],[CENTRO]],'CENTRO DE CUSTO'!B:E,4,FALSE)," ")</f>
        <v>FERNANDO SANTOS</v>
      </c>
      <c r="D1412" s="12">
        <v>229</v>
      </c>
      <c r="E1412" s="16">
        <v>229033</v>
      </c>
      <c r="F1412" s="10" t="s">
        <v>1925</v>
      </c>
      <c r="G1412" s="10">
        <v>220</v>
      </c>
      <c r="H1412" s="11">
        <v>44973</v>
      </c>
      <c r="I1412" s="10" t="s">
        <v>948</v>
      </c>
      <c r="J1412" s="12" t="str">
        <f>IF(OR(TED[[#This Row],[SITUACAO]]=1,TED[[#This Row],[SITUACAO]]=9,TED[[#This Row],[SITUACAO]]=18),"ATIVO","AFASTADO")</f>
        <v>ATIVO</v>
      </c>
      <c r="K1412" s="12">
        <v>1</v>
      </c>
    </row>
    <row r="1413" spans="1:11" x14ac:dyDescent="0.25">
      <c r="A1413" s="10">
        <v>25399</v>
      </c>
      <c r="B1413" s="9" t="s">
        <v>1652</v>
      </c>
      <c r="C1413" s="12" t="str">
        <f>IFERROR(VLOOKUP(TED[[#This Row],[CENTRO]],'CENTRO DE CUSTO'!B:E,4,FALSE)," ")</f>
        <v>FERNANDO SANTOS</v>
      </c>
      <c r="D1413" s="12">
        <v>229</v>
      </c>
      <c r="E1413" s="16">
        <v>229034</v>
      </c>
      <c r="F1413" s="10" t="s">
        <v>1926</v>
      </c>
      <c r="G1413" s="10">
        <v>220</v>
      </c>
      <c r="H1413" s="11">
        <v>44973</v>
      </c>
      <c r="I1413" s="10" t="s">
        <v>21</v>
      </c>
      <c r="J1413" s="12" t="str">
        <f>IF(OR(TED[[#This Row],[SITUACAO]]=1,TED[[#This Row],[SITUACAO]]=9,TED[[#This Row],[SITUACAO]]=18),"ATIVO","AFASTADO")</f>
        <v>ATIVO</v>
      </c>
      <c r="K1413" s="12">
        <v>1</v>
      </c>
    </row>
    <row r="1414" spans="1:11" x14ac:dyDescent="0.25">
      <c r="A1414" s="10">
        <v>43223</v>
      </c>
      <c r="B1414" s="9" t="s">
        <v>2051</v>
      </c>
      <c r="C1414" s="12" t="str">
        <f>IFERROR(VLOOKUP(TED[[#This Row],[CENTRO]],'CENTRO DE CUSTO'!B:E,4,FALSE)," ")</f>
        <v>FERNANDO SANTOS</v>
      </c>
      <c r="D1414" s="12">
        <v>229</v>
      </c>
      <c r="E1414" s="16">
        <v>229023</v>
      </c>
      <c r="F1414" s="10" t="s">
        <v>1915</v>
      </c>
      <c r="G1414" s="10">
        <v>220</v>
      </c>
      <c r="H1414" s="11">
        <v>46034</v>
      </c>
      <c r="I1414" s="10" t="s">
        <v>21</v>
      </c>
      <c r="J1414" s="12" t="str">
        <f>IF(OR(TED[[#This Row],[SITUACAO]]=1,TED[[#This Row],[SITUACAO]]=9,TED[[#This Row],[SITUACAO]]=18),"ATIVO","AFASTADO")</f>
        <v>ATIVO</v>
      </c>
      <c r="K1414" s="12">
        <v>1</v>
      </c>
    </row>
    <row r="1415" spans="1:11" x14ac:dyDescent="0.25">
      <c r="A1415" s="10">
        <v>25361</v>
      </c>
      <c r="B1415" s="9" t="s">
        <v>1261</v>
      </c>
      <c r="C1415" s="12" t="str">
        <f>IFERROR(VLOOKUP(TED[[#This Row],[CENTRO]],'CENTRO DE CUSTO'!B:E,4,FALSE)," ")</f>
        <v>FERNANDO SANTOS</v>
      </c>
      <c r="D1415" s="12">
        <v>229</v>
      </c>
      <c r="E1415" s="16">
        <v>229023</v>
      </c>
      <c r="F1415" s="10" t="s">
        <v>1915</v>
      </c>
      <c r="G1415" s="10">
        <v>220</v>
      </c>
      <c r="H1415" s="11">
        <v>44973</v>
      </c>
      <c r="I1415" s="10" t="s">
        <v>21</v>
      </c>
      <c r="J1415" s="12" t="str">
        <f>IF(OR(TED[[#This Row],[SITUACAO]]=1,TED[[#This Row],[SITUACAO]]=9,TED[[#This Row],[SITUACAO]]=18),"ATIVO","AFASTADO")</f>
        <v>ATIVO</v>
      </c>
      <c r="K1415" s="12">
        <v>1</v>
      </c>
    </row>
    <row r="1416" spans="1:11" x14ac:dyDescent="0.25">
      <c r="A1416" s="10">
        <v>43279</v>
      </c>
      <c r="B1416" s="9" t="s">
        <v>2052</v>
      </c>
      <c r="C1416" s="12" t="str">
        <f>IFERROR(VLOOKUP(TED[[#This Row],[CENTRO]],'CENTRO DE CUSTO'!B:E,4,FALSE)," ")</f>
        <v>FERNANDO SANTOS</v>
      </c>
      <c r="D1416" s="12">
        <v>229</v>
      </c>
      <c r="E1416" s="16">
        <v>229043</v>
      </c>
      <c r="F1416" s="10" t="s">
        <v>1935</v>
      </c>
      <c r="G1416" s="10">
        <v>220</v>
      </c>
      <c r="H1416" s="11">
        <v>46037</v>
      </c>
      <c r="I1416" s="10" t="s">
        <v>21</v>
      </c>
      <c r="J1416" s="12" t="str">
        <f>IF(OR(TED[[#This Row],[SITUACAO]]=1,TED[[#This Row],[SITUACAO]]=9,TED[[#This Row],[SITUACAO]]=18),"ATIVO","AFASTADO")</f>
        <v>ATIVO</v>
      </c>
      <c r="K1416" s="12">
        <v>1</v>
      </c>
    </row>
    <row r="1417" spans="1:11" x14ac:dyDescent="0.25">
      <c r="A1417" s="10">
        <v>25401</v>
      </c>
      <c r="B1417" s="9" t="s">
        <v>1664</v>
      </c>
      <c r="C1417" s="12" t="str">
        <f>IFERROR(VLOOKUP(TED[[#This Row],[CENTRO]],'CENTRO DE CUSTO'!B:E,4,FALSE)," ")</f>
        <v>FERNANDO SANTOS</v>
      </c>
      <c r="D1417" s="12">
        <v>229</v>
      </c>
      <c r="E1417" s="16">
        <v>229039</v>
      </c>
      <c r="F1417" s="10" t="s">
        <v>1931</v>
      </c>
      <c r="G1417" s="10">
        <v>220</v>
      </c>
      <c r="H1417" s="11">
        <v>44973</v>
      </c>
      <c r="I1417" s="10" t="s">
        <v>948</v>
      </c>
      <c r="J1417" s="12" t="str">
        <f>IF(OR(TED[[#This Row],[SITUACAO]]=1,TED[[#This Row],[SITUACAO]]=9,TED[[#This Row],[SITUACAO]]=18),"ATIVO","AFASTADO")</f>
        <v>ATIVO</v>
      </c>
      <c r="K1417" s="12">
        <v>1</v>
      </c>
    </row>
    <row r="1418" spans="1:11" x14ac:dyDescent="0.25">
      <c r="A1418" s="10">
        <v>35160</v>
      </c>
      <c r="B1418" s="9" t="s">
        <v>1638</v>
      </c>
      <c r="C1418" s="12" t="str">
        <f>IFERROR(VLOOKUP(TED[[#This Row],[CENTRO]],'CENTRO DE CUSTO'!B:E,4,FALSE)," ")</f>
        <v>FERNANDO SANTOS</v>
      </c>
      <c r="D1418" s="12">
        <v>229</v>
      </c>
      <c r="E1418" s="16">
        <v>229029</v>
      </c>
      <c r="F1418" s="10" t="s">
        <v>1921</v>
      </c>
      <c r="G1418" s="10">
        <v>220</v>
      </c>
      <c r="H1418" s="11">
        <v>45684</v>
      </c>
      <c r="I1418" s="10" t="s">
        <v>948</v>
      </c>
      <c r="J1418" s="12" t="str">
        <f>IF(OR(TED[[#This Row],[SITUACAO]]=1,TED[[#This Row],[SITUACAO]]=9,TED[[#This Row],[SITUACAO]]=18),"ATIVO","AFASTADO")</f>
        <v>ATIVO</v>
      </c>
      <c r="K1418" s="12">
        <v>1</v>
      </c>
    </row>
    <row r="1419" spans="1:11" x14ac:dyDescent="0.25">
      <c r="A1419" s="10">
        <v>25304</v>
      </c>
      <c r="B1419" s="9" t="s">
        <v>1622</v>
      </c>
      <c r="C1419" s="12" t="str">
        <f>IFERROR(VLOOKUP(TED[[#This Row],[CENTRO]],'CENTRO DE CUSTO'!B:E,4,FALSE)," ")</f>
        <v>FERNANDO SANTOS</v>
      </c>
      <c r="D1419" s="12">
        <v>229</v>
      </c>
      <c r="E1419" s="16">
        <v>229026</v>
      </c>
      <c r="F1419" s="10" t="s">
        <v>1918</v>
      </c>
      <c r="G1419" s="10">
        <v>220</v>
      </c>
      <c r="H1419" s="11">
        <v>44973</v>
      </c>
      <c r="I1419" s="10" t="s">
        <v>21</v>
      </c>
      <c r="J1419" s="12" t="str">
        <f>IF(OR(TED[[#This Row],[SITUACAO]]=1,TED[[#This Row],[SITUACAO]]=9,TED[[#This Row],[SITUACAO]]=18),"ATIVO","AFASTADO")</f>
        <v>ATIVO</v>
      </c>
      <c r="K1419" s="12">
        <v>1</v>
      </c>
    </row>
    <row r="1420" spans="1:11" x14ac:dyDescent="0.25">
      <c r="A1420" s="10">
        <v>45170</v>
      </c>
      <c r="B1420" s="9" t="s">
        <v>2182</v>
      </c>
      <c r="C1420" s="12" t="str">
        <f>IFERROR(VLOOKUP(TED[[#This Row],[CENTRO]],'CENTRO DE CUSTO'!B:E,4,FALSE)," ")</f>
        <v>FERNANDO SANTOS</v>
      </c>
      <c r="D1420" s="12">
        <v>229</v>
      </c>
      <c r="E1420" s="16">
        <v>229026</v>
      </c>
      <c r="F1420" s="10" t="s">
        <v>1918</v>
      </c>
      <c r="G1420" s="10">
        <v>220</v>
      </c>
      <c r="H1420" s="11">
        <v>46134</v>
      </c>
      <c r="I1420" s="10" t="s">
        <v>21</v>
      </c>
      <c r="J1420" s="12" t="str">
        <f>IF(OR(TED[[#This Row],[SITUACAO]]=1,TED[[#This Row],[SITUACAO]]=9,TED[[#This Row],[SITUACAO]]=18),"ATIVO","AFASTADO")</f>
        <v>ATIVO</v>
      </c>
      <c r="K1420" s="12">
        <v>1</v>
      </c>
    </row>
    <row r="1421" spans="1:11" x14ac:dyDescent="0.25">
      <c r="A1421" s="10">
        <v>33588</v>
      </c>
      <c r="B1421" s="9" t="s">
        <v>1643</v>
      </c>
      <c r="C1421" s="12" t="str">
        <f>IFERROR(VLOOKUP(TED[[#This Row],[CENTRO]],'CENTRO DE CUSTO'!B:E,4,FALSE)," ")</f>
        <v>FERNANDO SANTOS</v>
      </c>
      <c r="D1421" s="12">
        <v>229</v>
      </c>
      <c r="E1421" s="16">
        <v>229030</v>
      </c>
      <c r="F1421" s="10" t="s">
        <v>1922</v>
      </c>
      <c r="G1421" s="10">
        <v>220</v>
      </c>
      <c r="H1421" s="11">
        <v>45523</v>
      </c>
      <c r="I1421" s="10" t="s">
        <v>948</v>
      </c>
      <c r="J1421" s="12" t="str">
        <f>IF(OR(TED[[#This Row],[SITUACAO]]=1,TED[[#This Row],[SITUACAO]]=9,TED[[#This Row],[SITUACAO]]=18),"ATIVO","AFASTADO")</f>
        <v>ATIVO</v>
      </c>
      <c r="K1421" s="12">
        <v>1</v>
      </c>
    </row>
    <row r="1422" spans="1:11" x14ac:dyDescent="0.25">
      <c r="A1422" s="10">
        <v>41422</v>
      </c>
      <c r="B1422" s="9" t="s">
        <v>1628</v>
      </c>
      <c r="C1422" s="12" t="str">
        <f>IFERROR(VLOOKUP(TED[[#This Row],[CENTRO]],'CENTRO DE CUSTO'!B:E,4,FALSE)," ")</f>
        <v>FERNANDO SANTOS</v>
      </c>
      <c r="D1422" s="12">
        <v>229</v>
      </c>
      <c r="E1422" s="16">
        <v>229026</v>
      </c>
      <c r="F1422" s="10" t="s">
        <v>1918</v>
      </c>
      <c r="G1422" s="10">
        <v>220</v>
      </c>
      <c r="H1422" s="11">
        <v>45929</v>
      </c>
      <c r="I1422" s="10" t="s">
        <v>21</v>
      </c>
      <c r="J1422" s="12" t="str">
        <f>IF(OR(TED[[#This Row],[SITUACAO]]=1,TED[[#This Row],[SITUACAO]]=9,TED[[#This Row],[SITUACAO]]=18),"ATIVO","AFASTADO")</f>
        <v>ATIVO</v>
      </c>
      <c r="K1422" s="12">
        <v>1</v>
      </c>
    </row>
    <row r="1423" spans="1:11" x14ac:dyDescent="0.25">
      <c r="A1423" s="10">
        <v>28681</v>
      </c>
      <c r="B1423" s="9" t="s">
        <v>1582</v>
      </c>
      <c r="C1423" s="12" t="str">
        <f>IFERROR(VLOOKUP(TED[[#This Row],[CENTRO]],'CENTRO DE CUSTO'!B:E,4,FALSE)," ")</f>
        <v>FERNANDO SANTOS</v>
      </c>
      <c r="D1423" s="12">
        <v>229</v>
      </c>
      <c r="E1423" s="16">
        <v>229021</v>
      </c>
      <c r="F1423" s="10" t="s">
        <v>1914</v>
      </c>
      <c r="G1423" s="10">
        <v>220</v>
      </c>
      <c r="H1423" s="11">
        <v>45201</v>
      </c>
      <c r="I1423" s="10" t="s">
        <v>948</v>
      </c>
      <c r="J1423" s="12" t="str">
        <f>IF(OR(TED[[#This Row],[SITUACAO]]=1,TED[[#This Row],[SITUACAO]]=9,TED[[#This Row],[SITUACAO]]=18),"ATIVO","AFASTADO")</f>
        <v>ATIVO</v>
      </c>
      <c r="K1423" s="12">
        <v>1</v>
      </c>
    </row>
    <row r="1424" spans="1:11" x14ac:dyDescent="0.25">
      <c r="A1424" s="10">
        <v>43118</v>
      </c>
      <c r="B1424" s="9" t="s">
        <v>1641</v>
      </c>
      <c r="C1424" s="12" t="str">
        <f>IFERROR(VLOOKUP(TED[[#This Row],[CENTRO]],'CENTRO DE CUSTO'!B:E,4,FALSE)," ")</f>
        <v>FERNANDO SANTOS</v>
      </c>
      <c r="D1424" s="12">
        <v>229</v>
      </c>
      <c r="E1424" s="16">
        <v>229029</v>
      </c>
      <c r="F1424" s="10" t="s">
        <v>1921</v>
      </c>
      <c r="G1424" s="10">
        <v>220</v>
      </c>
      <c r="H1424" s="11">
        <v>46013</v>
      </c>
      <c r="I1424" s="10" t="s">
        <v>21</v>
      </c>
      <c r="J1424" s="12" t="str">
        <f>IF(OR(TED[[#This Row],[SITUACAO]]=1,TED[[#This Row],[SITUACAO]]=9,TED[[#This Row],[SITUACAO]]=18),"ATIVO","AFASTADO")</f>
        <v>ATIVO</v>
      </c>
      <c r="K1424" s="12">
        <v>1</v>
      </c>
    </row>
    <row r="1425" spans="1:11" x14ac:dyDescent="0.25">
      <c r="A1425" s="10">
        <v>25400</v>
      </c>
      <c r="B1425" s="9" t="s">
        <v>1651</v>
      </c>
      <c r="C1425" s="12" t="str">
        <f>IFERROR(VLOOKUP(TED[[#This Row],[CENTRO]],'CENTRO DE CUSTO'!B:E,4,FALSE)," ")</f>
        <v>FERNANDO SANTOS</v>
      </c>
      <c r="D1425" s="12">
        <v>229</v>
      </c>
      <c r="E1425" s="16">
        <v>229034</v>
      </c>
      <c r="F1425" s="10" t="s">
        <v>1926</v>
      </c>
      <c r="G1425" s="10">
        <v>220</v>
      </c>
      <c r="H1425" s="11">
        <v>44973</v>
      </c>
      <c r="I1425" s="10" t="s">
        <v>21</v>
      </c>
      <c r="J1425" s="12" t="str">
        <f>IF(OR(TED[[#This Row],[SITUACAO]]=1,TED[[#This Row],[SITUACAO]]=9,TED[[#This Row],[SITUACAO]]=18),"ATIVO","AFASTADO")</f>
        <v>ATIVO</v>
      </c>
      <c r="K1425" s="12">
        <v>1</v>
      </c>
    </row>
    <row r="1426" spans="1:11" x14ac:dyDescent="0.25">
      <c r="A1426" s="10">
        <v>45582</v>
      </c>
      <c r="B1426" s="9" t="s">
        <v>2237</v>
      </c>
      <c r="C1426" s="12" t="str">
        <f>IFERROR(VLOOKUP(TED[[#This Row],[CENTRO]],'CENTRO DE CUSTO'!B:E,4,FALSE)," ")</f>
        <v>FERNANDO SANTOS</v>
      </c>
      <c r="D1426" s="12">
        <v>229</v>
      </c>
      <c r="E1426" s="16">
        <v>229023</v>
      </c>
      <c r="F1426" s="10" t="s">
        <v>1915</v>
      </c>
      <c r="G1426" s="10">
        <v>220</v>
      </c>
      <c r="H1426" s="11">
        <v>46155</v>
      </c>
      <c r="I1426" s="10" t="s">
        <v>948</v>
      </c>
      <c r="J1426" s="12" t="str">
        <f>IF(OR(TED[[#This Row],[SITUACAO]]=1,TED[[#This Row],[SITUACAO]]=9,TED[[#This Row],[SITUACAO]]=18),"ATIVO","AFASTADO")</f>
        <v>ATIVO</v>
      </c>
      <c r="K1426" s="12">
        <v>1</v>
      </c>
    </row>
    <row r="1427" spans="1:11" x14ac:dyDescent="0.25">
      <c r="A1427" s="10">
        <v>39746</v>
      </c>
      <c r="B1427" s="9" t="s">
        <v>1630</v>
      </c>
      <c r="C1427" s="12" t="str">
        <f>IFERROR(VLOOKUP(TED[[#This Row],[CENTRO]],'CENTRO DE CUSTO'!B:E,4,FALSE)," ")</f>
        <v>FERNANDO SANTOS</v>
      </c>
      <c r="D1427" s="12">
        <v>229</v>
      </c>
      <c r="E1427" s="16">
        <v>229026</v>
      </c>
      <c r="F1427" s="10" t="s">
        <v>1918</v>
      </c>
      <c r="G1427" s="10">
        <v>220</v>
      </c>
      <c r="H1427" s="11">
        <v>45868</v>
      </c>
      <c r="I1427" s="10" t="s">
        <v>944</v>
      </c>
      <c r="J1427" s="12" t="str">
        <f>IF(OR(TED[[#This Row],[SITUACAO]]=1,TED[[#This Row],[SITUACAO]]=9,TED[[#This Row],[SITUACAO]]=18),"ATIVO","AFASTADO")</f>
        <v>ATIVO</v>
      </c>
      <c r="K1427" s="12">
        <v>1</v>
      </c>
    </row>
    <row r="1428" spans="1:11" x14ac:dyDescent="0.25">
      <c r="A1428" s="10">
        <v>25338</v>
      </c>
      <c r="B1428" s="9" t="s">
        <v>1647</v>
      </c>
      <c r="C1428" s="12" t="str">
        <f>IFERROR(VLOOKUP(TED[[#This Row],[CENTRO]],'CENTRO DE CUSTO'!B:E,4,FALSE)," ")</f>
        <v>FERNANDO SANTOS</v>
      </c>
      <c r="D1428" s="12">
        <v>229</v>
      </c>
      <c r="E1428" s="16">
        <v>229033</v>
      </c>
      <c r="F1428" s="10" t="s">
        <v>1925</v>
      </c>
      <c r="G1428" s="10">
        <v>220</v>
      </c>
      <c r="H1428" s="11">
        <v>44973</v>
      </c>
      <c r="I1428" s="10" t="s">
        <v>21</v>
      </c>
      <c r="J1428" s="12" t="str">
        <f>IF(OR(TED[[#This Row],[SITUACAO]]=1,TED[[#This Row],[SITUACAO]]=9,TED[[#This Row],[SITUACAO]]=18),"ATIVO","AFASTADO")</f>
        <v>ATIVO</v>
      </c>
      <c r="K1428" s="12">
        <v>1</v>
      </c>
    </row>
    <row r="1429" spans="1:11" x14ac:dyDescent="0.25">
      <c r="A1429" s="10">
        <v>47420</v>
      </c>
      <c r="B1429" s="9" t="s">
        <v>2359</v>
      </c>
      <c r="C1429" s="12" t="str">
        <f>IFERROR(VLOOKUP(TED[[#This Row],[CENTRO]],'CENTRO DE CUSTO'!B:E,4,FALSE)," ")</f>
        <v>FERNANDO SANTOS</v>
      </c>
      <c r="D1429" s="12">
        <v>229</v>
      </c>
      <c r="E1429" s="16">
        <v>229043</v>
      </c>
      <c r="F1429" s="10" t="s">
        <v>1935</v>
      </c>
      <c r="G1429" s="10">
        <v>220</v>
      </c>
      <c r="H1429" s="11">
        <v>46204</v>
      </c>
      <c r="I1429" s="10" t="s">
        <v>21</v>
      </c>
      <c r="J1429" s="12" t="str">
        <f>IF(OR(TED[[#This Row],[SITUACAO]]=1,TED[[#This Row],[SITUACAO]]=9,TED[[#This Row],[SITUACAO]]=18),"ATIVO","AFASTADO")</f>
        <v>ATIVO</v>
      </c>
      <c r="K1429" s="12">
        <v>1</v>
      </c>
    </row>
    <row r="1430" spans="1:11" x14ac:dyDescent="0.25">
      <c r="A1430" s="10">
        <v>25364</v>
      </c>
      <c r="B1430" s="9" t="s">
        <v>1608</v>
      </c>
      <c r="C1430" s="12" t="str">
        <f>IFERROR(VLOOKUP(TED[[#This Row],[CENTRO]],'CENTRO DE CUSTO'!B:E,4,FALSE)," ")</f>
        <v>FERNANDO SANTOS</v>
      </c>
      <c r="D1430" s="12">
        <v>229</v>
      </c>
      <c r="E1430" s="16">
        <v>229024</v>
      </c>
      <c r="F1430" s="10" t="s">
        <v>1916</v>
      </c>
      <c r="G1430" s="10">
        <v>220</v>
      </c>
      <c r="H1430" s="11">
        <v>44973</v>
      </c>
      <c r="I1430" s="10" t="s">
        <v>21</v>
      </c>
      <c r="J1430" s="12" t="str">
        <f>IF(OR(TED[[#This Row],[SITUACAO]]=1,TED[[#This Row],[SITUACAO]]=9,TED[[#This Row],[SITUACAO]]=18),"ATIVO","AFASTADO")</f>
        <v>ATIVO</v>
      </c>
      <c r="K1430" s="12">
        <v>1</v>
      </c>
    </row>
    <row r="1431" spans="1:11" x14ac:dyDescent="0.25">
      <c r="A1431" s="10">
        <v>25330</v>
      </c>
      <c r="B1431" s="9" t="s">
        <v>1618</v>
      </c>
      <c r="C1431" s="12" t="str">
        <f>IFERROR(VLOOKUP(TED[[#This Row],[CENTRO]],'CENTRO DE CUSTO'!B:E,4,FALSE)," ")</f>
        <v>FERNANDO SANTOS</v>
      </c>
      <c r="D1431" s="12">
        <v>229</v>
      </c>
      <c r="E1431" s="16">
        <v>229025</v>
      </c>
      <c r="F1431" s="10" t="s">
        <v>1917</v>
      </c>
      <c r="G1431" s="10">
        <v>220</v>
      </c>
      <c r="H1431" s="11">
        <v>44973</v>
      </c>
      <c r="I1431" s="10" t="s">
        <v>21</v>
      </c>
      <c r="J1431" s="12" t="str">
        <f>IF(OR(TED[[#This Row],[SITUACAO]]=1,TED[[#This Row],[SITUACAO]]=9,TED[[#This Row],[SITUACAO]]=18),"ATIVO","AFASTADO")</f>
        <v>ATIVO</v>
      </c>
      <c r="K1431" s="12">
        <v>1</v>
      </c>
    </row>
    <row r="1432" spans="1:11" x14ac:dyDescent="0.25">
      <c r="A1432" s="10">
        <v>25692</v>
      </c>
      <c r="B1432" s="9" t="s">
        <v>1013</v>
      </c>
      <c r="C1432" s="12" t="str">
        <f>IFERROR(VLOOKUP(TED[[#This Row],[CENTRO]],'CENTRO DE CUSTO'!B:E,4,FALSE)," ")</f>
        <v>CLEVERTON RODRIGO</v>
      </c>
      <c r="D1432" s="12">
        <v>231</v>
      </c>
      <c r="E1432" s="16">
        <v>231000</v>
      </c>
      <c r="F1432" s="10" t="s">
        <v>1936</v>
      </c>
      <c r="G1432" s="10">
        <v>220</v>
      </c>
      <c r="H1432" s="11">
        <v>44993</v>
      </c>
      <c r="I1432" s="10" t="s">
        <v>948</v>
      </c>
      <c r="J1432" s="12" t="str">
        <f>IF(OR(TED[[#This Row],[SITUACAO]]=1,TED[[#This Row],[SITUACAO]]=9,TED[[#This Row],[SITUACAO]]=18),"ATIVO","AFASTADO")</f>
        <v>ATIVO</v>
      </c>
      <c r="K1432" s="12">
        <v>1</v>
      </c>
    </row>
    <row r="1433" spans="1:11" x14ac:dyDescent="0.25">
      <c r="A1433" s="10">
        <v>25803</v>
      </c>
      <c r="B1433" s="9" t="s">
        <v>1738</v>
      </c>
      <c r="C1433" s="12" t="str">
        <f>IFERROR(VLOOKUP(TED[[#This Row],[CENTRO]],'CENTRO DE CUSTO'!B:E,4,FALSE)," ")</f>
        <v>CLEVERTON RODRIGO</v>
      </c>
      <c r="D1433" s="12">
        <v>231</v>
      </c>
      <c r="E1433" s="16">
        <v>231021</v>
      </c>
      <c r="F1433" s="10" t="s">
        <v>1957</v>
      </c>
      <c r="G1433" s="10">
        <v>220</v>
      </c>
      <c r="H1433" s="11">
        <v>44993</v>
      </c>
      <c r="I1433" s="10" t="s">
        <v>948</v>
      </c>
      <c r="J1433" s="12" t="str">
        <f>IF(OR(TED[[#This Row],[SITUACAO]]=1,TED[[#This Row],[SITUACAO]]=9,TED[[#This Row],[SITUACAO]]=18),"ATIVO","AFASTADO")</f>
        <v>ATIVO</v>
      </c>
      <c r="K1433" s="12">
        <v>1</v>
      </c>
    </row>
    <row r="1434" spans="1:11" x14ac:dyDescent="0.25">
      <c r="A1434" s="10">
        <v>32812</v>
      </c>
      <c r="B1434" s="9" t="s">
        <v>1742</v>
      </c>
      <c r="C1434" s="12" t="str">
        <f>IFERROR(VLOOKUP(TED[[#This Row],[CENTRO]],'CENTRO DE CUSTO'!B:E,4,FALSE)," ")</f>
        <v>CLEVERTON RODRIGO</v>
      </c>
      <c r="D1434" s="12">
        <v>231</v>
      </c>
      <c r="E1434" s="16">
        <v>231024</v>
      </c>
      <c r="F1434" s="10" t="s">
        <v>1960</v>
      </c>
      <c r="G1434" s="10">
        <v>220</v>
      </c>
      <c r="H1434" s="11">
        <v>45449</v>
      </c>
      <c r="I1434" s="10" t="s">
        <v>21</v>
      </c>
      <c r="J1434" s="12" t="str">
        <f>IF(OR(TED[[#This Row],[SITUACAO]]=1,TED[[#This Row],[SITUACAO]]=9,TED[[#This Row],[SITUACAO]]=18),"ATIVO","AFASTADO")</f>
        <v>ATIVO</v>
      </c>
      <c r="K1434" s="12">
        <v>1</v>
      </c>
    </row>
    <row r="1435" spans="1:11" x14ac:dyDescent="0.25">
      <c r="A1435" s="10">
        <v>41888</v>
      </c>
      <c r="B1435" s="9" t="s">
        <v>1691</v>
      </c>
      <c r="C1435" s="12" t="str">
        <f>IFERROR(VLOOKUP(TED[[#This Row],[CENTRO]],'CENTRO DE CUSTO'!B:E,4,FALSE)," ")</f>
        <v>CLEVERTON RODRIGO</v>
      </c>
      <c r="D1435" s="12">
        <v>231</v>
      </c>
      <c r="E1435" s="16">
        <v>231006</v>
      </c>
      <c r="F1435" s="10" t="s">
        <v>1942</v>
      </c>
      <c r="G1435" s="10">
        <v>220</v>
      </c>
      <c r="H1435" s="11">
        <v>45964</v>
      </c>
      <c r="I1435" s="10" t="s">
        <v>21</v>
      </c>
      <c r="J1435" s="12" t="str">
        <f>IF(OR(TED[[#This Row],[SITUACAO]]=1,TED[[#This Row],[SITUACAO]]=9,TED[[#This Row],[SITUACAO]]=18),"ATIVO","AFASTADO")</f>
        <v>ATIVO</v>
      </c>
      <c r="K1435" s="12">
        <v>1</v>
      </c>
    </row>
    <row r="1436" spans="1:11" x14ac:dyDescent="0.25">
      <c r="A1436" s="10">
        <v>25768</v>
      </c>
      <c r="B1436" s="9" t="s">
        <v>1011</v>
      </c>
      <c r="C1436" s="12" t="str">
        <f>IFERROR(VLOOKUP(TED[[#This Row],[CENTRO]],'CENTRO DE CUSTO'!B:E,4,FALSE)," ")</f>
        <v>CLEVERTON RODRIGO</v>
      </c>
      <c r="D1436" s="12">
        <v>231</v>
      </c>
      <c r="E1436" s="16">
        <v>231015</v>
      </c>
      <c r="F1436" s="10" t="s">
        <v>1951</v>
      </c>
      <c r="G1436" s="10">
        <v>220</v>
      </c>
      <c r="H1436" s="11">
        <v>44993</v>
      </c>
      <c r="I1436" s="10" t="s">
        <v>948</v>
      </c>
      <c r="J1436" s="12" t="str">
        <f>IF(OR(TED[[#This Row],[SITUACAO]]=1,TED[[#This Row],[SITUACAO]]=9,TED[[#This Row],[SITUACAO]]=18),"ATIVO","AFASTADO")</f>
        <v>ATIVO</v>
      </c>
      <c r="K1436" s="12">
        <v>1</v>
      </c>
    </row>
    <row r="1437" spans="1:11" x14ac:dyDescent="0.25">
      <c r="A1437" s="10">
        <v>41495</v>
      </c>
      <c r="B1437" s="9" t="s">
        <v>1743</v>
      </c>
      <c r="C1437" s="12" t="str">
        <f>IFERROR(VLOOKUP(TED[[#This Row],[CENTRO]],'CENTRO DE CUSTO'!B:E,4,FALSE)," ")</f>
        <v>CLEVERTON RODRIGO</v>
      </c>
      <c r="D1437" s="12">
        <v>231</v>
      </c>
      <c r="E1437" s="16">
        <v>231024</v>
      </c>
      <c r="F1437" s="10" t="s">
        <v>1960</v>
      </c>
      <c r="G1437" s="10">
        <v>220</v>
      </c>
      <c r="H1437" s="11">
        <v>45931</v>
      </c>
      <c r="I1437" s="10" t="s">
        <v>21</v>
      </c>
      <c r="J1437" s="12" t="str">
        <f>IF(OR(TED[[#This Row],[SITUACAO]]=1,TED[[#This Row],[SITUACAO]]=9,TED[[#This Row],[SITUACAO]]=18),"ATIVO","AFASTADO")</f>
        <v>ATIVO</v>
      </c>
      <c r="K1437" s="12">
        <v>1</v>
      </c>
    </row>
    <row r="1438" spans="1:11" x14ac:dyDescent="0.25">
      <c r="A1438" s="10">
        <v>40094</v>
      </c>
      <c r="B1438" s="9" t="s">
        <v>1718</v>
      </c>
      <c r="C1438" s="12" t="str">
        <f>IFERROR(VLOOKUP(TED[[#This Row],[CENTRO]],'CENTRO DE CUSTO'!B:E,4,FALSE)," ")</f>
        <v>CLEVERTON RODRIGO</v>
      </c>
      <c r="D1438" s="12">
        <v>231</v>
      </c>
      <c r="E1438" s="16">
        <v>231014</v>
      </c>
      <c r="F1438" s="10" t="s">
        <v>1950</v>
      </c>
      <c r="G1438" s="10">
        <v>220</v>
      </c>
      <c r="H1438" s="11">
        <v>45894</v>
      </c>
      <c r="I1438" s="10" t="s">
        <v>948</v>
      </c>
      <c r="J1438" s="12" t="str">
        <f>IF(OR(TED[[#This Row],[SITUACAO]]=1,TED[[#This Row],[SITUACAO]]=9,TED[[#This Row],[SITUACAO]]=18),"ATIVO","AFASTADO")</f>
        <v>ATIVO</v>
      </c>
      <c r="K1438" s="12">
        <v>1</v>
      </c>
    </row>
    <row r="1439" spans="1:11" x14ac:dyDescent="0.25">
      <c r="A1439" s="10">
        <v>25775</v>
      </c>
      <c r="B1439" s="9" t="s">
        <v>1721</v>
      </c>
      <c r="C1439" s="12" t="str">
        <f>IFERROR(VLOOKUP(TED[[#This Row],[CENTRO]],'CENTRO DE CUSTO'!B:E,4,FALSE)," ")</f>
        <v>CLEVERTON RODRIGO</v>
      </c>
      <c r="D1439" s="12">
        <v>231</v>
      </c>
      <c r="E1439" s="16">
        <v>231014</v>
      </c>
      <c r="F1439" s="10" t="s">
        <v>1950</v>
      </c>
      <c r="G1439" s="10">
        <v>220</v>
      </c>
      <c r="H1439" s="11">
        <v>44993</v>
      </c>
      <c r="I1439" s="10" t="s">
        <v>944</v>
      </c>
      <c r="J1439" s="12" t="str">
        <f>IF(OR(TED[[#This Row],[SITUACAO]]=1,TED[[#This Row],[SITUACAO]]=9,TED[[#This Row],[SITUACAO]]=18),"ATIVO","AFASTADO")</f>
        <v>ATIVO</v>
      </c>
      <c r="K1439" s="12">
        <v>1</v>
      </c>
    </row>
    <row r="1440" spans="1:11" x14ac:dyDescent="0.25">
      <c r="A1440" s="10">
        <v>29353</v>
      </c>
      <c r="B1440" s="9" t="s">
        <v>1689</v>
      </c>
      <c r="C1440" s="12" t="str">
        <f>IFERROR(VLOOKUP(TED[[#This Row],[CENTRO]],'CENTRO DE CUSTO'!B:E,4,FALSE)," ")</f>
        <v>CLEVERTON RODRIGO</v>
      </c>
      <c r="D1440" s="12">
        <v>231</v>
      </c>
      <c r="E1440" s="16">
        <v>231005</v>
      </c>
      <c r="F1440" s="10" t="s">
        <v>1941</v>
      </c>
      <c r="G1440" s="10">
        <v>220</v>
      </c>
      <c r="H1440" s="11">
        <v>45254</v>
      </c>
      <c r="I1440" s="10" t="s">
        <v>21</v>
      </c>
      <c r="J1440" s="12" t="str">
        <f>IF(OR(TED[[#This Row],[SITUACAO]]=1,TED[[#This Row],[SITUACAO]]=9,TED[[#This Row],[SITUACAO]]=18),"ATIVO","AFASTADO")</f>
        <v>ATIVO</v>
      </c>
      <c r="K1440" s="12">
        <v>1</v>
      </c>
    </row>
    <row r="1441" spans="1:11" x14ac:dyDescent="0.25">
      <c r="A1441" s="10">
        <v>25714</v>
      </c>
      <c r="B1441" s="9" t="s">
        <v>1705</v>
      </c>
      <c r="C1441" s="12" t="str">
        <f>IFERROR(VLOOKUP(TED[[#This Row],[CENTRO]],'CENTRO DE CUSTO'!B:E,4,FALSE)," ")</f>
        <v>CLEVERTON RODRIGO</v>
      </c>
      <c r="D1441" s="12">
        <v>231</v>
      </c>
      <c r="E1441" s="16">
        <v>231011</v>
      </c>
      <c r="F1441" s="10" t="s">
        <v>1947</v>
      </c>
      <c r="G1441" s="10">
        <v>220</v>
      </c>
      <c r="H1441" s="11">
        <v>44993</v>
      </c>
      <c r="I1441" s="10" t="s">
        <v>21</v>
      </c>
      <c r="J1441" s="12" t="str">
        <f>IF(OR(TED[[#This Row],[SITUACAO]]=1,TED[[#This Row],[SITUACAO]]=9,TED[[#This Row],[SITUACAO]]=18),"ATIVO","AFASTADO")</f>
        <v>ATIVO</v>
      </c>
      <c r="K1441" s="12">
        <v>1</v>
      </c>
    </row>
    <row r="1442" spans="1:11" x14ac:dyDescent="0.25">
      <c r="A1442" s="10">
        <v>39056</v>
      </c>
      <c r="B1442" s="9" t="s">
        <v>1715</v>
      </c>
      <c r="C1442" s="12" t="str">
        <f>IFERROR(VLOOKUP(TED[[#This Row],[CENTRO]],'CENTRO DE CUSTO'!B:E,4,FALSE)," ")</f>
        <v>CLEVERTON RODRIGO</v>
      </c>
      <c r="D1442" s="12">
        <v>231</v>
      </c>
      <c r="E1442" s="16">
        <v>231014</v>
      </c>
      <c r="F1442" s="10" t="s">
        <v>1950</v>
      </c>
      <c r="G1442" s="10">
        <v>220</v>
      </c>
      <c r="H1442" s="11">
        <v>45819</v>
      </c>
      <c r="I1442" s="10" t="s">
        <v>948</v>
      </c>
      <c r="J1442" s="12" t="str">
        <f>IF(OR(TED[[#This Row],[SITUACAO]]=1,TED[[#This Row],[SITUACAO]]=9,TED[[#This Row],[SITUACAO]]=18),"ATIVO","AFASTADO")</f>
        <v>ATIVO</v>
      </c>
      <c r="K1442" s="12">
        <v>1</v>
      </c>
    </row>
    <row r="1443" spans="1:11" x14ac:dyDescent="0.25">
      <c r="A1443" s="10">
        <v>27968</v>
      </c>
      <c r="B1443" s="9" t="s">
        <v>1732</v>
      </c>
      <c r="C1443" s="12" t="str">
        <f>IFERROR(VLOOKUP(TED[[#This Row],[CENTRO]],'CENTRO DE CUSTO'!B:E,4,FALSE)," ")</f>
        <v>CLEVERTON RODRIGO</v>
      </c>
      <c r="D1443" s="12">
        <v>231</v>
      </c>
      <c r="E1443" s="16">
        <v>231019</v>
      </c>
      <c r="F1443" s="10" t="s">
        <v>1955</v>
      </c>
      <c r="G1443" s="10">
        <v>220</v>
      </c>
      <c r="H1443" s="11">
        <v>45131</v>
      </c>
      <c r="I1443" s="10" t="s">
        <v>21</v>
      </c>
      <c r="J1443" s="12" t="str">
        <f>IF(OR(TED[[#This Row],[SITUACAO]]=1,TED[[#This Row],[SITUACAO]]=9,TED[[#This Row],[SITUACAO]]=18),"ATIVO","AFASTADO")</f>
        <v>ATIVO</v>
      </c>
      <c r="K1443" s="12">
        <v>1</v>
      </c>
    </row>
    <row r="1444" spans="1:11" x14ac:dyDescent="0.25">
      <c r="A1444" s="10">
        <v>25770</v>
      </c>
      <c r="B1444" s="9" t="s">
        <v>1707</v>
      </c>
      <c r="C1444" s="12" t="str">
        <f>IFERROR(VLOOKUP(TED[[#This Row],[CENTRO]],'CENTRO DE CUSTO'!B:E,4,FALSE)," ")</f>
        <v>CLEVERTON RODRIGO</v>
      </c>
      <c r="D1444" s="12">
        <v>231</v>
      </c>
      <c r="E1444" s="16">
        <v>231011</v>
      </c>
      <c r="F1444" s="10" t="s">
        <v>1947</v>
      </c>
      <c r="G1444" s="10">
        <v>220</v>
      </c>
      <c r="H1444" s="11">
        <v>44993</v>
      </c>
      <c r="I1444" s="10" t="s">
        <v>21</v>
      </c>
      <c r="J1444" s="12" t="str">
        <f>IF(OR(TED[[#This Row],[SITUACAO]]=1,TED[[#This Row],[SITUACAO]]=9,TED[[#This Row],[SITUACAO]]=18),"ATIVO","AFASTADO")</f>
        <v>ATIVO</v>
      </c>
      <c r="K1444" s="12">
        <v>1</v>
      </c>
    </row>
    <row r="1445" spans="1:11" x14ac:dyDescent="0.25">
      <c r="A1445" s="10">
        <v>38974</v>
      </c>
      <c r="B1445" s="9" t="s">
        <v>1719</v>
      </c>
      <c r="C1445" s="12" t="str">
        <f>IFERROR(VLOOKUP(TED[[#This Row],[CENTRO]],'CENTRO DE CUSTO'!B:E,4,FALSE)," ")</f>
        <v>CLEVERTON RODRIGO</v>
      </c>
      <c r="D1445" s="12">
        <v>231</v>
      </c>
      <c r="E1445" s="16">
        <v>231014</v>
      </c>
      <c r="F1445" s="10" t="s">
        <v>1950</v>
      </c>
      <c r="G1445" s="10">
        <v>220</v>
      </c>
      <c r="H1445" s="11">
        <v>45810</v>
      </c>
      <c r="I1445" s="10" t="s">
        <v>944</v>
      </c>
      <c r="J1445" s="12" t="str">
        <f>IF(OR(TED[[#This Row],[SITUACAO]]=1,TED[[#This Row],[SITUACAO]]=9,TED[[#This Row],[SITUACAO]]=18),"ATIVO","AFASTADO")</f>
        <v>ATIVO</v>
      </c>
      <c r="K1445" s="12">
        <v>1</v>
      </c>
    </row>
    <row r="1446" spans="1:11" x14ac:dyDescent="0.25">
      <c r="A1446" s="10">
        <v>42051</v>
      </c>
      <c r="B1446" s="9" t="s">
        <v>1678</v>
      </c>
      <c r="C1446" s="12" t="str">
        <f>IFERROR(VLOOKUP(TED[[#This Row],[CENTRO]],'CENTRO DE CUSTO'!B:E,4,FALSE)," ")</f>
        <v>CLEVERTON RODRIGO</v>
      </c>
      <c r="D1446" s="12">
        <v>231</v>
      </c>
      <c r="E1446" s="16">
        <v>231001</v>
      </c>
      <c r="F1446" s="10" t="s">
        <v>1937</v>
      </c>
      <c r="G1446" s="10">
        <v>220</v>
      </c>
      <c r="H1446" s="11">
        <v>45971</v>
      </c>
      <c r="I1446" s="10" t="s">
        <v>944</v>
      </c>
      <c r="J1446" s="12" t="str">
        <f>IF(OR(TED[[#This Row],[SITUACAO]]=1,TED[[#This Row],[SITUACAO]]=9,TED[[#This Row],[SITUACAO]]=18),"ATIVO","AFASTADO")</f>
        <v>ATIVO</v>
      </c>
      <c r="K1446" s="12">
        <v>1</v>
      </c>
    </row>
    <row r="1447" spans="1:11" x14ac:dyDescent="0.25">
      <c r="A1447" s="10">
        <v>43318</v>
      </c>
      <c r="B1447" s="9" t="s">
        <v>2055</v>
      </c>
      <c r="C1447" s="12" t="str">
        <f>IFERROR(VLOOKUP(TED[[#This Row],[CENTRO]],'CENTRO DE CUSTO'!B:E,4,FALSE)," ")</f>
        <v>CLEVERTON RODRIGO</v>
      </c>
      <c r="D1447" s="12">
        <v>231</v>
      </c>
      <c r="E1447" s="16">
        <v>231017</v>
      </c>
      <c r="F1447" s="10" t="s">
        <v>1953</v>
      </c>
      <c r="G1447" s="10">
        <v>220</v>
      </c>
      <c r="H1447" s="11">
        <v>46041</v>
      </c>
      <c r="I1447" s="10" t="s">
        <v>948</v>
      </c>
      <c r="J1447" s="12" t="str">
        <f>IF(OR(TED[[#This Row],[SITUACAO]]=1,TED[[#This Row],[SITUACAO]]=9,TED[[#This Row],[SITUACAO]]=18),"ATIVO","AFASTADO")</f>
        <v>ATIVO</v>
      </c>
      <c r="K1447" s="12">
        <v>1</v>
      </c>
    </row>
    <row r="1448" spans="1:11" x14ac:dyDescent="0.25">
      <c r="A1448" s="10">
        <v>27541</v>
      </c>
      <c r="B1448" s="9" t="s">
        <v>1677</v>
      </c>
      <c r="C1448" s="12" t="str">
        <f>IFERROR(VLOOKUP(TED[[#This Row],[CENTRO]],'CENTRO DE CUSTO'!B:E,4,FALSE)," ")</f>
        <v>CLEVERTON RODRIGO</v>
      </c>
      <c r="D1448" s="12">
        <v>231</v>
      </c>
      <c r="E1448" s="16">
        <v>231001</v>
      </c>
      <c r="F1448" s="10" t="s">
        <v>1937</v>
      </c>
      <c r="G1448" s="10">
        <v>220</v>
      </c>
      <c r="H1448" s="11">
        <v>45098</v>
      </c>
      <c r="I1448" s="10" t="s">
        <v>948</v>
      </c>
      <c r="J1448" s="12" t="str">
        <f>IF(OR(TED[[#This Row],[SITUACAO]]=1,TED[[#This Row],[SITUACAO]]=9,TED[[#This Row],[SITUACAO]]=18),"ATIVO","AFASTADO")</f>
        <v>ATIVO</v>
      </c>
      <c r="K1448" s="12">
        <v>1</v>
      </c>
    </row>
    <row r="1449" spans="1:11" x14ac:dyDescent="0.25">
      <c r="A1449" s="10">
        <v>37655</v>
      </c>
      <c r="B1449" s="9" t="s">
        <v>1686</v>
      </c>
      <c r="C1449" s="12" t="str">
        <f>IFERROR(VLOOKUP(TED[[#This Row],[CENTRO]],'CENTRO DE CUSTO'!B:E,4,FALSE)," ")</f>
        <v>CLEVERTON RODRIGO</v>
      </c>
      <c r="D1449" s="12">
        <v>231</v>
      </c>
      <c r="E1449" s="16">
        <v>231004</v>
      </c>
      <c r="F1449" s="10" t="s">
        <v>1940</v>
      </c>
      <c r="G1449" s="10">
        <v>220</v>
      </c>
      <c r="H1449" s="11">
        <v>45733</v>
      </c>
      <c r="I1449" s="10" t="s">
        <v>21</v>
      </c>
      <c r="J1449" s="12" t="str">
        <f>IF(OR(TED[[#This Row],[SITUACAO]]=1,TED[[#This Row],[SITUACAO]]=9,TED[[#This Row],[SITUACAO]]=18),"ATIVO","AFASTADO")</f>
        <v>ATIVO</v>
      </c>
      <c r="K1449" s="12">
        <v>1</v>
      </c>
    </row>
    <row r="1450" spans="1:11" x14ac:dyDescent="0.25">
      <c r="A1450" s="10">
        <v>46812</v>
      </c>
      <c r="B1450" s="9" t="s">
        <v>2360</v>
      </c>
      <c r="C1450" s="12" t="str">
        <f>IFERROR(VLOOKUP(TED[[#This Row],[CENTRO]],'CENTRO DE CUSTO'!B:E,4,FALSE)," ")</f>
        <v>CLEVERTON RODRIGO</v>
      </c>
      <c r="D1450" s="12">
        <v>231</v>
      </c>
      <c r="E1450" s="16">
        <v>231014</v>
      </c>
      <c r="F1450" s="10" t="s">
        <v>1950</v>
      </c>
      <c r="G1450" s="10">
        <v>220</v>
      </c>
      <c r="H1450" s="11">
        <v>46197</v>
      </c>
      <c r="I1450" s="10" t="s">
        <v>21</v>
      </c>
      <c r="J1450" s="12" t="str">
        <f>IF(OR(TED[[#This Row],[SITUACAO]]=1,TED[[#This Row],[SITUACAO]]=9,TED[[#This Row],[SITUACAO]]=18),"ATIVO","AFASTADO")</f>
        <v>ATIVO</v>
      </c>
      <c r="K1450" s="12">
        <v>1</v>
      </c>
    </row>
    <row r="1451" spans="1:11" x14ac:dyDescent="0.25">
      <c r="A1451" s="10">
        <v>25686</v>
      </c>
      <c r="B1451" s="9" t="s">
        <v>1717</v>
      </c>
      <c r="C1451" s="12" t="str">
        <f>IFERROR(VLOOKUP(TED[[#This Row],[CENTRO]],'CENTRO DE CUSTO'!B:E,4,FALSE)," ")</f>
        <v>CLEVERTON RODRIGO</v>
      </c>
      <c r="D1451" s="12">
        <v>231</v>
      </c>
      <c r="E1451" s="16">
        <v>231014</v>
      </c>
      <c r="F1451" s="10" t="s">
        <v>1950</v>
      </c>
      <c r="G1451" s="10">
        <v>220</v>
      </c>
      <c r="H1451" s="11">
        <v>44993</v>
      </c>
      <c r="I1451" s="10" t="s">
        <v>604</v>
      </c>
      <c r="J1451" s="12" t="str">
        <f>IF(OR(TED[[#This Row],[SITUACAO]]=1,TED[[#This Row],[SITUACAO]]=9,TED[[#This Row],[SITUACAO]]=18),"ATIVO","AFASTADO")</f>
        <v>ATIVO</v>
      </c>
      <c r="K1451" s="12">
        <v>1</v>
      </c>
    </row>
    <row r="1452" spans="1:11" x14ac:dyDescent="0.25">
      <c r="A1452" s="10">
        <v>34802</v>
      </c>
      <c r="B1452" s="9" t="s">
        <v>1740</v>
      </c>
      <c r="C1452" s="12" t="str">
        <f>IFERROR(VLOOKUP(TED[[#This Row],[CENTRO]],'CENTRO DE CUSTO'!B:E,4,FALSE)," ")</f>
        <v>CLEVERTON RODRIGO</v>
      </c>
      <c r="D1452" s="12">
        <v>231</v>
      </c>
      <c r="E1452" s="16">
        <v>231021</v>
      </c>
      <c r="F1452" s="10" t="s">
        <v>1957</v>
      </c>
      <c r="G1452" s="10">
        <v>220</v>
      </c>
      <c r="H1452" s="11">
        <v>45636</v>
      </c>
      <c r="I1452" s="10" t="s">
        <v>21</v>
      </c>
      <c r="J1452" s="12" t="str">
        <f>IF(OR(TED[[#This Row],[SITUACAO]]=1,TED[[#This Row],[SITUACAO]]=9,TED[[#This Row],[SITUACAO]]=18),"ATIVO","AFASTADO")</f>
        <v>ATIVO</v>
      </c>
      <c r="K1452" s="12">
        <v>1</v>
      </c>
    </row>
    <row r="1453" spans="1:11" x14ac:dyDescent="0.25">
      <c r="A1453" s="10">
        <v>25700</v>
      </c>
      <c r="B1453" s="9" t="s">
        <v>1690</v>
      </c>
      <c r="C1453" s="12" t="str">
        <f>IFERROR(VLOOKUP(TED[[#This Row],[CENTRO]],'CENTRO DE CUSTO'!B:E,4,FALSE)," ")</f>
        <v>CLEVERTON RODRIGO</v>
      </c>
      <c r="D1453" s="12">
        <v>231</v>
      </c>
      <c r="E1453" s="16">
        <v>231006</v>
      </c>
      <c r="F1453" s="10" t="s">
        <v>1942</v>
      </c>
      <c r="G1453" s="10">
        <v>220</v>
      </c>
      <c r="H1453" s="11">
        <v>44993</v>
      </c>
      <c r="I1453" s="10" t="s">
        <v>948</v>
      </c>
      <c r="J1453" s="12" t="str">
        <f>IF(OR(TED[[#This Row],[SITUACAO]]=1,TED[[#This Row],[SITUACAO]]=9,TED[[#This Row],[SITUACAO]]=18),"ATIVO","AFASTADO")</f>
        <v>ATIVO</v>
      </c>
      <c r="K1453" s="12">
        <v>9</v>
      </c>
    </row>
    <row r="1454" spans="1:11" x14ac:dyDescent="0.25">
      <c r="A1454" s="10">
        <v>34496</v>
      </c>
      <c r="B1454" s="9" t="s">
        <v>1694</v>
      </c>
      <c r="C1454" s="12" t="str">
        <f>IFERROR(VLOOKUP(TED[[#This Row],[CENTRO]],'CENTRO DE CUSTO'!B:E,4,FALSE)," ")</f>
        <v>CLEVERTON RODRIGO</v>
      </c>
      <c r="D1454" s="12">
        <v>231</v>
      </c>
      <c r="E1454" s="16">
        <v>231006</v>
      </c>
      <c r="F1454" s="10" t="s">
        <v>1942</v>
      </c>
      <c r="G1454" s="10">
        <v>220</v>
      </c>
      <c r="H1454" s="11">
        <v>45600</v>
      </c>
      <c r="I1454" s="10" t="s">
        <v>21</v>
      </c>
      <c r="J1454" s="12" t="str">
        <f>IF(OR(TED[[#This Row],[SITUACAO]]=1,TED[[#This Row],[SITUACAO]]=9,TED[[#This Row],[SITUACAO]]=18),"ATIVO","AFASTADO")</f>
        <v>ATIVO</v>
      </c>
      <c r="K1454" s="12">
        <v>1</v>
      </c>
    </row>
    <row r="1455" spans="1:11" x14ac:dyDescent="0.25">
      <c r="A1455" s="10">
        <v>38039</v>
      </c>
      <c r="B1455" s="9" t="s">
        <v>1682</v>
      </c>
      <c r="C1455" s="12" t="str">
        <f>IFERROR(VLOOKUP(TED[[#This Row],[CENTRO]],'CENTRO DE CUSTO'!B:E,4,FALSE)," ")</f>
        <v>CLEVERTON RODRIGO</v>
      </c>
      <c r="D1455" s="12">
        <v>231</v>
      </c>
      <c r="E1455" s="16">
        <v>231002</v>
      </c>
      <c r="F1455" s="10" t="s">
        <v>1938</v>
      </c>
      <c r="G1455" s="10">
        <v>220</v>
      </c>
      <c r="H1455" s="11">
        <v>45749</v>
      </c>
      <c r="I1455" s="10" t="s">
        <v>21</v>
      </c>
      <c r="J1455" s="12" t="str">
        <f>IF(OR(TED[[#This Row],[SITUACAO]]=1,TED[[#This Row],[SITUACAO]]=9,TED[[#This Row],[SITUACAO]]=18),"ATIVO","AFASTADO")</f>
        <v>AFASTADO</v>
      </c>
      <c r="K1455" s="12">
        <v>6</v>
      </c>
    </row>
    <row r="1456" spans="1:11" x14ac:dyDescent="0.25">
      <c r="A1456" s="10">
        <v>28242</v>
      </c>
      <c r="B1456" s="9" t="s">
        <v>1745</v>
      </c>
      <c r="C1456" s="12" t="str">
        <f>IFERROR(VLOOKUP(TED[[#This Row],[CENTRO]],'CENTRO DE CUSTO'!B:E,4,FALSE)," ")</f>
        <v>CLEVERTON RODRIGO</v>
      </c>
      <c r="D1456" s="12">
        <v>231</v>
      </c>
      <c r="E1456" s="16">
        <v>231025</v>
      </c>
      <c r="F1456" s="10" t="s">
        <v>1961</v>
      </c>
      <c r="G1456" s="10">
        <v>220</v>
      </c>
      <c r="H1456" s="11">
        <v>45159</v>
      </c>
      <c r="I1456" s="10" t="s">
        <v>21</v>
      </c>
      <c r="J1456" s="12" t="str">
        <f>IF(OR(TED[[#This Row],[SITUACAO]]=1,TED[[#This Row],[SITUACAO]]=9,TED[[#This Row],[SITUACAO]]=18),"ATIVO","AFASTADO")</f>
        <v>ATIVO</v>
      </c>
      <c r="K1456" s="12">
        <v>1</v>
      </c>
    </row>
    <row r="1457" spans="1:11" x14ac:dyDescent="0.25">
      <c r="A1457" s="10">
        <v>42055</v>
      </c>
      <c r="B1457" s="9" t="s">
        <v>1736</v>
      </c>
      <c r="C1457" s="12" t="str">
        <f>IFERROR(VLOOKUP(TED[[#This Row],[CENTRO]],'CENTRO DE CUSTO'!B:E,4,FALSE)," ")</f>
        <v>CLEVERTON RODRIGO</v>
      </c>
      <c r="D1457" s="12">
        <v>231</v>
      </c>
      <c r="E1457" s="16">
        <v>231020</v>
      </c>
      <c r="F1457" s="10" t="s">
        <v>1956</v>
      </c>
      <c r="G1457" s="10">
        <v>220</v>
      </c>
      <c r="H1457" s="11">
        <v>45971</v>
      </c>
      <c r="I1457" s="10" t="s">
        <v>944</v>
      </c>
      <c r="J1457" s="12" t="str">
        <f>IF(OR(TED[[#This Row],[SITUACAO]]=1,TED[[#This Row],[SITUACAO]]=9,TED[[#This Row],[SITUACAO]]=18),"ATIVO","AFASTADO")</f>
        <v>ATIVO</v>
      </c>
      <c r="K1457" s="12">
        <v>1</v>
      </c>
    </row>
    <row r="1458" spans="1:11" x14ac:dyDescent="0.25">
      <c r="A1458" s="10">
        <v>39210</v>
      </c>
      <c r="B1458" s="9" t="s">
        <v>1746</v>
      </c>
      <c r="C1458" s="12" t="str">
        <f>IFERROR(VLOOKUP(TED[[#This Row],[CENTRO]],'CENTRO DE CUSTO'!B:E,4,FALSE)," ")</f>
        <v>CLEVERTON RODRIGO</v>
      </c>
      <c r="D1458" s="12">
        <v>231</v>
      </c>
      <c r="E1458" s="16">
        <v>231026</v>
      </c>
      <c r="F1458" s="10" t="s">
        <v>1962</v>
      </c>
      <c r="G1458" s="10">
        <v>220</v>
      </c>
      <c r="H1458" s="11">
        <v>45833</v>
      </c>
      <c r="I1458" s="10" t="s">
        <v>948</v>
      </c>
      <c r="J1458" s="12" t="str">
        <f>IF(OR(TED[[#This Row],[SITUACAO]]=1,TED[[#This Row],[SITUACAO]]=9,TED[[#This Row],[SITUACAO]]=18),"ATIVO","AFASTADO")</f>
        <v>ATIVO</v>
      </c>
      <c r="K1458" s="12">
        <v>1</v>
      </c>
    </row>
    <row r="1459" spans="1:11" x14ac:dyDescent="0.25">
      <c r="A1459" s="10">
        <v>25699</v>
      </c>
      <c r="B1459" s="9" t="s">
        <v>1693</v>
      </c>
      <c r="C1459" s="12" t="str">
        <f>IFERROR(VLOOKUP(TED[[#This Row],[CENTRO]],'CENTRO DE CUSTO'!B:E,4,FALSE)," ")</f>
        <v>CLEVERTON RODRIGO</v>
      </c>
      <c r="D1459" s="12">
        <v>231</v>
      </c>
      <c r="E1459" s="16">
        <v>231006</v>
      </c>
      <c r="F1459" s="10" t="s">
        <v>1942</v>
      </c>
      <c r="G1459" s="10">
        <v>220</v>
      </c>
      <c r="H1459" s="11">
        <v>44993</v>
      </c>
      <c r="I1459" s="10" t="s">
        <v>944</v>
      </c>
      <c r="J1459" s="12" t="str">
        <f>IF(OR(TED[[#This Row],[SITUACAO]]=1,TED[[#This Row],[SITUACAO]]=9,TED[[#This Row],[SITUACAO]]=18),"ATIVO","AFASTADO")</f>
        <v>ATIVO</v>
      </c>
      <c r="K1459" s="12">
        <v>1</v>
      </c>
    </row>
    <row r="1460" spans="1:11" x14ac:dyDescent="0.25">
      <c r="A1460" s="10">
        <v>33333</v>
      </c>
      <c r="B1460" s="9" t="s">
        <v>1730</v>
      </c>
      <c r="C1460" s="12" t="str">
        <f>IFERROR(VLOOKUP(TED[[#This Row],[CENTRO]],'CENTRO DE CUSTO'!B:E,4,FALSE)," ")</f>
        <v>CLEVERTON RODRIGO</v>
      </c>
      <c r="D1460" s="12">
        <v>231</v>
      </c>
      <c r="E1460" s="16">
        <v>231018</v>
      </c>
      <c r="F1460" s="10" t="s">
        <v>1954</v>
      </c>
      <c r="G1460" s="10">
        <v>220</v>
      </c>
      <c r="H1460" s="11">
        <v>45502</v>
      </c>
      <c r="I1460" s="10" t="s">
        <v>21</v>
      </c>
      <c r="J1460" s="12" t="str">
        <f>IF(OR(TED[[#This Row],[SITUACAO]]=1,TED[[#This Row],[SITUACAO]]=9,TED[[#This Row],[SITUACAO]]=18),"ATIVO","AFASTADO")</f>
        <v>ATIVO</v>
      </c>
      <c r="K1460" s="12">
        <v>1</v>
      </c>
    </row>
    <row r="1461" spans="1:11" x14ac:dyDescent="0.25">
      <c r="A1461" s="10">
        <v>25767</v>
      </c>
      <c r="B1461" s="9" t="s">
        <v>1727</v>
      </c>
      <c r="C1461" s="12" t="str">
        <f>IFERROR(VLOOKUP(TED[[#This Row],[CENTRO]],'CENTRO DE CUSTO'!B:E,4,FALSE)," ")</f>
        <v>CLEVERTON RODRIGO</v>
      </c>
      <c r="D1461" s="12">
        <v>231</v>
      </c>
      <c r="E1461" s="16">
        <v>231016</v>
      </c>
      <c r="F1461" s="10" t="s">
        <v>1952</v>
      </c>
      <c r="G1461" s="10">
        <v>220</v>
      </c>
      <c r="H1461" s="11">
        <v>44993</v>
      </c>
      <c r="I1461" s="10" t="s">
        <v>948</v>
      </c>
      <c r="J1461" s="12" t="str">
        <f>IF(OR(TED[[#This Row],[SITUACAO]]=1,TED[[#This Row],[SITUACAO]]=9,TED[[#This Row],[SITUACAO]]=18),"ATIVO","AFASTADO")</f>
        <v>ATIVO</v>
      </c>
      <c r="K1461" s="12">
        <v>1</v>
      </c>
    </row>
    <row r="1462" spans="1:11" x14ac:dyDescent="0.25">
      <c r="A1462" s="10">
        <v>38616</v>
      </c>
      <c r="B1462" s="9" t="s">
        <v>1722</v>
      </c>
      <c r="C1462" s="12" t="str">
        <f>IFERROR(VLOOKUP(TED[[#This Row],[CENTRO]],'CENTRO DE CUSTO'!B:E,4,FALSE)," ")</f>
        <v>CLEVERTON RODRIGO</v>
      </c>
      <c r="D1462" s="12">
        <v>231</v>
      </c>
      <c r="E1462" s="16">
        <v>231014</v>
      </c>
      <c r="F1462" s="10" t="s">
        <v>1950</v>
      </c>
      <c r="G1462" s="10">
        <v>220</v>
      </c>
      <c r="H1462" s="11">
        <v>45791</v>
      </c>
      <c r="I1462" s="10" t="s">
        <v>21</v>
      </c>
      <c r="J1462" s="12" t="str">
        <f>IF(OR(TED[[#This Row],[SITUACAO]]=1,TED[[#This Row],[SITUACAO]]=9,TED[[#This Row],[SITUACAO]]=18),"ATIVO","AFASTADO")</f>
        <v>ATIVO</v>
      </c>
      <c r="K1462" s="12">
        <v>1</v>
      </c>
    </row>
    <row r="1463" spans="1:11" x14ac:dyDescent="0.25">
      <c r="A1463" s="10">
        <v>42050</v>
      </c>
      <c r="B1463" s="9" t="s">
        <v>1710</v>
      </c>
      <c r="C1463" s="12" t="str">
        <f>IFERROR(VLOOKUP(TED[[#This Row],[CENTRO]],'CENTRO DE CUSTO'!B:E,4,FALSE)," ")</f>
        <v>CLEVERTON RODRIGO</v>
      </c>
      <c r="D1463" s="12">
        <v>231</v>
      </c>
      <c r="E1463" s="16">
        <v>231012</v>
      </c>
      <c r="F1463" s="10" t="s">
        <v>1948</v>
      </c>
      <c r="G1463" s="10">
        <v>220</v>
      </c>
      <c r="H1463" s="11">
        <v>45971</v>
      </c>
      <c r="I1463" s="10" t="s">
        <v>944</v>
      </c>
      <c r="J1463" s="12" t="str">
        <f>IF(OR(TED[[#This Row],[SITUACAO]]=1,TED[[#This Row],[SITUACAO]]=9,TED[[#This Row],[SITUACAO]]=18),"ATIVO","AFASTADO")</f>
        <v>ATIVO</v>
      </c>
      <c r="K1463" s="12">
        <v>1</v>
      </c>
    </row>
    <row r="1464" spans="1:11" x14ac:dyDescent="0.25">
      <c r="A1464" s="10">
        <v>25739</v>
      </c>
      <c r="B1464" s="9" t="s">
        <v>1735</v>
      </c>
      <c r="C1464" s="12" t="str">
        <f>IFERROR(VLOOKUP(TED[[#This Row],[CENTRO]],'CENTRO DE CUSTO'!B:E,4,FALSE)," ")</f>
        <v>CLEVERTON RODRIGO</v>
      </c>
      <c r="D1464" s="12">
        <v>231</v>
      </c>
      <c r="E1464" s="16">
        <v>231020</v>
      </c>
      <c r="F1464" s="10" t="s">
        <v>1956</v>
      </c>
      <c r="G1464" s="10">
        <v>220</v>
      </c>
      <c r="H1464" s="11">
        <v>44993</v>
      </c>
      <c r="I1464" s="10" t="s">
        <v>948</v>
      </c>
      <c r="J1464" s="12" t="str">
        <f>IF(OR(TED[[#This Row],[SITUACAO]]=1,TED[[#This Row],[SITUACAO]]=9,TED[[#This Row],[SITUACAO]]=18),"ATIVO","AFASTADO")</f>
        <v>ATIVO</v>
      </c>
      <c r="K1464" s="12">
        <v>1</v>
      </c>
    </row>
    <row r="1465" spans="1:11" x14ac:dyDescent="0.25">
      <c r="A1465" s="10">
        <v>44515</v>
      </c>
      <c r="B1465" s="9" t="s">
        <v>2140</v>
      </c>
      <c r="C1465" s="12" t="str">
        <f>IFERROR(VLOOKUP(TED[[#This Row],[CENTRO]],'CENTRO DE CUSTO'!B:E,4,FALSE)," ")</f>
        <v>CLEVERTON RODRIGO</v>
      </c>
      <c r="D1465" s="12">
        <v>231</v>
      </c>
      <c r="E1465" s="16">
        <v>231023</v>
      </c>
      <c r="F1465" s="10" t="s">
        <v>1959</v>
      </c>
      <c r="G1465" s="10">
        <v>220</v>
      </c>
      <c r="H1465" s="11">
        <v>46097</v>
      </c>
      <c r="I1465" s="10" t="s">
        <v>948</v>
      </c>
      <c r="J1465" s="12" t="str">
        <f>IF(OR(TED[[#This Row],[SITUACAO]]=1,TED[[#This Row],[SITUACAO]]=9,TED[[#This Row],[SITUACAO]]=18),"ATIVO","AFASTADO")</f>
        <v>ATIVO</v>
      </c>
      <c r="K1465" s="12">
        <v>1</v>
      </c>
    </row>
    <row r="1466" spans="1:11" x14ac:dyDescent="0.25">
      <c r="A1466" s="10">
        <v>25734</v>
      </c>
      <c r="B1466" s="9" t="s">
        <v>1685</v>
      </c>
      <c r="C1466" s="12" t="str">
        <f>IFERROR(VLOOKUP(TED[[#This Row],[CENTRO]],'CENTRO DE CUSTO'!B:E,4,FALSE)," ")</f>
        <v>CLEVERTON RODRIGO</v>
      </c>
      <c r="D1466" s="12">
        <v>231</v>
      </c>
      <c r="E1466" s="16">
        <v>231004</v>
      </c>
      <c r="F1466" s="10" t="s">
        <v>1940</v>
      </c>
      <c r="G1466" s="10">
        <v>220</v>
      </c>
      <c r="H1466" s="11">
        <v>44993</v>
      </c>
      <c r="I1466" s="10" t="s">
        <v>948</v>
      </c>
      <c r="J1466" s="12" t="str">
        <f>IF(OR(TED[[#This Row],[SITUACAO]]=1,TED[[#This Row],[SITUACAO]]=9,TED[[#This Row],[SITUACAO]]=18),"ATIVO","AFASTADO")</f>
        <v>ATIVO</v>
      </c>
      <c r="K1466" s="12">
        <v>1</v>
      </c>
    </row>
    <row r="1467" spans="1:11" x14ac:dyDescent="0.25">
      <c r="A1467" s="10">
        <v>43181</v>
      </c>
      <c r="B1467" s="9" t="s">
        <v>1720</v>
      </c>
      <c r="C1467" s="12" t="str">
        <f>IFERROR(VLOOKUP(TED[[#This Row],[CENTRO]],'CENTRO DE CUSTO'!B:E,4,FALSE)," ")</f>
        <v>CLEVERTON RODRIGO</v>
      </c>
      <c r="D1467" s="12">
        <v>231</v>
      </c>
      <c r="E1467" s="16">
        <v>231014</v>
      </c>
      <c r="F1467" s="10" t="s">
        <v>1950</v>
      </c>
      <c r="G1467" s="10">
        <v>220</v>
      </c>
      <c r="H1467" s="11">
        <v>46029</v>
      </c>
      <c r="I1467" s="10" t="s">
        <v>948</v>
      </c>
      <c r="J1467" s="12" t="str">
        <f>IF(OR(TED[[#This Row],[SITUACAO]]=1,TED[[#This Row],[SITUACAO]]=9,TED[[#This Row],[SITUACAO]]=18),"ATIVO","AFASTADO")</f>
        <v>ATIVO</v>
      </c>
      <c r="K1467" s="12">
        <v>1</v>
      </c>
    </row>
    <row r="1468" spans="1:11" x14ac:dyDescent="0.25">
      <c r="A1468" s="10">
        <v>25764</v>
      </c>
      <c r="B1468" s="9" t="s">
        <v>1711</v>
      </c>
      <c r="C1468" s="12" t="str">
        <f>IFERROR(VLOOKUP(TED[[#This Row],[CENTRO]],'CENTRO DE CUSTO'!B:E,4,FALSE)," ")</f>
        <v>CLEVERTON RODRIGO</v>
      </c>
      <c r="D1468" s="12">
        <v>231</v>
      </c>
      <c r="E1468" s="16">
        <v>231013</v>
      </c>
      <c r="F1468" s="10" t="s">
        <v>1949</v>
      </c>
      <c r="G1468" s="10">
        <v>220</v>
      </c>
      <c r="H1468" s="11">
        <v>44993</v>
      </c>
      <c r="I1468" s="10" t="s">
        <v>948</v>
      </c>
      <c r="J1468" s="12" t="str">
        <f>IF(OR(TED[[#This Row],[SITUACAO]]=1,TED[[#This Row],[SITUACAO]]=9,TED[[#This Row],[SITUACAO]]=18),"ATIVO","AFASTADO")</f>
        <v>ATIVO</v>
      </c>
      <c r="K1468" s="12">
        <v>1</v>
      </c>
    </row>
    <row r="1469" spans="1:11" x14ac:dyDescent="0.25">
      <c r="A1469" s="10">
        <v>45193</v>
      </c>
      <c r="B1469" s="9" t="s">
        <v>2243</v>
      </c>
      <c r="C1469" s="12" t="str">
        <f>IFERROR(VLOOKUP(TED[[#This Row],[CENTRO]],'CENTRO DE CUSTO'!B:E,4,FALSE)," ")</f>
        <v>CLEVERTON RODRIGO</v>
      </c>
      <c r="D1469" s="12">
        <v>231</v>
      </c>
      <c r="E1469" s="16">
        <v>231006</v>
      </c>
      <c r="F1469" s="10" t="s">
        <v>1942</v>
      </c>
      <c r="G1469" s="10">
        <v>220</v>
      </c>
      <c r="H1469" s="11">
        <v>46134</v>
      </c>
      <c r="I1469" s="10" t="s">
        <v>948</v>
      </c>
      <c r="J1469" s="12" t="str">
        <f>IF(OR(TED[[#This Row],[SITUACAO]]=1,TED[[#This Row],[SITUACAO]]=9,TED[[#This Row],[SITUACAO]]=18),"ATIVO","AFASTADO")</f>
        <v>ATIVO</v>
      </c>
      <c r="K1469" s="12">
        <v>1</v>
      </c>
    </row>
    <row r="1470" spans="1:11" x14ac:dyDescent="0.25">
      <c r="A1470" s="10">
        <v>46047</v>
      </c>
      <c r="B1470" s="9" t="s">
        <v>2361</v>
      </c>
      <c r="C1470" s="12" t="str">
        <f>IFERROR(VLOOKUP(TED[[#This Row],[CENTRO]],'CENTRO DE CUSTO'!B:E,4,FALSE)," ")</f>
        <v>CLEVERTON RODRIGO</v>
      </c>
      <c r="D1470" s="12">
        <v>231</v>
      </c>
      <c r="E1470" s="16">
        <v>231019</v>
      </c>
      <c r="F1470" s="10" t="s">
        <v>1955</v>
      </c>
      <c r="G1470" s="10">
        <v>220</v>
      </c>
      <c r="H1470" s="11">
        <v>46181</v>
      </c>
      <c r="I1470" s="10" t="s">
        <v>948</v>
      </c>
      <c r="J1470" s="12" t="str">
        <f>IF(OR(TED[[#This Row],[SITUACAO]]=1,TED[[#This Row],[SITUACAO]]=9,TED[[#This Row],[SITUACAO]]=18),"ATIVO","AFASTADO")</f>
        <v>ATIVO</v>
      </c>
      <c r="K1470" s="12">
        <v>1</v>
      </c>
    </row>
    <row r="1471" spans="1:11" x14ac:dyDescent="0.25">
      <c r="A1471" s="10">
        <v>33131</v>
      </c>
      <c r="B1471" s="9" t="s">
        <v>1688</v>
      </c>
      <c r="C1471" s="12" t="str">
        <f>IFERROR(VLOOKUP(TED[[#This Row],[CENTRO]],'CENTRO DE CUSTO'!B:E,4,FALSE)," ")</f>
        <v>CLEVERTON RODRIGO</v>
      </c>
      <c r="D1471" s="12">
        <v>231</v>
      </c>
      <c r="E1471" s="16">
        <v>231005</v>
      </c>
      <c r="F1471" s="10" t="s">
        <v>1941</v>
      </c>
      <c r="G1471" s="10">
        <v>220</v>
      </c>
      <c r="H1471" s="11">
        <v>45478</v>
      </c>
      <c r="I1471" s="10" t="s">
        <v>21</v>
      </c>
      <c r="J1471" s="12" t="str">
        <f>IF(OR(TED[[#This Row],[SITUACAO]]=1,TED[[#This Row],[SITUACAO]]=9,TED[[#This Row],[SITUACAO]]=18),"ATIVO","AFASTADO")</f>
        <v>ATIVO</v>
      </c>
      <c r="K1471" s="12">
        <v>1</v>
      </c>
    </row>
    <row r="1472" spans="1:11" x14ac:dyDescent="0.25">
      <c r="A1472" s="10">
        <v>34875</v>
      </c>
      <c r="B1472" s="9" t="s">
        <v>1680</v>
      </c>
      <c r="C1472" s="12" t="str">
        <f>IFERROR(VLOOKUP(TED[[#This Row],[CENTRO]],'CENTRO DE CUSTO'!B:E,4,FALSE)," ")</f>
        <v>CLEVERTON RODRIGO</v>
      </c>
      <c r="D1472" s="12">
        <v>231</v>
      </c>
      <c r="E1472" s="16">
        <v>231001</v>
      </c>
      <c r="F1472" s="10" t="s">
        <v>1937</v>
      </c>
      <c r="G1472" s="10">
        <v>220</v>
      </c>
      <c r="H1472" s="11">
        <v>45646</v>
      </c>
      <c r="I1472" s="10" t="s">
        <v>21</v>
      </c>
      <c r="J1472" s="12" t="str">
        <f>IF(OR(TED[[#This Row],[SITUACAO]]=1,TED[[#This Row],[SITUACAO]]=9,TED[[#This Row],[SITUACAO]]=18),"ATIVO","AFASTADO")</f>
        <v>ATIVO</v>
      </c>
      <c r="K1472" s="12">
        <v>1</v>
      </c>
    </row>
    <row r="1473" spans="1:11" x14ac:dyDescent="0.25">
      <c r="A1473" s="10">
        <v>25712</v>
      </c>
      <c r="B1473" s="9" t="s">
        <v>1703</v>
      </c>
      <c r="C1473" s="12" t="str">
        <f>IFERROR(VLOOKUP(TED[[#This Row],[CENTRO]],'CENTRO DE CUSTO'!B:E,4,FALSE)," ")</f>
        <v>CLEVERTON RODRIGO</v>
      </c>
      <c r="D1473" s="12">
        <v>231</v>
      </c>
      <c r="E1473" s="16">
        <v>231010</v>
      </c>
      <c r="F1473" s="10" t="s">
        <v>1946</v>
      </c>
      <c r="G1473" s="10">
        <v>220</v>
      </c>
      <c r="H1473" s="11">
        <v>44993</v>
      </c>
      <c r="I1473" s="10" t="s">
        <v>21</v>
      </c>
      <c r="J1473" s="12" t="str">
        <f>IF(OR(TED[[#This Row],[SITUACAO]]=1,TED[[#This Row],[SITUACAO]]=9,TED[[#This Row],[SITUACAO]]=18),"ATIVO","AFASTADO")</f>
        <v>ATIVO</v>
      </c>
      <c r="K1473" s="12">
        <v>1</v>
      </c>
    </row>
    <row r="1474" spans="1:11" x14ac:dyDescent="0.25">
      <c r="A1474" s="10">
        <v>42056</v>
      </c>
      <c r="B1474" s="9" t="s">
        <v>1726</v>
      </c>
      <c r="C1474" s="12" t="str">
        <f>IFERROR(VLOOKUP(TED[[#This Row],[CENTRO]],'CENTRO DE CUSTO'!B:E,4,FALSE)," ")</f>
        <v>CLEVERTON RODRIGO</v>
      </c>
      <c r="D1474" s="12">
        <v>231</v>
      </c>
      <c r="E1474" s="16">
        <v>231015</v>
      </c>
      <c r="F1474" s="10" t="s">
        <v>1951</v>
      </c>
      <c r="G1474" s="10">
        <v>220</v>
      </c>
      <c r="H1474" s="11">
        <v>45971</v>
      </c>
      <c r="I1474" s="10" t="s">
        <v>944</v>
      </c>
      <c r="J1474" s="12" t="str">
        <f>IF(OR(TED[[#This Row],[SITUACAO]]=1,TED[[#This Row],[SITUACAO]]=9,TED[[#This Row],[SITUACAO]]=18),"ATIVO","AFASTADO")</f>
        <v>ATIVO</v>
      </c>
      <c r="K1474" s="12">
        <v>1</v>
      </c>
    </row>
    <row r="1475" spans="1:11" x14ac:dyDescent="0.25">
      <c r="A1475" s="10">
        <v>44463</v>
      </c>
      <c r="B1475" s="9" t="s">
        <v>2123</v>
      </c>
      <c r="C1475" s="12" t="str">
        <f>IFERROR(VLOOKUP(TED[[#This Row],[CENTRO]],'CENTRO DE CUSTO'!B:E,4,FALSE)," ")</f>
        <v>CLEVERTON RODRIGO</v>
      </c>
      <c r="D1475" s="12">
        <v>231</v>
      </c>
      <c r="E1475" s="16">
        <v>231023</v>
      </c>
      <c r="F1475" s="10" t="s">
        <v>1959</v>
      </c>
      <c r="G1475" s="10">
        <v>220</v>
      </c>
      <c r="H1475" s="11">
        <v>46092</v>
      </c>
      <c r="I1475" s="10" t="s">
        <v>948</v>
      </c>
      <c r="J1475" s="12" t="str">
        <f>IF(OR(TED[[#This Row],[SITUACAO]]=1,TED[[#This Row],[SITUACAO]]=9,TED[[#This Row],[SITUACAO]]=18),"ATIVO","AFASTADO")</f>
        <v>ATIVO</v>
      </c>
      <c r="K1475" s="12">
        <v>1</v>
      </c>
    </row>
    <row r="1476" spans="1:11" x14ac:dyDescent="0.25">
      <c r="A1476" s="10">
        <v>44715</v>
      </c>
      <c r="B1476" s="9" t="s">
        <v>2157</v>
      </c>
      <c r="C1476" s="12" t="str">
        <f>IFERROR(VLOOKUP(TED[[#This Row],[CENTRO]],'CENTRO DE CUSTO'!B:E,4,FALSE)," ")</f>
        <v>CLEVERTON RODRIGO</v>
      </c>
      <c r="D1476" s="12">
        <v>231</v>
      </c>
      <c r="E1476" s="16">
        <v>231004</v>
      </c>
      <c r="F1476" s="10" t="s">
        <v>1940</v>
      </c>
      <c r="G1476" s="10">
        <v>220</v>
      </c>
      <c r="H1476" s="11">
        <v>46106</v>
      </c>
      <c r="I1476" s="10" t="s">
        <v>944</v>
      </c>
      <c r="J1476" s="12" t="str">
        <f>IF(OR(TED[[#This Row],[SITUACAO]]=1,TED[[#This Row],[SITUACAO]]=9,TED[[#This Row],[SITUACAO]]=18),"ATIVO","AFASTADO")</f>
        <v>ATIVO</v>
      </c>
      <c r="K1476" s="12">
        <v>1</v>
      </c>
    </row>
    <row r="1477" spans="1:11" x14ac:dyDescent="0.25">
      <c r="A1477" s="10">
        <v>42256</v>
      </c>
      <c r="B1477" s="9" t="s">
        <v>1692</v>
      </c>
      <c r="C1477" s="12" t="str">
        <f>IFERROR(VLOOKUP(TED[[#This Row],[CENTRO]],'CENTRO DE CUSTO'!B:E,4,FALSE)," ")</f>
        <v>CLEVERTON RODRIGO</v>
      </c>
      <c r="D1477" s="12">
        <v>231</v>
      </c>
      <c r="E1477" s="16">
        <v>231006</v>
      </c>
      <c r="F1477" s="10" t="s">
        <v>1942</v>
      </c>
      <c r="G1477" s="10">
        <v>220</v>
      </c>
      <c r="H1477" s="11">
        <v>45978</v>
      </c>
      <c r="I1477" s="10" t="s">
        <v>21</v>
      </c>
      <c r="J1477" s="12" t="str">
        <f>IF(OR(TED[[#This Row],[SITUACAO]]=1,TED[[#This Row],[SITUACAO]]=9,TED[[#This Row],[SITUACAO]]=18),"ATIVO","AFASTADO")</f>
        <v>ATIVO</v>
      </c>
      <c r="K1477" s="12">
        <v>1</v>
      </c>
    </row>
    <row r="1478" spans="1:11" x14ac:dyDescent="0.25">
      <c r="A1478" s="10">
        <v>25695</v>
      </c>
      <c r="B1478" s="9" t="s">
        <v>1683</v>
      </c>
      <c r="C1478" s="12" t="str">
        <f>IFERROR(VLOOKUP(TED[[#This Row],[CENTRO]],'CENTRO DE CUSTO'!B:E,4,FALSE)," ")</f>
        <v>CLEVERTON RODRIGO</v>
      </c>
      <c r="D1478" s="12">
        <v>231</v>
      </c>
      <c r="E1478" s="16">
        <v>231003</v>
      </c>
      <c r="F1478" s="10" t="s">
        <v>1939</v>
      </c>
      <c r="G1478" s="10">
        <v>220</v>
      </c>
      <c r="H1478" s="11">
        <v>44993</v>
      </c>
      <c r="I1478" s="10" t="s">
        <v>948</v>
      </c>
      <c r="J1478" s="12" t="str">
        <f>IF(OR(TED[[#This Row],[SITUACAO]]=1,TED[[#This Row],[SITUACAO]]=9,TED[[#This Row],[SITUACAO]]=18),"ATIVO","AFASTADO")</f>
        <v>ATIVO</v>
      </c>
      <c r="K1478" s="12">
        <v>1</v>
      </c>
    </row>
    <row r="1479" spans="1:11" x14ac:dyDescent="0.25">
      <c r="A1479" s="10">
        <v>25754</v>
      </c>
      <c r="B1479" s="9" t="s">
        <v>1709</v>
      </c>
      <c r="C1479" s="12" t="str">
        <f>IFERROR(VLOOKUP(TED[[#This Row],[CENTRO]],'CENTRO DE CUSTO'!B:E,4,FALSE)," ")</f>
        <v>CLEVERTON RODRIGO</v>
      </c>
      <c r="D1479" s="12">
        <v>231</v>
      </c>
      <c r="E1479" s="16">
        <v>231012</v>
      </c>
      <c r="F1479" s="10" t="s">
        <v>1948</v>
      </c>
      <c r="G1479" s="10">
        <v>220</v>
      </c>
      <c r="H1479" s="11">
        <v>44993</v>
      </c>
      <c r="I1479" s="10" t="s">
        <v>948</v>
      </c>
      <c r="J1479" s="12" t="str">
        <f>IF(OR(TED[[#This Row],[SITUACAO]]=1,TED[[#This Row],[SITUACAO]]=9,TED[[#This Row],[SITUACAO]]=18),"ATIVO","AFASTADO")</f>
        <v>ATIVO</v>
      </c>
      <c r="K1479" s="12">
        <v>1</v>
      </c>
    </row>
    <row r="1480" spans="1:11" x14ac:dyDescent="0.25">
      <c r="A1480" s="10">
        <v>45161</v>
      </c>
      <c r="B1480" s="9" t="s">
        <v>2189</v>
      </c>
      <c r="C1480" s="12" t="str">
        <f>IFERROR(VLOOKUP(TED[[#This Row],[CENTRO]],'CENTRO DE CUSTO'!B:E,4,FALSE)," ")</f>
        <v>CLEVERTON RODRIGO</v>
      </c>
      <c r="D1480" s="12">
        <v>231</v>
      </c>
      <c r="E1480" s="16">
        <v>231023</v>
      </c>
      <c r="F1480" s="10" t="s">
        <v>1959</v>
      </c>
      <c r="G1480" s="10">
        <v>220</v>
      </c>
      <c r="H1480" s="11">
        <v>46134</v>
      </c>
      <c r="I1480" s="10" t="s">
        <v>21</v>
      </c>
      <c r="J1480" s="12" t="str">
        <f>IF(OR(TED[[#This Row],[SITUACAO]]=1,TED[[#This Row],[SITUACAO]]=9,TED[[#This Row],[SITUACAO]]=18),"ATIVO","AFASTADO")</f>
        <v>ATIVO</v>
      </c>
      <c r="K1480" s="12">
        <v>1</v>
      </c>
    </row>
    <row r="1481" spans="1:11" x14ac:dyDescent="0.25">
      <c r="A1481" s="10">
        <v>25709</v>
      </c>
      <c r="B1481" s="9" t="s">
        <v>1700</v>
      </c>
      <c r="C1481" s="12" t="str">
        <f>IFERROR(VLOOKUP(TED[[#This Row],[CENTRO]],'CENTRO DE CUSTO'!B:E,4,FALSE)," ")</f>
        <v>CLEVERTON RODRIGO</v>
      </c>
      <c r="D1481" s="12">
        <v>231</v>
      </c>
      <c r="E1481" s="16">
        <v>231009</v>
      </c>
      <c r="F1481" s="10" t="s">
        <v>1945</v>
      </c>
      <c r="G1481" s="10">
        <v>220</v>
      </c>
      <c r="H1481" s="11">
        <v>44993</v>
      </c>
      <c r="I1481" s="10" t="s">
        <v>21</v>
      </c>
      <c r="J1481" s="12" t="str">
        <f>IF(OR(TED[[#This Row],[SITUACAO]]=1,TED[[#This Row],[SITUACAO]]=9,TED[[#This Row],[SITUACAO]]=18),"ATIVO","AFASTADO")</f>
        <v>ATIVO</v>
      </c>
      <c r="K1481" s="12">
        <v>1</v>
      </c>
    </row>
    <row r="1482" spans="1:11" x14ac:dyDescent="0.25">
      <c r="A1482" s="10">
        <v>25748</v>
      </c>
      <c r="B1482" s="9" t="s">
        <v>1725</v>
      </c>
      <c r="C1482" s="12" t="str">
        <f>IFERROR(VLOOKUP(TED[[#This Row],[CENTRO]],'CENTRO DE CUSTO'!B:E,4,FALSE)," ")</f>
        <v>CLEVERTON RODRIGO</v>
      </c>
      <c r="D1482" s="12">
        <v>231</v>
      </c>
      <c r="E1482" s="16">
        <v>231014</v>
      </c>
      <c r="F1482" s="10" t="s">
        <v>1950</v>
      </c>
      <c r="G1482" s="10">
        <v>220</v>
      </c>
      <c r="H1482" s="11">
        <v>44993</v>
      </c>
      <c r="I1482" s="10" t="s">
        <v>21</v>
      </c>
      <c r="J1482" s="12" t="str">
        <f>IF(OR(TED[[#This Row],[SITUACAO]]=1,TED[[#This Row],[SITUACAO]]=9,TED[[#This Row],[SITUACAO]]=18),"ATIVO","AFASTADO")</f>
        <v>ATIVO</v>
      </c>
      <c r="K1482" s="12">
        <v>1</v>
      </c>
    </row>
    <row r="1483" spans="1:11" x14ac:dyDescent="0.25">
      <c r="A1483" s="10">
        <v>43306</v>
      </c>
      <c r="B1483" s="9" t="s">
        <v>2057</v>
      </c>
      <c r="C1483" s="12" t="str">
        <f>IFERROR(VLOOKUP(TED[[#This Row],[CENTRO]],'CENTRO DE CUSTO'!B:E,4,FALSE)," ")</f>
        <v>CLEVERTON RODRIGO</v>
      </c>
      <c r="D1483" s="12">
        <v>231</v>
      </c>
      <c r="E1483" s="16">
        <v>231010</v>
      </c>
      <c r="F1483" s="10" t="s">
        <v>1946</v>
      </c>
      <c r="G1483" s="10">
        <v>220</v>
      </c>
      <c r="H1483" s="11">
        <v>46041</v>
      </c>
      <c r="I1483" s="10" t="s">
        <v>21</v>
      </c>
      <c r="J1483" s="12" t="str">
        <f>IF(OR(TED[[#This Row],[SITUACAO]]=1,TED[[#This Row],[SITUACAO]]=9,TED[[#This Row],[SITUACAO]]=18),"ATIVO","AFASTADO")</f>
        <v>ATIVO</v>
      </c>
      <c r="K1483" s="12">
        <v>1</v>
      </c>
    </row>
    <row r="1484" spans="1:11" x14ac:dyDescent="0.25">
      <c r="A1484" s="10">
        <v>41647</v>
      </c>
      <c r="B1484" s="9" t="s">
        <v>1681</v>
      </c>
      <c r="C1484" s="12" t="str">
        <f>IFERROR(VLOOKUP(TED[[#This Row],[CENTRO]],'CENTRO DE CUSTO'!B:E,4,FALSE)," ")</f>
        <v>CLEVERTON RODRIGO</v>
      </c>
      <c r="D1484" s="12">
        <v>231</v>
      </c>
      <c r="E1484" s="16">
        <v>231002</v>
      </c>
      <c r="F1484" s="10" t="s">
        <v>1938</v>
      </c>
      <c r="G1484" s="10">
        <v>220</v>
      </c>
      <c r="H1484" s="11">
        <v>45943</v>
      </c>
      <c r="I1484" s="10" t="s">
        <v>948</v>
      </c>
      <c r="J1484" s="12" t="str">
        <f>IF(OR(TED[[#This Row],[SITUACAO]]=1,TED[[#This Row],[SITUACAO]]=9,TED[[#This Row],[SITUACAO]]=18),"ATIVO","AFASTADO")</f>
        <v>ATIVO</v>
      </c>
      <c r="K1484" s="12">
        <v>1</v>
      </c>
    </row>
    <row r="1485" spans="1:11" x14ac:dyDescent="0.25">
      <c r="A1485" s="10">
        <v>25697</v>
      </c>
      <c r="B1485" s="9" t="s">
        <v>1708</v>
      </c>
      <c r="C1485" s="12" t="str">
        <f>IFERROR(VLOOKUP(TED[[#This Row],[CENTRO]],'CENTRO DE CUSTO'!B:E,4,FALSE)," ")</f>
        <v>CLEVERTON RODRIGO</v>
      </c>
      <c r="D1485" s="12">
        <v>231</v>
      </c>
      <c r="E1485" s="16">
        <v>231012</v>
      </c>
      <c r="F1485" s="10" t="s">
        <v>1948</v>
      </c>
      <c r="G1485" s="10">
        <v>220</v>
      </c>
      <c r="H1485" s="11">
        <v>44993</v>
      </c>
      <c r="I1485" s="10" t="s">
        <v>21</v>
      </c>
      <c r="J1485" s="12" t="str">
        <f>IF(OR(TED[[#This Row],[SITUACAO]]=1,TED[[#This Row],[SITUACAO]]=9,TED[[#This Row],[SITUACAO]]=18),"ATIVO","AFASTADO")</f>
        <v>ATIVO</v>
      </c>
      <c r="K1485" s="12">
        <v>1</v>
      </c>
    </row>
    <row r="1486" spans="1:11" x14ac:dyDescent="0.25">
      <c r="A1486" s="10">
        <v>25751</v>
      </c>
      <c r="B1486" s="9" t="s">
        <v>1744</v>
      </c>
      <c r="C1486" s="12" t="str">
        <f>IFERROR(VLOOKUP(TED[[#This Row],[CENTRO]],'CENTRO DE CUSTO'!B:E,4,FALSE)," ")</f>
        <v>CLEVERTON RODRIGO</v>
      </c>
      <c r="D1486" s="12">
        <v>231</v>
      </c>
      <c r="E1486" s="16">
        <v>231025</v>
      </c>
      <c r="F1486" s="10" t="s">
        <v>1961</v>
      </c>
      <c r="G1486" s="10">
        <v>220</v>
      </c>
      <c r="H1486" s="11">
        <v>44993</v>
      </c>
      <c r="I1486" s="10" t="s">
        <v>948</v>
      </c>
      <c r="J1486" s="12" t="str">
        <f>IF(OR(TED[[#This Row],[SITUACAO]]=1,TED[[#This Row],[SITUACAO]]=9,TED[[#This Row],[SITUACAO]]=18),"ATIVO","AFASTADO")</f>
        <v>ATIVO</v>
      </c>
      <c r="K1486" s="12">
        <v>1</v>
      </c>
    </row>
    <row r="1487" spans="1:11" x14ac:dyDescent="0.25">
      <c r="A1487" s="10">
        <v>25750</v>
      </c>
      <c r="B1487" s="9" t="s">
        <v>1733</v>
      </c>
      <c r="C1487" s="12" t="str">
        <f>IFERROR(VLOOKUP(TED[[#This Row],[CENTRO]],'CENTRO DE CUSTO'!B:E,4,FALSE)," ")</f>
        <v>CLEVERTON RODRIGO</v>
      </c>
      <c r="D1487" s="12">
        <v>231</v>
      </c>
      <c r="E1487" s="16">
        <v>231019</v>
      </c>
      <c r="F1487" s="10" t="s">
        <v>1955</v>
      </c>
      <c r="G1487" s="10">
        <v>220</v>
      </c>
      <c r="H1487" s="11">
        <v>44993</v>
      </c>
      <c r="I1487" s="10" t="s">
        <v>21</v>
      </c>
      <c r="J1487" s="12" t="str">
        <f>IF(OR(TED[[#This Row],[SITUACAO]]=1,TED[[#This Row],[SITUACAO]]=9,TED[[#This Row],[SITUACAO]]=18),"ATIVO","AFASTADO")</f>
        <v>ATIVO</v>
      </c>
      <c r="K1487" s="12">
        <v>1</v>
      </c>
    </row>
    <row r="1488" spans="1:11" x14ac:dyDescent="0.25">
      <c r="A1488" s="10">
        <v>44355</v>
      </c>
      <c r="B1488" s="9" t="s">
        <v>2122</v>
      </c>
      <c r="C1488" s="12" t="str">
        <f>IFERROR(VLOOKUP(TED[[#This Row],[CENTRO]],'CENTRO DE CUSTO'!B:E,4,FALSE)," ")</f>
        <v>CLEVERTON RODRIGO</v>
      </c>
      <c r="D1488" s="12">
        <v>231</v>
      </c>
      <c r="E1488" s="16">
        <v>231007</v>
      </c>
      <c r="F1488" s="10" t="s">
        <v>1943</v>
      </c>
      <c r="G1488" s="10">
        <v>220</v>
      </c>
      <c r="H1488" s="11">
        <v>46085</v>
      </c>
      <c r="I1488" s="10" t="s">
        <v>948</v>
      </c>
      <c r="J1488" s="12" t="str">
        <f>IF(OR(TED[[#This Row],[SITUACAO]]=1,TED[[#This Row],[SITUACAO]]=9,TED[[#This Row],[SITUACAO]]=18),"ATIVO","AFASTADO")</f>
        <v>ATIVO</v>
      </c>
      <c r="K1488" s="12">
        <v>1</v>
      </c>
    </row>
    <row r="1489" spans="1:11" x14ac:dyDescent="0.25">
      <c r="A1489" s="10">
        <v>25706</v>
      </c>
      <c r="B1489" s="9" t="s">
        <v>1697</v>
      </c>
      <c r="C1489" s="12" t="str">
        <f>IFERROR(VLOOKUP(TED[[#This Row],[CENTRO]],'CENTRO DE CUSTO'!B:E,4,FALSE)," ")</f>
        <v>CLEVERTON RODRIGO</v>
      </c>
      <c r="D1489" s="12">
        <v>231</v>
      </c>
      <c r="E1489" s="16">
        <v>231007</v>
      </c>
      <c r="F1489" s="10" t="s">
        <v>1943</v>
      </c>
      <c r="G1489" s="10">
        <v>220</v>
      </c>
      <c r="H1489" s="11">
        <v>44993</v>
      </c>
      <c r="I1489" s="10" t="s">
        <v>948</v>
      </c>
      <c r="J1489" s="12" t="str">
        <f>IF(OR(TED[[#This Row],[SITUACAO]]=1,TED[[#This Row],[SITUACAO]]=9,TED[[#This Row],[SITUACAO]]=18),"ATIVO","AFASTADO")</f>
        <v>ATIVO</v>
      </c>
      <c r="K1489" s="12">
        <v>1</v>
      </c>
    </row>
    <row r="1490" spans="1:11" x14ac:dyDescent="0.25">
      <c r="A1490" s="10">
        <v>34837</v>
      </c>
      <c r="B1490" s="9" t="s">
        <v>1729</v>
      </c>
      <c r="C1490" s="12" t="str">
        <f>IFERROR(VLOOKUP(TED[[#This Row],[CENTRO]],'CENTRO DE CUSTO'!B:E,4,FALSE)," ")</f>
        <v>CLEVERTON RODRIGO</v>
      </c>
      <c r="D1490" s="12">
        <v>231</v>
      </c>
      <c r="E1490" s="16">
        <v>231018</v>
      </c>
      <c r="F1490" s="10" t="s">
        <v>1954</v>
      </c>
      <c r="G1490" s="10">
        <v>220</v>
      </c>
      <c r="H1490" s="11">
        <v>45638</v>
      </c>
      <c r="I1490" s="10" t="s">
        <v>948</v>
      </c>
      <c r="J1490" s="12" t="str">
        <f>IF(OR(TED[[#This Row],[SITUACAO]]=1,TED[[#This Row],[SITUACAO]]=9,TED[[#This Row],[SITUACAO]]=18),"ATIVO","AFASTADO")</f>
        <v>ATIVO</v>
      </c>
      <c r="K1490" s="12">
        <v>1</v>
      </c>
    </row>
    <row r="1491" spans="1:11" x14ac:dyDescent="0.25">
      <c r="A1491" s="10">
        <v>25742</v>
      </c>
      <c r="B1491" s="9" t="s">
        <v>1747</v>
      </c>
      <c r="C1491" s="12" t="str">
        <f>IFERROR(VLOOKUP(TED[[#This Row],[CENTRO]],'CENTRO DE CUSTO'!B:E,4,FALSE)," ")</f>
        <v>CLEVERTON RODRIGO</v>
      </c>
      <c r="D1491" s="12">
        <v>231</v>
      </c>
      <c r="E1491" s="16">
        <v>231027</v>
      </c>
      <c r="F1491" s="10" t="s">
        <v>1963</v>
      </c>
      <c r="G1491" s="10">
        <v>220</v>
      </c>
      <c r="H1491" s="11">
        <v>44993</v>
      </c>
      <c r="I1491" s="10" t="s">
        <v>21</v>
      </c>
      <c r="J1491" s="12" t="str">
        <f>IF(OR(TED[[#This Row],[SITUACAO]]=1,TED[[#This Row],[SITUACAO]]=9,TED[[#This Row],[SITUACAO]]=18),"ATIVO","AFASTADO")</f>
        <v>ATIVO</v>
      </c>
      <c r="K1491" s="12">
        <v>1</v>
      </c>
    </row>
    <row r="1492" spans="1:11" x14ac:dyDescent="0.25">
      <c r="A1492" s="10">
        <v>25713</v>
      </c>
      <c r="B1492" s="9" t="s">
        <v>1704</v>
      </c>
      <c r="C1492" s="12" t="str">
        <f>IFERROR(VLOOKUP(TED[[#This Row],[CENTRO]],'CENTRO DE CUSTO'!B:E,4,FALSE)," ")</f>
        <v>CLEVERTON RODRIGO</v>
      </c>
      <c r="D1492" s="12">
        <v>231</v>
      </c>
      <c r="E1492" s="16">
        <v>231010</v>
      </c>
      <c r="F1492" s="10" t="s">
        <v>1946</v>
      </c>
      <c r="G1492" s="10">
        <v>220</v>
      </c>
      <c r="H1492" s="11">
        <v>44993</v>
      </c>
      <c r="I1492" s="10" t="s">
        <v>948</v>
      </c>
      <c r="J1492" s="12" t="str">
        <f>IF(OR(TED[[#This Row],[SITUACAO]]=1,TED[[#This Row],[SITUACAO]]=9,TED[[#This Row],[SITUACAO]]=18),"ATIVO","AFASTADO")</f>
        <v>ATIVO</v>
      </c>
      <c r="K1492" s="12">
        <v>1</v>
      </c>
    </row>
    <row r="1493" spans="1:11" x14ac:dyDescent="0.25">
      <c r="A1493" s="10">
        <v>25771</v>
      </c>
      <c r="B1493" s="9" t="s">
        <v>1706</v>
      </c>
      <c r="C1493" s="12" t="str">
        <f>IFERROR(VLOOKUP(TED[[#This Row],[CENTRO]],'CENTRO DE CUSTO'!B:E,4,FALSE)," ")</f>
        <v>CLEVERTON RODRIGO</v>
      </c>
      <c r="D1493" s="12">
        <v>231</v>
      </c>
      <c r="E1493" s="16">
        <v>231011</v>
      </c>
      <c r="F1493" s="10" t="s">
        <v>1947</v>
      </c>
      <c r="G1493" s="10">
        <v>220</v>
      </c>
      <c r="H1493" s="11">
        <v>44993</v>
      </c>
      <c r="I1493" s="10" t="s">
        <v>948</v>
      </c>
      <c r="J1493" s="12" t="str">
        <f>IF(OR(TED[[#This Row],[SITUACAO]]=1,TED[[#This Row],[SITUACAO]]=9,TED[[#This Row],[SITUACAO]]=18),"ATIVO","AFASTADO")</f>
        <v>ATIVO</v>
      </c>
      <c r="K1493" s="12">
        <v>1</v>
      </c>
    </row>
    <row r="1494" spans="1:11" x14ac:dyDescent="0.25">
      <c r="A1494" s="10">
        <v>25690</v>
      </c>
      <c r="B1494" s="9" t="s">
        <v>1716</v>
      </c>
      <c r="C1494" s="12" t="str">
        <f>IFERROR(VLOOKUP(TED[[#This Row],[CENTRO]],'CENTRO DE CUSTO'!B:E,4,FALSE)," ")</f>
        <v>CLEVERTON RODRIGO</v>
      </c>
      <c r="D1494" s="12">
        <v>231</v>
      </c>
      <c r="E1494" s="16">
        <v>231014</v>
      </c>
      <c r="F1494" s="10" t="s">
        <v>1950</v>
      </c>
      <c r="G1494" s="10">
        <v>220</v>
      </c>
      <c r="H1494" s="11">
        <v>44993</v>
      </c>
      <c r="I1494" s="10" t="s">
        <v>21</v>
      </c>
      <c r="J1494" s="12" t="str">
        <f>IF(OR(TED[[#This Row],[SITUACAO]]=1,TED[[#This Row],[SITUACAO]]=9,TED[[#This Row],[SITUACAO]]=18),"ATIVO","AFASTADO")</f>
        <v>ATIVO</v>
      </c>
      <c r="K1494" s="12">
        <v>1</v>
      </c>
    </row>
    <row r="1495" spans="1:11" x14ac:dyDescent="0.25">
      <c r="A1495" s="10">
        <v>25737</v>
      </c>
      <c r="B1495" s="9" t="s">
        <v>1734</v>
      </c>
      <c r="C1495" s="12" t="str">
        <f>IFERROR(VLOOKUP(TED[[#This Row],[CENTRO]],'CENTRO DE CUSTO'!B:E,4,FALSE)," ")</f>
        <v>CLEVERTON RODRIGO</v>
      </c>
      <c r="D1495" s="12">
        <v>231</v>
      </c>
      <c r="E1495" s="16">
        <v>231020</v>
      </c>
      <c r="F1495" s="10" t="s">
        <v>1956</v>
      </c>
      <c r="G1495" s="10">
        <v>220</v>
      </c>
      <c r="H1495" s="11">
        <v>44993</v>
      </c>
      <c r="I1495" s="10" t="s">
        <v>21</v>
      </c>
      <c r="J1495" s="12" t="str">
        <f>IF(OR(TED[[#This Row],[SITUACAO]]=1,TED[[#This Row],[SITUACAO]]=9,TED[[#This Row],[SITUACAO]]=18),"ATIVO","AFASTADO")</f>
        <v>ATIVO</v>
      </c>
      <c r="K1495" s="12">
        <v>1</v>
      </c>
    </row>
    <row r="1496" spans="1:11" x14ac:dyDescent="0.25">
      <c r="A1496" s="10">
        <v>42046</v>
      </c>
      <c r="B1496" s="9" t="s">
        <v>1679</v>
      </c>
      <c r="C1496" s="12" t="str">
        <f>IFERROR(VLOOKUP(TED[[#This Row],[CENTRO]],'CENTRO DE CUSTO'!B:E,4,FALSE)," ")</f>
        <v>CLEVERTON RODRIGO</v>
      </c>
      <c r="D1496" s="12">
        <v>231</v>
      </c>
      <c r="E1496" s="16">
        <v>231001</v>
      </c>
      <c r="F1496" s="10" t="s">
        <v>1937</v>
      </c>
      <c r="G1496" s="10">
        <v>220</v>
      </c>
      <c r="H1496" s="11">
        <v>45971</v>
      </c>
      <c r="I1496" s="10" t="s">
        <v>944</v>
      </c>
      <c r="J1496" s="12" t="str">
        <f>IF(OR(TED[[#This Row],[SITUACAO]]=1,TED[[#This Row],[SITUACAO]]=9,TED[[#This Row],[SITUACAO]]=18),"ATIVO","AFASTADO")</f>
        <v>ATIVO</v>
      </c>
      <c r="K1496" s="12">
        <v>1</v>
      </c>
    </row>
    <row r="1497" spans="1:11" x14ac:dyDescent="0.25">
      <c r="A1497" s="10">
        <v>28446</v>
      </c>
      <c r="B1497" s="9" t="s">
        <v>1724</v>
      </c>
      <c r="C1497" s="12" t="str">
        <f>IFERROR(VLOOKUP(TED[[#This Row],[CENTRO]],'CENTRO DE CUSTO'!B:E,4,FALSE)," ")</f>
        <v>CLEVERTON RODRIGO</v>
      </c>
      <c r="D1497" s="12">
        <v>231</v>
      </c>
      <c r="E1497" s="16">
        <v>231014</v>
      </c>
      <c r="F1497" s="10" t="s">
        <v>1950</v>
      </c>
      <c r="G1497" s="10">
        <v>220</v>
      </c>
      <c r="H1497" s="11">
        <v>45180</v>
      </c>
      <c r="I1497" s="10" t="s">
        <v>21</v>
      </c>
      <c r="J1497" s="12" t="str">
        <f>IF(OR(TED[[#This Row],[SITUACAO]]=1,TED[[#This Row],[SITUACAO]]=9,TED[[#This Row],[SITUACAO]]=18),"ATIVO","AFASTADO")</f>
        <v>ATIVO</v>
      </c>
      <c r="K1497" s="12">
        <v>1</v>
      </c>
    </row>
    <row r="1498" spans="1:11" x14ac:dyDescent="0.25">
      <c r="A1498" s="10">
        <v>25691</v>
      </c>
      <c r="B1498" s="9" t="s">
        <v>1714</v>
      </c>
      <c r="C1498" s="12" t="str">
        <f>IFERROR(VLOOKUP(TED[[#This Row],[CENTRO]],'CENTRO DE CUSTO'!B:E,4,FALSE)," ")</f>
        <v>CLEVERTON RODRIGO</v>
      </c>
      <c r="D1498" s="12">
        <v>231</v>
      </c>
      <c r="E1498" s="16">
        <v>231014</v>
      </c>
      <c r="F1498" s="10" t="s">
        <v>1950</v>
      </c>
      <c r="G1498" s="10">
        <v>220</v>
      </c>
      <c r="H1498" s="11">
        <v>44993</v>
      </c>
      <c r="I1498" s="10" t="s">
        <v>21</v>
      </c>
      <c r="J1498" s="12" t="str">
        <f>IF(OR(TED[[#This Row],[SITUACAO]]=1,TED[[#This Row],[SITUACAO]]=9,TED[[#This Row],[SITUACAO]]=18),"ATIVO","AFASTADO")</f>
        <v>ATIVO</v>
      </c>
      <c r="K1498" s="12">
        <v>1</v>
      </c>
    </row>
    <row r="1499" spans="1:11" x14ac:dyDescent="0.25">
      <c r="A1499" s="10">
        <v>42048</v>
      </c>
      <c r="B1499" s="9" t="s">
        <v>1699</v>
      </c>
      <c r="C1499" s="12" t="str">
        <f>IFERROR(VLOOKUP(TED[[#This Row],[CENTRO]],'CENTRO DE CUSTO'!B:E,4,FALSE)," ")</f>
        <v>CLEVERTON RODRIGO</v>
      </c>
      <c r="D1499" s="12">
        <v>231</v>
      </c>
      <c r="E1499" s="16">
        <v>231008</v>
      </c>
      <c r="F1499" s="10" t="s">
        <v>1944</v>
      </c>
      <c r="G1499" s="10">
        <v>220</v>
      </c>
      <c r="H1499" s="11">
        <v>45971</v>
      </c>
      <c r="I1499" s="10" t="s">
        <v>944</v>
      </c>
      <c r="J1499" s="12" t="str">
        <f>IF(OR(TED[[#This Row],[SITUACAO]]=1,TED[[#This Row],[SITUACAO]]=9,TED[[#This Row],[SITUACAO]]=18),"ATIVO","AFASTADO")</f>
        <v>ATIVO</v>
      </c>
      <c r="K1499" s="12">
        <v>1</v>
      </c>
    </row>
    <row r="1500" spans="1:11" x14ac:dyDescent="0.25">
      <c r="A1500" s="10">
        <v>25694</v>
      </c>
      <c r="B1500" s="9" t="s">
        <v>1684</v>
      </c>
      <c r="C1500" s="12" t="str">
        <f>IFERROR(VLOOKUP(TED[[#This Row],[CENTRO]],'CENTRO DE CUSTO'!B:E,4,FALSE)," ")</f>
        <v>CLEVERTON RODRIGO</v>
      </c>
      <c r="D1500" s="12">
        <v>231</v>
      </c>
      <c r="E1500" s="16">
        <v>231004</v>
      </c>
      <c r="F1500" s="10" t="s">
        <v>1940</v>
      </c>
      <c r="G1500" s="10">
        <v>220</v>
      </c>
      <c r="H1500" s="11">
        <v>44993</v>
      </c>
      <c r="I1500" s="10" t="s">
        <v>21</v>
      </c>
      <c r="J1500" s="12" t="str">
        <f>IF(OR(TED[[#This Row],[SITUACAO]]=1,TED[[#This Row],[SITUACAO]]=9,TED[[#This Row],[SITUACAO]]=18),"ATIVO","AFASTADO")</f>
        <v>ATIVO</v>
      </c>
      <c r="K1500" s="12">
        <v>1</v>
      </c>
    </row>
    <row r="1501" spans="1:11" x14ac:dyDescent="0.25">
      <c r="A1501" s="10">
        <v>32726</v>
      </c>
      <c r="B1501" s="9" t="s">
        <v>1748</v>
      </c>
      <c r="C1501" s="12" t="str">
        <f>IFERROR(VLOOKUP(TED[[#This Row],[CENTRO]],'CENTRO DE CUSTO'!B:E,4,FALSE)," ")</f>
        <v>CLEVERTON RODRIGO</v>
      </c>
      <c r="D1501" s="12">
        <v>231</v>
      </c>
      <c r="E1501" s="16">
        <v>231029</v>
      </c>
      <c r="F1501" s="10" t="s">
        <v>1965</v>
      </c>
      <c r="G1501" s="10">
        <v>220</v>
      </c>
      <c r="H1501" s="11">
        <v>45446</v>
      </c>
      <c r="I1501" s="10" t="s">
        <v>948</v>
      </c>
      <c r="J1501" s="12" t="str">
        <f>IF(OR(TED[[#This Row],[SITUACAO]]=1,TED[[#This Row],[SITUACAO]]=9,TED[[#This Row],[SITUACAO]]=18),"ATIVO","AFASTADO")</f>
        <v>ATIVO</v>
      </c>
      <c r="K1501" s="12">
        <v>1</v>
      </c>
    </row>
    <row r="1502" spans="1:11" x14ac:dyDescent="0.25">
      <c r="A1502" s="10">
        <v>25708</v>
      </c>
      <c r="B1502" s="9" t="s">
        <v>1696</v>
      </c>
      <c r="C1502" s="12" t="str">
        <f>IFERROR(VLOOKUP(TED[[#This Row],[CENTRO]],'CENTRO DE CUSTO'!B:E,4,FALSE)," ")</f>
        <v>CLEVERTON RODRIGO</v>
      </c>
      <c r="D1502" s="12">
        <v>231</v>
      </c>
      <c r="E1502" s="16">
        <v>231007</v>
      </c>
      <c r="F1502" s="10" t="s">
        <v>1943</v>
      </c>
      <c r="G1502" s="10">
        <v>220</v>
      </c>
      <c r="H1502" s="11">
        <v>44993</v>
      </c>
      <c r="I1502" s="10" t="s">
        <v>21</v>
      </c>
      <c r="J1502" s="12" t="str">
        <f>IF(OR(TED[[#This Row],[SITUACAO]]=1,TED[[#This Row],[SITUACAO]]=9,TED[[#This Row],[SITUACAO]]=18),"ATIVO","AFASTADO")</f>
        <v>ATIVO</v>
      </c>
      <c r="K1502" s="12">
        <v>1</v>
      </c>
    </row>
    <row r="1503" spans="1:11" x14ac:dyDescent="0.25">
      <c r="A1503" s="10">
        <v>39723</v>
      </c>
      <c r="B1503" s="9" t="s">
        <v>1702</v>
      </c>
      <c r="C1503" s="12" t="str">
        <f>IFERROR(VLOOKUP(TED[[#This Row],[CENTRO]],'CENTRO DE CUSTO'!B:E,4,FALSE)," ")</f>
        <v>CLEVERTON RODRIGO</v>
      </c>
      <c r="D1503" s="12">
        <v>231</v>
      </c>
      <c r="E1503" s="16">
        <v>231009</v>
      </c>
      <c r="F1503" s="10" t="s">
        <v>1945</v>
      </c>
      <c r="G1503" s="10">
        <v>220</v>
      </c>
      <c r="H1503" s="11">
        <v>45866</v>
      </c>
      <c r="I1503" s="10" t="s">
        <v>21</v>
      </c>
      <c r="J1503" s="12" t="str">
        <f>IF(OR(TED[[#This Row],[SITUACAO]]=1,TED[[#This Row],[SITUACAO]]=9,TED[[#This Row],[SITUACAO]]=18),"ATIVO","AFASTADO")</f>
        <v>ATIVO</v>
      </c>
      <c r="K1503" s="12">
        <v>1</v>
      </c>
    </row>
    <row r="1504" spans="1:11" x14ac:dyDescent="0.25">
      <c r="A1504" s="10">
        <v>45681</v>
      </c>
      <c r="B1504" s="9" t="s">
        <v>2244</v>
      </c>
      <c r="C1504" s="12" t="str">
        <f>IFERROR(VLOOKUP(TED[[#This Row],[CENTRO]],'CENTRO DE CUSTO'!B:E,4,FALSE)," ")</f>
        <v>CLEVERTON RODRIGO</v>
      </c>
      <c r="D1504" s="12">
        <v>231</v>
      </c>
      <c r="E1504" s="16">
        <v>231006</v>
      </c>
      <c r="F1504" s="10" t="s">
        <v>1942</v>
      </c>
      <c r="G1504" s="10">
        <v>220</v>
      </c>
      <c r="H1504" s="11">
        <v>46160</v>
      </c>
      <c r="I1504" s="10" t="s">
        <v>948</v>
      </c>
      <c r="J1504" s="12" t="str">
        <f>IF(OR(TED[[#This Row],[SITUACAO]]=1,TED[[#This Row],[SITUACAO]]=9,TED[[#This Row],[SITUACAO]]=18),"ATIVO","AFASTADO")</f>
        <v>ATIVO</v>
      </c>
      <c r="K1504" s="12">
        <v>1</v>
      </c>
    </row>
    <row r="1505" spans="1:11" x14ac:dyDescent="0.25">
      <c r="A1505" s="10">
        <v>25701</v>
      </c>
      <c r="B1505" s="9" t="s">
        <v>1695</v>
      </c>
      <c r="C1505" s="12" t="str">
        <f>IFERROR(VLOOKUP(TED[[#This Row],[CENTRO]],'CENTRO DE CUSTO'!B:E,4,FALSE)," ")</f>
        <v>CLEVERTON RODRIGO</v>
      </c>
      <c r="D1505" s="12">
        <v>231</v>
      </c>
      <c r="E1505" s="16">
        <v>231006</v>
      </c>
      <c r="F1505" s="10" t="s">
        <v>1942</v>
      </c>
      <c r="G1505" s="10">
        <v>220</v>
      </c>
      <c r="H1505" s="11">
        <v>44993</v>
      </c>
      <c r="I1505" s="10" t="s">
        <v>21</v>
      </c>
      <c r="J1505" s="12" t="str">
        <f>IF(OR(TED[[#This Row],[SITUACAO]]=1,TED[[#This Row],[SITUACAO]]=9,TED[[#This Row],[SITUACAO]]=18),"ATIVO","AFASTADO")</f>
        <v>ATIVO</v>
      </c>
      <c r="K1505" s="12">
        <v>1</v>
      </c>
    </row>
    <row r="1506" spans="1:11" x14ac:dyDescent="0.25">
      <c r="A1506" s="10">
        <v>25707</v>
      </c>
      <c r="B1506" s="9" t="s">
        <v>949</v>
      </c>
      <c r="C1506" s="12" t="str">
        <f>IFERROR(VLOOKUP(TED[[#This Row],[CENTRO]],'CENTRO DE CUSTO'!B:E,4,FALSE)," ")</f>
        <v>CLEVERTON RODRIGO</v>
      </c>
      <c r="D1506" s="12">
        <v>231</v>
      </c>
      <c r="E1506" s="16">
        <v>231007</v>
      </c>
      <c r="F1506" s="10" t="s">
        <v>1943</v>
      </c>
      <c r="G1506" s="10">
        <v>220</v>
      </c>
      <c r="H1506" s="11">
        <v>44993</v>
      </c>
      <c r="I1506" s="10" t="s">
        <v>948</v>
      </c>
      <c r="J1506" s="12" t="str">
        <f>IF(OR(TED[[#This Row],[SITUACAO]]=1,TED[[#This Row],[SITUACAO]]=9,TED[[#This Row],[SITUACAO]]=18),"ATIVO","AFASTADO")</f>
        <v>AFASTADO</v>
      </c>
      <c r="K1506" s="12">
        <v>12</v>
      </c>
    </row>
    <row r="1507" spans="1:11" x14ac:dyDescent="0.25">
      <c r="A1507" s="10">
        <v>44957</v>
      </c>
      <c r="B1507" s="9" t="s">
        <v>2188</v>
      </c>
      <c r="C1507" s="12" t="str">
        <f>IFERROR(VLOOKUP(TED[[#This Row],[CENTRO]],'CENTRO DE CUSTO'!B:E,4,FALSE)," ")</f>
        <v>CLEVERTON RODRIGO</v>
      </c>
      <c r="D1507" s="12">
        <v>231</v>
      </c>
      <c r="E1507" s="16">
        <v>231014</v>
      </c>
      <c r="F1507" s="10" t="s">
        <v>1950</v>
      </c>
      <c r="G1507" s="10">
        <v>220</v>
      </c>
      <c r="H1507" s="11">
        <v>46118</v>
      </c>
      <c r="I1507" s="10" t="s">
        <v>944</v>
      </c>
      <c r="J1507" s="12" t="str">
        <f>IF(OR(TED[[#This Row],[SITUACAO]]=1,TED[[#This Row],[SITUACAO]]=9,TED[[#This Row],[SITUACAO]]=18),"ATIVO","AFASTADO")</f>
        <v>ATIVO</v>
      </c>
      <c r="K1507" s="12">
        <v>1</v>
      </c>
    </row>
    <row r="1508" spans="1:11" x14ac:dyDescent="0.25">
      <c r="A1508" s="10">
        <v>25752</v>
      </c>
      <c r="B1508" s="9" t="s">
        <v>1731</v>
      </c>
      <c r="C1508" s="12" t="str">
        <f>IFERROR(VLOOKUP(TED[[#This Row],[CENTRO]],'CENTRO DE CUSTO'!B:E,4,FALSE)," ")</f>
        <v>CLEVERTON RODRIGO</v>
      </c>
      <c r="D1508" s="12">
        <v>231</v>
      </c>
      <c r="E1508" s="16">
        <v>231019</v>
      </c>
      <c r="F1508" s="10" t="s">
        <v>1955</v>
      </c>
      <c r="G1508" s="10">
        <v>220</v>
      </c>
      <c r="H1508" s="11">
        <v>44993</v>
      </c>
      <c r="I1508" s="10" t="s">
        <v>948</v>
      </c>
      <c r="J1508" s="12" t="str">
        <f>IF(OR(TED[[#This Row],[SITUACAO]]=1,TED[[#This Row],[SITUACAO]]=9,TED[[#This Row],[SITUACAO]]=18),"ATIVO","AFASTADO")</f>
        <v>ATIVO</v>
      </c>
      <c r="K1508" s="12">
        <v>9</v>
      </c>
    </row>
    <row r="1509" spans="1:11" x14ac:dyDescent="0.25">
      <c r="A1509" s="10">
        <v>34129</v>
      </c>
      <c r="B1509" s="9" t="s">
        <v>1723</v>
      </c>
      <c r="C1509" s="12" t="str">
        <f>IFERROR(VLOOKUP(TED[[#This Row],[CENTRO]],'CENTRO DE CUSTO'!B:E,4,FALSE)," ")</f>
        <v>CLEVERTON RODRIGO</v>
      </c>
      <c r="D1509" s="12">
        <v>231</v>
      </c>
      <c r="E1509" s="16">
        <v>231014</v>
      </c>
      <c r="F1509" s="10" t="s">
        <v>1950</v>
      </c>
      <c r="G1509" s="10">
        <v>220</v>
      </c>
      <c r="H1509" s="11">
        <v>45567</v>
      </c>
      <c r="I1509" s="10" t="s">
        <v>21</v>
      </c>
      <c r="J1509" s="12" t="str">
        <f>IF(OR(TED[[#This Row],[SITUACAO]]=1,TED[[#This Row],[SITUACAO]]=9,TED[[#This Row],[SITUACAO]]=18),"ATIVO","AFASTADO")</f>
        <v>ATIVO</v>
      </c>
      <c r="K1509" s="12">
        <v>1</v>
      </c>
    </row>
    <row r="1510" spans="1:11" x14ac:dyDescent="0.25">
      <c r="A1510" s="10">
        <v>25702</v>
      </c>
      <c r="B1510" s="9" t="s">
        <v>1687</v>
      </c>
      <c r="C1510" s="12" t="str">
        <f>IFERROR(VLOOKUP(TED[[#This Row],[CENTRO]],'CENTRO DE CUSTO'!B:E,4,FALSE)," ")</f>
        <v>CLEVERTON RODRIGO</v>
      </c>
      <c r="D1510" s="12">
        <v>231</v>
      </c>
      <c r="E1510" s="16">
        <v>231005</v>
      </c>
      <c r="F1510" s="10" t="s">
        <v>1941</v>
      </c>
      <c r="G1510" s="10">
        <v>220</v>
      </c>
      <c r="H1510" s="11">
        <v>44993</v>
      </c>
      <c r="I1510" s="10" t="s">
        <v>948</v>
      </c>
      <c r="J1510" s="12" t="str">
        <f>IF(OR(TED[[#This Row],[SITUACAO]]=1,TED[[#This Row],[SITUACAO]]=9,TED[[#This Row],[SITUACAO]]=18),"ATIVO","AFASTADO")</f>
        <v>ATIVO</v>
      </c>
      <c r="K1510" s="12">
        <v>1</v>
      </c>
    </row>
    <row r="1511" spans="1:11" x14ac:dyDescent="0.25">
      <c r="A1511" s="10">
        <v>25763</v>
      </c>
      <c r="B1511" s="9" t="s">
        <v>1713</v>
      </c>
      <c r="C1511" s="12" t="str">
        <f>IFERROR(VLOOKUP(TED[[#This Row],[CENTRO]],'CENTRO DE CUSTO'!B:E,4,FALSE)," ")</f>
        <v>CLEVERTON RODRIGO</v>
      </c>
      <c r="D1511" s="12">
        <v>231</v>
      </c>
      <c r="E1511" s="16">
        <v>231013</v>
      </c>
      <c r="F1511" s="10" t="s">
        <v>1949</v>
      </c>
      <c r="G1511" s="10">
        <v>220</v>
      </c>
      <c r="H1511" s="11">
        <v>44993</v>
      </c>
      <c r="I1511" s="10" t="s">
        <v>21</v>
      </c>
      <c r="J1511" s="12" t="str">
        <f>IF(OR(TED[[#This Row],[SITUACAO]]=1,TED[[#This Row],[SITUACAO]]=9,TED[[#This Row],[SITUACAO]]=18),"ATIVO","AFASTADO")</f>
        <v>ATIVO</v>
      </c>
      <c r="K1511" s="12">
        <v>1</v>
      </c>
    </row>
    <row r="1512" spans="1:11" x14ac:dyDescent="0.25">
      <c r="A1512" s="10">
        <v>25738</v>
      </c>
      <c r="B1512" s="9" t="s">
        <v>1741</v>
      </c>
      <c r="C1512" s="12" t="str">
        <f>IFERROR(VLOOKUP(TED[[#This Row],[CENTRO]],'CENTRO DE CUSTO'!B:E,4,FALSE)," ")</f>
        <v>CLEVERTON RODRIGO</v>
      </c>
      <c r="D1512" s="12">
        <v>231</v>
      </c>
      <c r="E1512" s="16">
        <v>231022</v>
      </c>
      <c r="F1512" s="10" t="s">
        <v>1958</v>
      </c>
      <c r="G1512" s="10">
        <v>220</v>
      </c>
      <c r="H1512" s="11">
        <v>44993</v>
      </c>
      <c r="I1512" s="10" t="s">
        <v>948</v>
      </c>
      <c r="J1512" s="12" t="str">
        <f>IF(OR(TED[[#This Row],[SITUACAO]]=1,TED[[#This Row],[SITUACAO]]=9,TED[[#This Row],[SITUACAO]]=18),"ATIVO","AFASTADO")</f>
        <v>ATIVO</v>
      </c>
      <c r="K1512" s="12">
        <v>1</v>
      </c>
    </row>
    <row r="1513" spans="1:11" x14ac:dyDescent="0.25">
      <c r="A1513" s="10">
        <v>25710</v>
      </c>
      <c r="B1513" s="9" t="s">
        <v>1701</v>
      </c>
      <c r="C1513" s="12" t="str">
        <f>IFERROR(VLOOKUP(TED[[#This Row],[CENTRO]],'CENTRO DE CUSTO'!B:E,4,FALSE)," ")</f>
        <v>CLEVERTON RODRIGO</v>
      </c>
      <c r="D1513" s="12">
        <v>231</v>
      </c>
      <c r="E1513" s="16">
        <v>231009</v>
      </c>
      <c r="F1513" s="10" t="s">
        <v>1945</v>
      </c>
      <c r="G1513" s="10">
        <v>220</v>
      </c>
      <c r="H1513" s="11">
        <v>44993</v>
      </c>
      <c r="I1513" s="10" t="s">
        <v>948</v>
      </c>
      <c r="J1513" s="12" t="str">
        <f>IF(OR(TED[[#This Row],[SITUACAO]]=1,TED[[#This Row],[SITUACAO]]=9,TED[[#This Row],[SITUACAO]]=18),"ATIVO","AFASTADO")</f>
        <v>ATIVO</v>
      </c>
      <c r="K1513" s="12">
        <v>1</v>
      </c>
    </row>
    <row r="1514" spans="1:11" x14ac:dyDescent="0.25">
      <c r="A1514" s="10">
        <v>32717</v>
      </c>
      <c r="B1514" s="9" t="s">
        <v>1712</v>
      </c>
      <c r="C1514" s="12" t="str">
        <f>IFERROR(VLOOKUP(TED[[#This Row],[CENTRO]],'CENTRO DE CUSTO'!B:E,4,FALSE)," ")</f>
        <v>CLEVERTON RODRIGO</v>
      </c>
      <c r="D1514" s="12">
        <v>231</v>
      </c>
      <c r="E1514" s="16">
        <v>231013</v>
      </c>
      <c r="F1514" s="10" t="s">
        <v>1949</v>
      </c>
      <c r="G1514" s="10">
        <v>220</v>
      </c>
      <c r="H1514" s="11">
        <v>45446</v>
      </c>
      <c r="I1514" s="10" t="s">
        <v>21</v>
      </c>
      <c r="J1514" s="12" t="str">
        <f>IF(OR(TED[[#This Row],[SITUACAO]]=1,TED[[#This Row],[SITUACAO]]=9,TED[[#This Row],[SITUACAO]]=18),"ATIVO","AFASTADO")</f>
        <v>ATIVO</v>
      </c>
      <c r="K1514" s="12">
        <v>1</v>
      </c>
    </row>
    <row r="1515" spans="1:11" x14ac:dyDescent="0.25">
      <c r="A1515" s="10">
        <v>43436</v>
      </c>
      <c r="B1515" s="9" t="s">
        <v>2092</v>
      </c>
      <c r="C1515" s="12" t="str">
        <f>IFERROR(VLOOKUP(TED[[#This Row],[CENTRO]],'CENTRO DE CUSTO'!B:E,4,FALSE)," ")</f>
        <v>CLEVERTON RODRIGO</v>
      </c>
      <c r="D1515" s="12">
        <v>231</v>
      </c>
      <c r="E1515" s="16">
        <v>231002</v>
      </c>
      <c r="F1515" s="10" t="s">
        <v>1938</v>
      </c>
      <c r="G1515" s="10">
        <v>220</v>
      </c>
      <c r="H1515" s="11">
        <v>46048</v>
      </c>
      <c r="I1515" s="10" t="s">
        <v>21</v>
      </c>
      <c r="J1515" s="12" t="str">
        <f>IF(OR(TED[[#This Row],[SITUACAO]]=1,TED[[#This Row],[SITUACAO]]=9,TED[[#This Row],[SITUACAO]]=18),"ATIVO","AFASTADO")</f>
        <v>ATIVO</v>
      </c>
      <c r="K1515" s="12">
        <v>1</v>
      </c>
    </row>
    <row r="1516" spans="1:11" x14ac:dyDescent="0.25">
      <c r="A1516" s="10">
        <v>37832</v>
      </c>
      <c r="B1516" s="9" t="s">
        <v>1739</v>
      </c>
      <c r="C1516" s="12" t="str">
        <f>IFERROR(VLOOKUP(TED[[#This Row],[CENTRO]],'CENTRO DE CUSTO'!B:E,4,FALSE)," ")</f>
        <v>CLEVERTON RODRIGO</v>
      </c>
      <c r="D1516" s="12">
        <v>231</v>
      </c>
      <c r="E1516" s="16">
        <v>231021</v>
      </c>
      <c r="F1516" s="10" t="s">
        <v>1957</v>
      </c>
      <c r="G1516" s="10">
        <v>220</v>
      </c>
      <c r="H1516" s="11">
        <v>45740</v>
      </c>
      <c r="I1516" s="10" t="s">
        <v>21</v>
      </c>
      <c r="J1516" s="12" t="str">
        <f>IF(OR(TED[[#This Row],[SITUACAO]]=1,TED[[#This Row],[SITUACAO]]=9,TED[[#This Row],[SITUACAO]]=18),"ATIVO","AFASTADO")</f>
        <v>ATIVO</v>
      </c>
      <c r="K1516" s="12">
        <v>1</v>
      </c>
    </row>
    <row r="1517" spans="1:11" x14ac:dyDescent="0.25">
      <c r="A1517" s="10">
        <v>34670</v>
      </c>
      <c r="B1517" s="9" t="s">
        <v>1749</v>
      </c>
      <c r="C1517" s="12" t="str">
        <f>IFERROR(VLOOKUP(TED[[#This Row],[CENTRO]],'CENTRO DE CUSTO'!B:E,4,FALSE)," ")</f>
        <v>CLEVERTON RODRIGO</v>
      </c>
      <c r="D1517" s="12">
        <v>231</v>
      </c>
      <c r="E1517" s="16">
        <v>231029</v>
      </c>
      <c r="F1517" s="10" t="s">
        <v>1965</v>
      </c>
      <c r="G1517" s="10">
        <v>220</v>
      </c>
      <c r="H1517" s="11">
        <v>45621</v>
      </c>
      <c r="I1517" s="10" t="s">
        <v>21</v>
      </c>
      <c r="J1517" s="12" t="str">
        <f>IF(OR(TED[[#This Row],[SITUACAO]]=1,TED[[#This Row],[SITUACAO]]=9,TED[[#This Row],[SITUACAO]]=18),"ATIVO","AFASTADO")</f>
        <v>ATIVO</v>
      </c>
      <c r="K1517" s="12">
        <v>1</v>
      </c>
    </row>
    <row r="1518" spans="1:11" x14ac:dyDescent="0.25">
      <c r="A1518" s="10">
        <v>25705</v>
      </c>
      <c r="B1518" s="9" t="s">
        <v>1698</v>
      </c>
      <c r="C1518" s="12" t="str">
        <f>IFERROR(VLOOKUP(TED[[#This Row],[CENTRO]],'CENTRO DE CUSTO'!B:E,4,FALSE)," ")</f>
        <v>CLEVERTON RODRIGO</v>
      </c>
      <c r="D1518" s="12">
        <v>231</v>
      </c>
      <c r="E1518" s="16">
        <v>231008</v>
      </c>
      <c r="F1518" s="10" t="s">
        <v>1944</v>
      </c>
      <c r="G1518" s="10">
        <v>220</v>
      </c>
      <c r="H1518" s="11">
        <v>44993</v>
      </c>
      <c r="I1518" s="10" t="s">
        <v>948</v>
      </c>
      <c r="J1518" s="12" t="str">
        <f>IF(OR(TED[[#This Row],[SITUACAO]]=1,TED[[#This Row],[SITUACAO]]=9,TED[[#This Row],[SITUACAO]]=18),"ATIVO","AFASTADO")</f>
        <v>ATIVO</v>
      </c>
      <c r="K1518" s="12">
        <v>1</v>
      </c>
    </row>
    <row r="1519" spans="1:11" x14ac:dyDescent="0.25">
      <c r="A1519" s="10">
        <v>25743</v>
      </c>
      <c r="B1519" s="9" t="s">
        <v>1737</v>
      </c>
      <c r="C1519" s="12" t="str">
        <f>IFERROR(VLOOKUP(TED[[#This Row],[CENTRO]],'CENTRO DE CUSTO'!B:E,4,FALSE)," ")</f>
        <v>CLEVERTON RODRIGO</v>
      </c>
      <c r="D1519" s="12">
        <v>231</v>
      </c>
      <c r="E1519" s="16">
        <v>231020</v>
      </c>
      <c r="F1519" s="10" t="s">
        <v>1956</v>
      </c>
      <c r="G1519" s="10">
        <v>220</v>
      </c>
      <c r="H1519" s="11">
        <v>44993</v>
      </c>
      <c r="I1519" s="10" t="s">
        <v>21</v>
      </c>
      <c r="J1519" s="12" t="str">
        <f>IF(OR(TED[[#This Row],[SITUACAO]]=1,TED[[#This Row],[SITUACAO]]=9,TED[[#This Row],[SITUACAO]]=18),"ATIVO","AFASTADO")</f>
        <v>ATIVO</v>
      </c>
      <c r="K1519" s="12">
        <v>1</v>
      </c>
    </row>
    <row r="1520" spans="1:11" x14ac:dyDescent="0.25">
      <c r="A1520" s="10">
        <v>44754</v>
      </c>
      <c r="B1520" s="9" t="s">
        <v>2187</v>
      </c>
      <c r="C1520" s="12" t="str">
        <f>IFERROR(VLOOKUP(TED[[#This Row],[CENTRO]],'CENTRO DE CUSTO'!B:E,4,FALSE)," ")</f>
        <v>CLEVERTON RODRIGO</v>
      </c>
      <c r="D1520" s="12">
        <v>231</v>
      </c>
      <c r="E1520" s="16">
        <v>231014</v>
      </c>
      <c r="F1520" s="10" t="s">
        <v>1950</v>
      </c>
      <c r="G1520" s="10">
        <v>220</v>
      </c>
      <c r="H1520" s="11">
        <v>46111</v>
      </c>
      <c r="I1520" s="10" t="s">
        <v>21</v>
      </c>
      <c r="J1520" s="12" t="str">
        <f>IF(OR(TED[[#This Row],[SITUACAO]]=1,TED[[#This Row],[SITUACAO]]=9,TED[[#This Row],[SITUACAO]]=18),"ATIVO","AFASTADO")</f>
        <v>ATIVO</v>
      </c>
      <c r="K1520" s="12">
        <v>1</v>
      </c>
    </row>
    <row r="1521" spans="1:11" x14ac:dyDescent="0.25">
      <c r="A1521" s="10">
        <v>42049</v>
      </c>
      <c r="B1521" s="9" t="s">
        <v>1728</v>
      </c>
      <c r="C1521" s="12" t="str">
        <f>IFERROR(VLOOKUP(TED[[#This Row],[CENTRO]],'CENTRO DE CUSTO'!B:E,4,FALSE)," ")</f>
        <v>CLEVERTON RODRIGO</v>
      </c>
      <c r="D1521" s="12">
        <v>231</v>
      </c>
      <c r="E1521" s="16">
        <v>231017</v>
      </c>
      <c r="F1521" s="10" t="s">
        <v>1953</v>
      </c>
      <c r="G1521" s="10">
        <v>220</v>
      </c>
      <c r="H1521" s="11">
        <v>45971</v>
      </c>
      <c r="I1521" s="10" t="s">
        <v>944</v>
      </c>
      <c r="J1521" s="12" t="str">
        <f>IF(OR(TED[[#This Row],[SITUACAO]]=1,TED[[#This Row],[SITUACAO]]=9,TED[[#This Row],[SITUACAO]]=18),"ATIVO","AFASTADO")</f>
        <v>ATIVO</v>
      </c>
      <c r="K1521" s="12">
        <v>1</v>
      </c>
    </row>
    <row r="1522" spans="1:11" x14ac:dyDescent="0.25">
      <c r="A1522" s="10">
        <v>33480</v>
      </c>
      <c r="B1522" s="9" t="s">
        <v>1761</v>
      </c>
      <c r="C1522" s="12" t="str">
        <f>IFERROR(VLOOKUP(TED[[#This Row],[CENTRO]],'CENTRO DE CUSTO'!B:E,4,FALSE)," ")</f>
        <v>MARCOS</v>
      </c>
      <c r="D1522" s="12">
        <v>258</v>
      </c>
      <c r="E1522" s="16">
        <v>258000</v>
      </c>
      <c r="F1522" s="10" t="s">
        <v>1905</v>
      </c>
      <c r="G1522" s="10">
        <v>200</v>
      </c>
      <c r="H1522" s="11">
        <v>45512</v>
      </c>
      <c r="I1522" s="10" t="s">
        <v>1995</v>
      </c>
      <c r="J1522" s="12" t="str">
        <f>IF(OR(TED[[#This Row],[SITUACAO]]=1,TED[[#This Row],[SITUACAO]]=9,TED[[#This Row],[SITUACAO]]=18),"ATIVO","AFASTADO")</f>
        <v>ATIVO</v>
      </c>
      <c r="K1522" s="12">
        <v>1</v>
      </c>
    </row>
    <row r="1523" spans="1:11" x14ac:dyDescent="0.25">
      <c r="A1523" s="10">
        <v>39511</v>
      </c>
      <c r="B1523" s="9" t="s">
        <v>1751</v>
      </c>
      <c r="C1523" s="12" t="str">
        <f>IFERROR(VLOOKUP(TED[[#This Row],[CENTRO]],'CENTRO DE CUSTO'!B:E,4,FALSE)," ")</f>
        <v>MARCOS</v>
      </c>
      <c r="D1523" s="12">
        <v>258</v>
      </c>
      <c r="E1523" s="16">
        <v>258000</v>
      </c>
      <c r="F1523" s="10" t="s">
        <v>1905</v>
      </c>
      <c r="G1523" s="10">
        <v>200</v>
      </c>
      <c r="H1523" s="11">
        <v>45849</v>
      </c>
      <c r="I1523" s="10" t="s">
        <v>1995</v>
      </c>
      <c r="J1523" s="12" t="str">
        <f>IF(OR(TED[[#This Row],[SITUACAO]]=1,TED[[#This Row],[SITUACAO]]=9,TED[[#This Row],[SITUACAO]]=18),"ATIVO","AFASTADO")</f>
        <v>ATIVO</v>
      </c>
      <c r="K1523" s="12">
        <v>1</v>
      </c>
    </row>
    <row r="1524" spans="1:11" x14ac:dyDescent="0.25">
      <c r="A1524" s="10">
        <v>31157</v>
      </c>
      <c r="B1524" s="9" t="s">
        <v>1768</v>
      </c>
      <c r="C1524" s="12" t="str">
        <f>IFERROR(VLOOKUP(TED[[#This Row],[CENTRO]],'CENTRO DE CUSTO'!B:E,4,FALSE)," ")</f>
        <v>MARCOS</v>
      </c>
      <c r="D1524" s="12">
        <v>258</v>
      </c>
      <c r="E1524" s="16">
        <v>258000</v>
      </c>
      <c r="F1524" s="10" t="s">
        <v>1905</v>
      </c>
      <c r="G1524" s="10">
        <v>200</v>
      </c>
      <c r="H1524" s="11">
        <v>45338</v>
      </c>
      <c r="I1524" s="10" t="s">
        <v>1995</v>
      </c>
      <c r="J1524" s="12" t="str">
        <f>IF(OR(TED[[#This Row],[SITUACAO]]=1,TED[[#This Row],[SITUACAO]]=9,TED[[#This Row],[SITUACAO]]=18),"ATIVO","AFASTADO")</f>
        <v>ATIVO</v>
      </c>
      <c r="K1524" s="12">
        <v>1</v>
      </c>
    </row>
    <row r="1525" spans="1:11" x14ac:dyDescent="0.25">
      <c r="A1525" s="10">
        <v>44674</v>
      </c>
      <c r="B1525" s="9" t="s">
        <v>2159</v>
      </c>
      <c r="C1525" s="12" t="str">
        <f>IFERROR(VLOOKUP(TED[[#This Row],[CENTRO]],'CENTRO DE CUSTO'!B:E,4,FALSE)," ")</f>
        <v>MARCOS</v>
      </c>
      <c r="D1525" s="12">
        <v>258</v>
      </c>
      <c r="E1525" s="16">
        <v>258000</v>
      </c>
      <c r="F1525" s="10" t="s">
        <v>1905</v>
      </c>
      <c r="G1525" s="10">
        <v>200</v>
      </c>
      <c r="H1525" s="11">
        <v>46101</v>
      </c>
      <c r="I1525" s="10" t="s">
        <v>1995</v>
      </c>
      <c r="J1525" s="12" t="str">
        <f>IF(OR(TED[[#This Row],[SITUACAO]]=1,TED[[#This Row],[SITUACAO]]=9,TED[[#This Row],[SITUACAO]]=18),"ATIVO","AFASTADO")</f>
        <v>AFASTADO</v>
      </c>
      <c r="K1525" s="12">
        <v>6</v>
      </c>
    </row>
    <row r="1526" spans="1:11" x14ac:dyDescent="0.25">
      <c r="A1526" s="10">
        <v>45141</v>
      </c>
      <c r="B1526" s="9" t="s">
        <v>2190</v>
      </c>
      <c r="C1526" s="12" t="str">
        <f>IFERROR(VLOOKUP(TED[[#This Row],[CENTRO]],'CENTRO DE CUSTO'!B:E,4,FALSE)," ")</f>
        <v>MARCOS</v>
      </c>
      <c r="D1526" s="12">
        <v>258</v>
      </c>
      <c r="E1526" s="16">
        <v>258000</v>
      </c>
      <c r="F1526" s="10" t="s">
        <v>1905</v>
      </c>
      <c r="G1526" s="10">
        <v>200</v>
      </c>
      <c r="H1526" s="11">
        <v>46129</v>
      </c>
      <c r="I1526" s="10" t="s">
        <v>1995</v>
      </c>
      <c r="J1526" s="12" t="str">
        <f>IF(OR(TED[[#This Row],[SITUACAO]]=1,TED[[#This Row],[SITUACAO]]=9,TED[[#This Row],[SITUACAO]]=18),"ATIVO","AFASTADO")</f>
        <v>ATIVO</v>
      </c>
      <c r="K1526" s="12">
        <v>1</v>
      </c>
    </row>
    <row r="1527" spans="1:11" x14ac:dyDescent="0.25">
      <c r="A1527" s="10">
        <v>45395</v>
      </c>
      <c r="B1527" s="9" t="s">
        <v>2245</v>
      </c>
      <c r="C1527" s="12" t="str">
        <f>IFERROR(VLOOKUP(TED[[#This Row],[CENTRO]],'CENTRO DE CUSTO'!B:E,4,FALSE)," ")</f>
        <v>MARCOS</v>
      </c>
      <c r="D1527" s="12">
        <v>258</v>
      </c>
      <c r="E1527" s="16">
        <v>258000</v>
      </c>
      <c r="F1527" s="10" t="s">
        <v>1905</v>
      </c>
      <c r="G1527" s="10">
        <v>200</v>
      </c>
      <c r="H1527" s="11">
        <v>46146</v>
      </c>
      <c r="I1527" s="10" t="s">
        <v>1995</v>
      </c>
      <c r="J1527" s="12" t="str">
        <f>IF(OR(TED[[#This Row],[SITUACAO]]=1,TED[[#This Row],[SITUACAO]]=9,TED[[#This Row],[SITUACAO]]=18),"ATIVO","AFASTADO")</f>
        <v>ATIVO</v>
      </c>
      <c r="K1527" s="12">
        <v>1</v>
      </c>
    </row>
    <row r="1528" spans="1:11" x14ac:dyDescent="0.25">
      <c r="A1528" s="10">
        <v>30865</v>
      </c>
      <c r="B1528" s="9" t="s">
        <v>1766</v>
      </c>
      <c r="C1528" s="12" t="str">
        <f>IFERROR(VLOOKUP(TED[[#This Row],[CENTRO]],'CENTRO DE CUSTO'!B:E,4,FALSE)," ")</f>
        <v>MARCOS</v>
      </c>
      <c r="D1528" s="12">
        <v>258</v>
      </c>
      <c r="E1528" s="16">
        <v>258000</v>
      </c>
      <c r="F1528" s="10" t="s">
        <v>1905</v>
      </c>
      <c r="G1528" s="10">
        <v>200</v>
      </c>
      <c r="H1528" s="11">
        <v>45337</v>
      </c>
      <c r="I1528" s="10" t="s">
        <v>1995</v>
      </c>
      <c r="J1528" s="12" t="str">
        <f>IF(OR(TED[[#This Row],[SITUACAO]]=1,TED[[#This Row],[SITUACAO]]=9,TED[[#This Row],[SITUACAO]]=18),"ATIVO","AFASTADO")</f>
        <v>ATIVO</v>
      </c>
      <c r="K1528" s="12">
        <v>1</v>
      </c>
    </row>
    <row r="1529" spans="1:11" x14ac:dyDescent="0.25">
      <c r="A1529" s="10">
        <v>36263</v>
      </c>
      <c r="B1529" s="9" t="s">
        <v>1754</v>
      </c>
      <c r="C1529" s="12" t="str">
        <f>IFERROR(VLOOKUP(TED[[#This Row],[CENTRO]],'CENTRO DE CUSTO'!B:E,4,FALSE)," ")</f>
        <v>MARCOS</v>
      </c>
      <c r="D1529" s="12">
        <v>258</v>
      </c>
      <c r="E1529" s="16">
        <v>258000</v>
      </c>
      <c r="F1529" s="10" t="s">
        <v>1905</v>
      </c>
      <c r="G1529" s="10">
        <v>200</v>
      </c>
      <c r="H1529" s="11">
        <v>45693</v>
      </c>
      <c r="I1529" s="10" t="s">
        <v>1995</v>
      </c>
      <c r="J1529" s="12" t="str">
        <f>IF(OR(TED[[#This Row],[SITUACAO]]=1,TED[[#This Row],[SITUACAO]]=9,TED[[#This Row],[SITUACAO]]=18),"ATIVO","AFASTADO")</f>
        <v>ATIVO</v>
      </c>
      <c r="K1529" s="12">
        <v>1</v>
      </c>
    </row>
    <row r="1530" spans="1:11" x14ac:dyDescent="0.25">
      <c r="A1530" s="10">
        <v>32272</v>
      </c>
      <c r="B1530" s="9" t="s">
        <v>1764</v>
      </c>
      <c r="C1530" s="12" t="str">
        <f>IFERROR(VLOOKUP(TED[[#This Row],[CENTRO]],'CENTRO DE CUSTO'!B:E,4,FALSE)," ")</f>
        <v>MARCOS</v>
      </c>
      <c r="D1530" s="12">
        <v>258</v>
      </c>
      <c r="E1530" s="16">
        <v>258000</v>
      </c>
      <c r="F1530" s="10" t="s">
        <v>1905</v>
      </c>
      <c r="G1530" s="10">
        <v>200</v>
      </c>
      <c r="H1530" s="11">
        <v>45406</v>
      </c>
      <c r="I1530" s="10" t="s">
        <v>1995</v>
      </c>
      <c r="J1530" s="12" t="str">
        <f>IF(OR(TED[[#This Row],[SITUACAO]]=1,TED[[#This Row],[SITUACAO]]=9,TED[[#This Row],[SITUACAO]]=18),"ATIVO","AFASTADO")</f>
        <v>ATIVO</v>
      </c>
      <c r="K1530" s="12">
        <v>1</v>
      </c>
    </row>
    <row r="1531" spans="1:11" x14ac:dyDescent="0.25">
      <c r="A1531" s="10">
        <v>35215</v>
      </c>
      <c r="B1531" s="9" t="s">
        <v>1760</v>
      </c>
      <c r="C1531" s="12" t="str">
        <f>IFERROR(VLOOKUP(TED[[#This Row],[CENTRO]],'CENTRO DE CUSTO'!B:E,4,FALSE)," ")</f>
        <v>MARCOS</v>
      </c>
      <c r="D1531" s="12">
        <v>258</v>
      </c>
      <c r="E1531" s="16">
        <v>258000</v>
      </c>
      <c r="F1531" s="10" t="s">
        <v>1905</v>
      </c>
      <c r="G1531" s="10">
        <v>200</v>
      </c>
      <c r="H1531" s="11">
        <v>45684</v>
      </c>
      <c r="I1531" s="10" t="s">
        <v>1995</v>
      </c>
      <c r="J1531" s="12" t="str">
        <f>IF(OR(TED[[#This Row],[SITUACAO]]=1,TED[[#This Row],[SITUACAO]]=9,TED[[#This Row],[SITUACAO]]=18),"ATIVO","AFASTADO")</f>
        <v>ATIVO</v>
      </c>
      <c r="K1531" s="12">
        <v>1</v>
      </c>
    </row>
    <row r="1532" spans="1:11" x14ac:dyDescent="0.25">
      <c r="A1532" s="10">
        <v>35200</v>
      </c>
      <c r="B1532" s="9" t="s">
        <v>1755</v>
      </c>
      <c r="C1532" s="12" t="str">
        <f>IFERROR(VLOOKUP(TED[[#This Row],[CENTRO]],'CENTRO DE CUSTO'!B:E,4,FALSE)," ")</f>
        <v>MARCOS</v>
      </c>
      <c r="D1532" s="12">
        <v>258</v>
      </c>
      <c r="E1532" s="16">
        <v>258000</v>
      </c>
      <c r="F1532" s="10" t="s">
        <v>1905</v>
      </c>
      <c r="G1532" s="10">
        <v>200</v>
      </c>
      <c r="H1532" s="11">
        <v>45684</v>
      </c>
      <c r="I1532" s="10" t="s">
        <v>1995</v>
      </c>
      <c r="J1532" s="12" t="str">
        <f>IF(OR(TED[[#This Row],[SITUACAO]]=1,TED[[#This Row],[SITUACAO]]=9,TED[[#This Row],[SITUACAO]]=18),"ATIVO","AFASTADO")</f>
        <v>ATIVO</v>
      </c>
      <c r="K1532" s="12">
        <v>1</v>
      </c>
    </row>
    <row r="1533" spans="1:11" x14ac:dyDescent="0.25">
      <c r="A1533" s="10">
        <v>43439</v>
      </c>
      <c r="B1533" s="9" t="s">
        <v>2093</v>
      </c>
      <c r="C1533" s="12" t="str">
        <f>IFERROR(VLOOKUP(TED[[#This Row],[CENTRO]],'CENTRO DE CUSTO'!B:E,4,FALSE)," ")</f>
        <v>MARCOS</v>
      </c>
      <c r="D1533" s="12">
        <v>258</v>
      </c>
      <c r="E1533" s="16">
        <v>258000</v>
      </c>
      <c r="F1533" s="10" t="s">
        <v>1905</v>
      </c>
      <c r="G1533" s="10">
        <v>200</v>
      </c>
      <c r="H1533" s="11">
        <v>46048</v>
      </c>
      <c r="I1533" s="10" t="s">
        <v>1995</v>
      </c>
      <c r="J1533" s="12" t="str">
        <f>IF(OR(TED[[#This Row],[SITUACAO]]=1,TED[[#This Row],[SITUACAO]]=9,TED[[#This Row],[SITUACAO]]=18),"ATIVO","AFASTADO")</f>
        <v>ATIVO</v>
      </c>
      <c r="K1533" s="12">
        <v>1</v>
      </c>
    </row>
    <row r="1534" spans="1:11" x14ac:dyDescent="0.25">
      <c r="A1534" s="10">
        <v>46068</v>
      </c>
      <c r="B1534" s="9" t="s">
        <v>2362</v>
      </c>
      <c r="C1534" s="12" t="str">
        <f>IFERROR(VLOOKUP(TED[[#This Row],[CENTRO]],'CENTRO DE CUSTO'!B:E,4,FALSE)," ")</f>
        <v>MARCOS</v>
      </c>
      <c r="D1534" s="12">
        <v>258</v>
      </c>
      <c r="E1534" s="16">
        <v>258000</v>
      </c>
      <c r="F1534" s="10" t="s">
        <v>1905</v>
      </c>
      <c r="G1534" s="10">
        <v>200</v>
      </c>
      <c r="H1534" s="11">
        <v>46182</v>
      </c>
      <c r="I1534" s="10" t="s">
        <v>1995</v>
      </c>
      <c r="J1534" s="12" t="str">
        <f>IF(OR(TED[[#This Row],[SITUACAO]]=1,TED[[#This Row],[SITUACAO]]=9,TED[[#This Row],[SITUACAO]]=18),"ATIVO","AFASTADO")</f>
        <v>ATIVO</v>
      </c>
      <c r="K1534" s="12">
        <v>1</v>
      </c>
    </row>
    <row r="1535" spans="1:11" x14ac:dyDescent="0.25">
      <c r="A1535" s="10">
        <v>35199</v>
      </c>
      <c r="B1535" s="9" t="s">
        <v>1756</v>
      </c>
      <c r="C1535" s="12" t="str">
        <f>IFERROR(VLOOKUP(TED[[#This Row],[CENTRO]],'CENTRO DE CUSTO'!B:E,4,FALSE)," ")</f>
        <v>MARCOS</v>
      </c>
      <c r="D1535" s="12">
        <v>258</v>
      </c>
      <c r="E1535" s="16">
        <v>258000</v>
      </c>
      <c r="F1535" s="10" t="s">
        <v>1905</v>
      </c>
      <c r="G1535" s="10">
        <v>200</v>
      </c>
      <c r="H1535" s="11">
        <v>45684</v>
      </c>
      <c r="I1535" s="10" t="s">
        <v>1995</v>
      </c>
      <c r="J1535" s="12" t="str">
        <f>IF(OR(TED[[#This Row],[SITUACAO]]=1,TED[[#This Row],[SITUACAO]]=9,TED[[#This Row],[SITUACAO]]=18),"ATIVO","AFASTADO")</f>
        <v>ATIVO</v>
      </c>
      <c r="K1535" s="12">
        <v>1</v>
      </c>
    </row>
    <row r="1536" spans="1:11" x14ac:dyDescent="0.25">
      <c r="A1536" s="10">
        <v>30890</v>
      </c>
      <c r="B1536" s="9" t="s">
        <v>1765</v>
      </c>
      <c r="C1536" s="12" t="str">
        <f>IFERROR(VLOOKUP(TED[[#This Row],[CENTRO]],'CENTRO DE CUSTO'!B:E,4,FALSE)," ")</f>
        <v>MARCOS</v>
      </c>
      <c r="D1536" s="12">
        <v>258</v>
      </c>
      <c r="E1536" s="16">
        <v>258000</v>
      </c>
      <c r="F1536" s="10" t="s">
        <v>1905</v>
      </c>
      <c r="G1536" s="10">
        <v>200</v>
      </c>
      <c r="H1536" s="11">
        <v>45337</v>
      </c>
      <c r="I1536" s="10" t="s">
        <v>1995</v>
      </c>
      <c r="J1536" s="12" t="str">
        <f>IF(OR(TED[[#This Row],[SITUACAO]]=1,TED[[#This Row],[SITUACAO]]=9,TED[[#This Row],[SITUACAO]]=18),"ATIVO","AFASTADO")</f>
        <v>ATIVO</v>
      </c>
      <c r="K1536" s="12">
        <v>1</v>
      </c>
    </row>
    <row r="1537" spans="1:11" x14ac:dyDescent="0.25">
      <c r="A1537" s="10">
        <v>44666</v>
      </c>
      <c r="B1537" s="9" t="s">
        <v>2158</v>
      </c>
      <c r="C1537" s="12" t="str">
        <f>IFERROR(VLOOKUP(TED[[#This Row],[CENTRO]],'CENTRO DE CUSTO'!B:E,4,FALSE)," ")</f>
        <v>MARCOS</v>
      </c>
      <c r="D1537" s="12">
        <v>258</v>
      </c>
      <c r="E1537" s="16">
        <v>258000</v>
      </c>
      <c r="F1537" s="10" t="s">
        <v>1905</v>
      </c>
      <c r="G1537" s="10">
        <v>200</v>
      </c>
      <c r="H1537" s="11">
        <v>46101</v>
      </c>
      <c r="I1537" s="10" t="s">
        <v>1995</v>
      </c>
      <c r="J1537" s="12" t="str">
        <f>IF(OR(TED[[#This Row],[SITUACAO]]=1,TED[[#This Row],[SITUACAO]]=9,TED[[#This Row],[SITUACAO]]=18),"ATIVO","AFASTADO")</f>
        <v>AFASTADO</v>
      </c>
      <c r="K1537" s="12">
        <v>12</v>
      </c>
    </row>
    <row r="1538" spans="1:11" x14ac:dyDescent="0.25">
      <c r="A1538" s="10">
        <v>37815</v>
      </c>
      <c r="B1538" s="9" t="s">
        <v>1752</v>
      </c>
      <c r="C1538" s="12" t="str">
        <f>IFERROR(VLOOKUP(TED[[#This Row],[CENTRO]],'CENTRO DE CUSTO'!B:E,4,FALSE)," ")</f>
        <v>MARCOS</v>
      </c>
      <c r="D1538" s="12">
        <v>258</v>
      </c>
      <c r="E1538" s="16">
        <v>258000</v>
      </c>
      <c r="F1538" s="10" t="s">
        <v>1905</v>
      </c>
      <c r="G1538" s="10">
        <v>200</v>
      </c>
      <c r="H1538" s="11">
        <v>45736</v>
      </c>
      <c r="I1538" s="10" t="s">
        <v>1995</v>
      </c>
      <c r="J1538" s="12" t="str">
        <f>IF(OR(TED[[#This Row],[SITUACAO]]=1,TED[[#This Row],[SITUACAO]]=9,TED[[#This Row],[SITUACAO]]=18),"ATIVO","AFASTADO")</f>
        <v>ATIVO</v>
      </c>
      <c r="K1538" s="12">
        <v>1</v>
      </c>
    </row>
    <row r="1539" spans="1:11" x14ac:dyDescent="0.25">
      <c r="A1539" s="10">
        <v>35179</v>
      </c>
      <c r="B1539" s="9" t="s">
        <v>1747</v>
      </c>
      <c r="C1539" s="12" t="str">
        <f>IFERROR(VLOOKUP(TED[[#This Row],[CENTRO]],'CENTRO DE CUSTO'!B:E,4,FALSE)," ")</f>
        <v>MARCOS</v>
      </c>
      <c r="D1539" s="12">
        <v>258</v>
      </c>
      <c r="E1539" s="16">
        <v>258000</v>
      </c>
      <c r="F1539" s="10" t="s">
        <v>1905</v>
      </c>
      <c r="G1539" s="10">
        <v>200</v>
      </c>
      <c r="H1539" s="11">
        <v>45684</v>
      </c>
      <c r="I1539" s="10" t="s">
        <v>1995</v>
      </c>
      <c r="J1539" s="12" t="str">
        <f>IF(OR(TED[[#This Row],[SITUACAO]]=1,TED[[#This Row],[SITUACAO]]=9,TED[[#This Row],[SITUACAO]]=18),"ATIVO","AFASTADO")</f>
        <v>ATIVO</v>
      </c>
      <c r="K1539" s="12">
        <v>1</v>
      </c>
    </row>
    <row r="1540" spans="1:11" x14ac:dyDescent="0.25">
      <c r="A1540" s="10">
        <v>39186</v>
      </c>
      <c r="B1540" s="9" t="s">
        <v>1753</v>
      </c>
      <c r="C1540" s="12" t="str">
        <f>IFERROR(VLOOKUP(TED[[#This Row],[CENTRO]],'CENTRO DE CUSTO'!B:E,4,FALSE)," ")</f>
        <v>MARCOS</v>
      </c>
      <c r="D1540" s="12">
        <v>258</v>
      </c>
      <c r="E1540" s="16">
        <v>258000</v>
      </c>
      <c r="F1540" s="10" t="s">
        <v>1905</v>
      </c>
      <c r="G1540" s="10">
        <v>200</v>
      </c>
      <c r="H1540" s="11">
        <v>45831</v>
      </c>
      <c r="I1540" s="10" t="s">
        <v>1995</v>
      </c>
      <c r="J1540" s="12" t="str">
        <f>IF(OR(TED[[#This Row],[SITUACAO]]=1,TED[[#This Row],[SITUACAO]]=9,TED[[#This Row],[SITUACAO]]=18),"ATIVO","AFASTADO")</f>
        <v>ATIVO</v>
      </c>
      <c r="K1540" s="12">
        <v>18</v>
      </c>
    </row>
    <row r="1541" spans="1:11" x14ac:dyDescent="0.25">
      <c r="A1541" s="10">
        <v>44935</v>
      </c>
      <c r="B1541" s="9" t="s">
        <v>2191</v>
      </c>
      <c r="C1541" s="12" t="str">
        <f>IFERROR(VLOOKUP(TED[[#This Row],[CENTRO]],'CENTRO DE CUSTO'!B:E,4,FALSE)," ")</f>
        <v>MARCOS</v>
      </c>
      <c r="D1541" s="12">
        <v>258</v>
      </c>
      <c r="E1541" s="16">
        <v>258000</v>
      </c>
      <c r="F1541" s="10" t="s">
        <v>1905</v>
      </c>
      <c r="G1541" s="10">
        <v>200</v>
      </c>
      <c r="H1541" s="11">
        <v>46114</v>
      </c>
      <c r="I1541" s="10" t="s">
        <v>1995</v>
      </c>
      <c r="J1541" s="12" t="str">
        <f>IF(OR(TED[[#This Row],[SITUACAO]]=1,TED[[#This Row],[SITUACAO]]=9,TED[[#This Row],[SITUACAO]]=18),"ATIVO","AFASTADO")</f>
        <v>ATIVO</v>
      </c>
      <c r="K1541" s="12">
        <v>1</v>
      </c>
    </row>
    <row r="1542" spans="1:11" x14ac:dyDescent="0.25">
      <c r="A1542" s="10">
        <v>43285</v>
      </c>
      <c r="B1542" s="9" t="s">
        <v>2053</v>
      </c>
      <c r="C1542" s="12" t="str">
        <f>IFERROR(VLOOKUP(TED[[#This Row],[CENTRO]],'CENTRO DE CUSTO'!B:E,4,FALSE)," ")</f>
        <v>MARCOS</v>
      </c>
      <c r="D1542" s="12">
        <v>258</v>
      </c>
      <c r="E1542" s="16">
        <v>258000</v>
      </c>
      <c r="F1542" s="10" t="s">
        <v>1905</v>
      </c>
      <c r="G1542" s="10">
        <v>200</v>
      </c>
      <c r="H1542" s="11">
        <v>46043</v>
      </c>
      <c r="I1542" s="10" t="s">
        <v>1995</v>
      </c>
      <c r="J1542" s="12" t="str">
        <f>IF(OR(TED[[#This Row],[SITUACAO]]=1,TED[[#This Row],[SITUACAO]]=9,TED[[#This Row],[SITUACAO]]=18),"ATIVO","AFASTADO")</f>
        <v>ATIVO</v>
      </c>
      <c r="K1542" s="12">
        <v>1</v>
      </c>
    </row>
    <row r="1543" spans="1:11" x14ac:dyDescent="0.25">
      <c r="A1543" s="10">
        <v>30892</v>
      </c>
      <c r="B1543" s="9" t="s">
        <v>1767</v>
      </c>
      <c r="C1543" s="12" t="str">
        <f>IFERROR(VLOOKUP(TED[[#This Row],[CENTRO]],'CENTRO DE CUSTO'!B:E,4,FALSE)," ")</f>
        <v>MARCOS</v>
      </c>
      <c r="D1543" s="12">
        <v>258</v>
      </c>
      <c r="E1543" s="16">
        <v>258000</v>
      </c>
      <c r="F1543" s="10" t="s">
        <v>1905</v>
      </c>
      <c r="G1543" s="10">
        <v>200</v>
      </c>
      <c r="H1543" s="11">
        <v>45337</v>
      </c>
      <c r="I1543" s="10" t="s">
        <v>1995</v>
      </c>
      <c r="J1543" s="12" t="str">
        <f>IF(OR(TED[[#This Row],[SITUACAO]]=1,TED[[#This Row],[SITUACAO]]=9,TED[[#This Row],[SITUACAO]]=18),"ATIVO","AFASTADO")</f>
        <v>ATIVO</v>
      </c>
      <c r="K1543" s="12">
        <v>1</v>
      </c>
    </row>
    <row r="1544" spans="1:11" x14ac:dyDescent="0.25">
      <c r="A1544" s="10">
        <v>35226</v>
      </c>
      <c r="B1544" s="9" t="s">
        <v>1759</v>
      </c>
      <c r="C1544" s="12" t="str">
        <f>IFERROR(VLOOKUP(TED[[#This Row],[CENTRO]],'CENTRO DE CUSTO'!B:E,4,FALSE)," ")</f>
        <v>MARCOS</v>
      </c>
      <c r="D1544" s="12">
        <v>258</v>
      </c>
      <c r="E1544" s="16">
        <v>258000</v>
      </c>
      <c r="F1544" s="10" t="s">
        <v>1905</v>
      </c>
      <c r="G1544" s="10">
        <v>200</v>
      </c>
      <c r="H1544" s="11">
        <v>45684</v>
      </c>
      <c r="I1544" s="10" t="s">
        <v>1995</v>
      </c>
      <c r="J1544" s="12" t="str">
        <f>IF(OR(TED[[#This Row],[SITUACAO]]=1,TED[[#This Row],[SITUACAO]]=9,TED[[#This Row],[SITUACAO]]=18),"ATIVO","AFASTADO")</f>
        <v>ATIVO</v>
      </c>
      <c r="K1544" s="12">
        <v>1</v>
      </c>
    </row>
    <row r="1545" spans="1:11" x14ac:dyDescent="0.25">
      <c r="A1545" s="10">
        <v>33320</v>
      </c>
      <c r="B1545" s="9" t="s">
        <v>1762</v>
      </c>
      <c r="C1545" s="12" t="str">
        <f>IFERROR(VLOOKUP(TED[[#This Row],[CENTRO]],'CENTRO DE CUSTO'!B:E,4,FALSE)," ")</f>
        <v>MARCOS</v>
      </c>
      <c r="D1545" s="12">
        <v>258</v>
      </c>
      <c r="E1545" s="16">
        <v>258000</v>
      </c>
      <c r="F1545" s="10" t="s">
        <v>1905</v>
      </c>
      <c r="G1545" s="10">
        <v>200</v>
      </c>
      <c r="H1545" s="11">
        <v>45499</v>
      </c>
      <c r="I1545" s="10" t="s">
        <v>1995</v>
      </c>
      <c r="J1545" s="12" t="str">
        <f>IF(OR(TED[[#This Row],[SITUACAO]]=1,TED[[#This Row],[SITUACAO]]=9,TED[[#This Row],[SITUACAO]]=18),"ATIVO","AFASTADO")</f>
        <v>ATIVO</v>
      </c>
      <c r="K1545" s="12">
        <v>1</v>
      </c>
    </row>
    <row r="1546" spans="1:11" x14ac:dyDescent="0.25">
      <c r="A1546" s="10">
        <v>35197</v>
      </c>
      <c r="B1546" s="9" t="s">
        <v>1757</v>
      </c>
      <c r="C1546" s="12" t="str">
        <f>IFERROR(VLOOKUP(TED[[#This Row],[CENTRO]],'CENTRO DE CUSTO'!B:E,4,FALSE)," ")</f>
        <v>MARCOS</v>
      </c>
      <c r="D1546" s="12">
        <v>258</v>
      </c>
      <c r="E1546" s="16">
        <v>258000</v>
      </c>
      <c r="F1546" s="10" t="s">
        <v>1905</v>
      </c>
      <c r="G1546" s="10">
        <v>200</v>
      </c>
      <c r="H1546" s="11">
        <v>45684</v>
      </c>
      <c r="I1546" s="10" t="s">
        <v>1995</v>
      </c>
      <c r="J1546" s="12" t="str">
        <f>IF(OR(TED[[#This Row],[SITUACAO]]=1,TED[[#This Row],[SITUACAO]]=9,TED[[#This Row],[SITUACAO]]=18),"ATIVO","AFASTADO")</f>
        <v>ATIVO</v>
      </c>
      <c r="K1546" s="12">
        <v>1</v>
      </c>
    </row>
    <row r="1547" spans="1:11" x14ac:dyDescent="0.25">
      <c r="A1547" s="10">
        <v>30887</v>
      </c>
      <c r="B1547" s="9" t="s">
        <v>1763</v>
      </c>
      <c r="C1547" s="12" t="str">
        <f>IFERROR(VLOOKUP(TED[[#This Row],[CENTRO]],'CENTRO DE CUSTO'!B:E,4,FALSE)," ")</f>
        <v>MARCOS</v>
      </c>
      <c r="D1547" s="12">
        <v>258</v>
      </c>
      <c r="E1547" s="16">
        <v>258000</v>
      </c>
      <c r="F1547" s="10" t="s">
        <v>1905</v>
      </c>
      <c r="G1547" s="10">
        <v>200</v>
      </c>
      <c r="H1547" s="11">
        <v>45337</v>
      </c>
      <c r="I1547" s="10" t="s">
        <v>1995</v>
      </c>
      <c r="J1547" s="12" t="str">
        <f>IF(OR(TED[[#This Row],[SITUACAO]]=1,TED[[#This Row],[SITUACAO]]=9,TED[[#This Row],[SITUACAO]]=18),"ATIVO","AFASTADO")</f>
        <v>ATIVO</v>
      </c>
      <c r="K1547" s="12">
        <v>1</v>
      </c>
    </row>
    <row r="1548" spans="1:11" x14ac:dyDescent="0.25">
      <c r="A1548" s="10">
        <v>43142</v>
      </c>
      <c r="B1548" s="9" t="s">
        <v>1750</v>
      </c>
      <c r="C1548" s="12" t="str">
        <f>IFERROR(VLOOKUP(TED[[#This Row],[CENTRO]],'CENTRO DE CUSTO'!B:E,4,FALSE)," ")</f>
        <v>MARCOS</v>
      </c>
      <c r="D1548" s="12">
        <v>258</v>
      </c>
      <c r="E1548" s="16">
        <v>258000</v>
      </c>
      <c r="F1548" s="10" t="s">
        <v>1905</v>
      </c>
      <c r="G1548" s="10">
        <v>200</v>
      </c>
      <c r="H1548" s="11">
        <v>46014</v>
      </c>
      <c r="I1548" s="10" t="s">
        <v>1995</v>
      </c>
      <c r="J1548" s="12" t="str">
        <f>IF(OR(TED[[#This Row],[SITUACAO]]=1,TED[[#This Row],[SITUACAO]]=9,TED[[#This Row],[SITUACAO]]=18),"ATIVO","AFASTADO")</f>
        <v>ATIVO</v>
      </c>
      <c r="K1548" s="12">
        <v>1</v>
      </c>
    </row>
    <row r="1549" spans="1:11" x14ac:dyDescent="0.25">
      <c r="A1549" s="10">
        <v>35227</v>
      </c>
      <c r="B1549" s="9" t="s">
        <v>1758</v>
      </c>
      <c r="C1549" s="12" t="str">
        <f>IFERROR(VLOOKUP(TED[[#This Row],[CENTRO]],'CENTRO DE CUSTO'!B:E,4,FALSE)," ")</f>
        <v>MARCOS</v>
      </c>
      <c r="D1549" s="12">
        <v>258</v>
      </c>
      <c r="E1549" s="16">
        <v>258000</v>
      </c>
      <c r="F1549" s="10" t="s">
        <v>1905</v>
      </c>
      <c r="G1549" s="10">
        <v>200</v>
      </c>
      <c r="H1549" s="11">
        <v>45684</v>
      </c>
      <c r="I1549" s="10" t="s">
        <v>1995</v>
      </c>
      <c r="J1549" s="12" t="str">
        <f>IF(OR(TED[[#This Row],[SITUACAO]]=1,TED[[#This Row],[SITUACAO]]=9,TED[[#This Row],[SITUACAO]]=18),"ATIVO","AFASTADO")</f>
        <v>ATIVO</v>
      </c>
      <c r="K1549" s="12">
        <v>1</v>
      </c>
    </row>
    <row r="1550" spans="1:11" x14ac:dyDescent="0.25">
      <c r="A1550" s="10">
        <v>30653</v>
      </c>
      <c r="B1550" s="9" t="s">
        <v>879</v>
      </c>
      <c r="C1550" s="12" t="str">
        <f>IFERROR(VLOOKUP(TED[[#This Row],[CENTRO]],'CENTRO DE CUSTO'!B:E,4,FALSE)," ")</f>
        <v>VANDERSON</v>
      </c>
      <c r="D1550" s="12">
        <v>269</v>
      </c>
      <c r="E1550" s="16">
        <v>269225</v>
      </c>
      <c r="F1550" s="10" t="s">
        <v>880</v>
      </c>
      <c r="G1550" s="10">
        <v>200</v>
      </c>
      <c r="H1550" s="11">
        <v>45337</v>
      </c>
      <c r="I1550" s="10" t="s">
        <v>634</v>
      </c>
      <c r="J1550" s="12" t="str">
        <f>IF(OR(TED[[#This Row],[SITUACAO]]=1,TED[[#This Row],[SITUACAO]]=9,TED[[#This Row],[SITUACAO]]=18),"ATIVO","AFASTADO")</f>
        <v>ATIVO</v>
      </c>
      <c r="K1550" s="12">
        <v>1</v>
      </c>
    </row>
    <row r="1551" spans="1:11" x14ac:dyDescent="0.25">
      <c r="A1551" s="10">
        <v>30989</v>
      </c>
      <c r="B1551" s="9" t="s">
        <v>661</v>
      </c>
      <c r="C1551" s="12" t="str">
        <f>IFERROR(VLOOKUP(TED[[#This Row],[CENTRO]],'CENTRO DE CUSTO'!B:E,4,FALSE)," ")</f>
        <v>DÉBORA GOBETTI</v>
      </c>
      <c r="D1551" s="12">
        <v>269</v>
      </c>
      <c r="E1551" s="16">
        <v>269132</v>
      </c>
      <c r="F1551" s="10" t="s">
        <v>660</v>
      </c>
      <c r="G1551" s="10">
        <v>200</v>
      </c>
      <c r="H1551" s="11">
        <v>45337</v>
      </c>
      <c r="I1551" s="10" t="s">
        <v>634</v>
      </c>
      <c r="J1551" s="12" t="str">
        <f>IF(OR(TED[[#This Row],[SITUACAO]]=1,TED[[#This Row],[SITUACAO]]=9,TED[[#This Row],[SITUACAO]]=18),"ATIVO","AFASTADO")</f>
        <v>ATIVO</v>
      </c>
      <c r="K1551" s="12">
        <v>1</v>
      </c>
    </row>
    <row r="1552" spans="1:11" x14ac:dyDescent="0.25">
      <c r="A1552" s="10">
        <v>32317</v>
      </c>
      <c r="B1552" s="9" t="s">
        <v>714</v>
      </c>
      <c r="C1552" s="12" t="str">
        <f>IFERROR(VLOOKUP(TED[[#This Row],[CENTRO]],'CENTRO DE CUSTO'!B:E,4,FALSE)," ")</f>
        <v>DÉBORA GOBETTI</v>
      </c>
      <c r="D1552" s="12">
        <v>269</v>
      </c>
      <c r="E1552" s="16">
        <v>269155</v>
      </c>
      <c r="F1552" s="10" t="s">
        <v>715</v>
      </c>
      <c r="G1552" s="10">
        <v>100</v>
      </c>
      <c r="H1552" s="11">
        <v>45414</v>
      </c>
      <c r="I1552" s="10" t="s">
        <v>634</v>
      </c>
      <c r="J1552" s="12" t="str">
        <f>IF(OR(TED[[#This Row],[SITUACAO]]=1,TED[[#This Row],[SITUACAO]]=9,TED[[#This Row],[SITUACAO]]=18),"ATIVO","AFASTADO")</f>
        <v>AFASTADO</v>
      </c>
      <c r="K1552" s="12">
        <v>12</v>
      </c>
    </row>
    <row r="1553" spans="1:11" x14ac:dyDescent="0.25">
      <c r="A1553" s="10">
        <v>37080</v>
      </c>
      <c r="B1553" s="9" t="s">
        <v>726</v>
      </c>
      <c r="C1553" s="12" t="str">
        <f>IFERROR(VLOOKUP(TED[[#This Row],[CENTRO]],'CENTRO DE CUSTO'!B:E,4,FALSE)," ")</f>
        <v>S/ SUPERVISOR</v>
      </c>
      <c r="D1553" s="12">
        <v>269</v>
      </c>
      <c r="E1553" s="16">
        <v>269160</v>
      </c>
      <c r="F1553" s="10" t="s">
        <v>727</v>
      </c>
      <c r="G1553" s="10">
        <v>200</v>
      </c>
      <c r="H1553" s="11">
        <v>45702</v>
      </c>
      <c r="I1553" s="10" t="s">
        <v>634</v>
      </c>
      <c r="J1553" s="12" t="str">
        <f>IF(OR(TED[[#This Row],[SITUACAO]]=1,TED[[#This Row],[SITUACAO]]=9,TED[[#This Row],[SITUACAO]]=18),"ATIVO","AFASTADO")</f>
        <v>ATIVO</v>
      </c>
      <c r="K1553" s="12">
        <v>1</v>
      </c>
    </row>
    <row r="1554" spans="1:11" x14ac:dyDescent="0.25">
      <c r="A1554" s="10">
        <v>30983</v>
      </c>
      <c r="B1554" s="9" t="s">
        <v>819</v>
      </c>
      <c r="C1554" s="12" t="str">
        <f>IFERROR(VLOOKUP(TED[[#This Row],[CENTRO]],'CENTRO DE CUSTO'!B:E,4,FALSE)," ")</f>
        <v>JOÃO CLEMENTONI</v>
      </c>
      <c r="D1554" s="12">
        <v>269</v>
      </c>
      <c r="E1554" s="16">
        <v>269169</v>
      </c>
      <c r="F1554" s="10" t="s">
        <v>751</v>
      </c>
      <c r="G1554" s="10">
        <v>200</v>
      </c>
      <c r="H1554" s="11">
        <v>45337</v>
      </c>
      <c r="I1554" s="10" t="s">
        <v>634</v>
      </c>
      <c r="J1554" s="12" t="str">
        <f>IF(OR(TED[[#This Row],[SITUACAO]]=1,TED[[#This Row],[SITUACAO]]=9,TED[[#This Row],[SITUACAO]]=18),"ATIVO","AFASTADO")</f>
        <v>ATIVO</v>
      </c>
      <c r="K1554" s="12">
        <v>1</v>
      </c>
    </row>
    <row r="1555" spans="1:11" x14ac:dyDescent="0.25">
      <c r="A1555" s="10">
        <v>38944</v>
      </c>
      <c r="B1555" s="9" t="s">
        <v>741</v>
      </c>
      <c r="C1555" s="12" t="str">
        <f>IFERROR(VLOOKUP(TED[[#This Row],[CENTRO]],'CENTRO DE CUSTO'!B:E,4,FALSE)," ")</f>
        <v>DÉBORA GOBETTI</v>
      </c>
      <c r="D1555" s="12">
        <v>269</v>
      </c>
      <c r="E1555" s="16">
        <v>269166</v>
      </c>
      <c r="F1555" s="10" t="s">
        <v>742</v>
      </c>
      <c r="G1555" s="10">
        <v>200</v>
      </c>
      <c r="H1555" s="11">
        <v>45806</v>
      </c>
      <c r="I1555" s="10" t="s">
        <v>634</v>
      </c>
      <c r="J1555" s="12" t="str">
        <f>IF(OR(TED[[#This Row],[SITUACAO]]=1,TED[[#This Row],[SITUACAO]]=9,TED[[#This Row],[SITUACAO]]=18),"ATIVO","AFASTADO")</f>
        <v>AFASTADO</v>
      </c>
      <c r="K1555" s="12">
        <v>5</v>
      </c>
    </row>
    <row r="1556" spans="1:11" x14ac:dyDescent="0.25">
      <c r="A1556" s="10">
        <v>37220</v>
      </c>
      <c r="B1556" s="9" t="s">
        <v>708</v>
      </c>
      <c r="C1556" s="12" t="str">
        <f>IFERROR(VLOOKUP(TED[[#This Row],[CENTRO]],'CENTRO DE CUSTO'!B:E,4,FALSE)," ")</f>
        <v>CARLOS FABRI</v>
      </c>
      <c r="D1556" s="12">
        <v>269</v>
      </c>
      <c r="E1556" s="16">
        <v>269153</v>
      </c>
      <c r="F1556" s="10" t="s">
        <v>709</v>
      </c>
      <c r="G1556" s="10">
        <v>200</v>
      </c>
      <c r="H1556" s="11">
        <v>45708</v>
      </c>
      <c r="I1556" s="10" t="s">
        <v>634</v>
      </c>
      <c r="J1556" s="12" t="str">
        <f>IF(OR(TED[[#This Row],[SITUACAO]]=1,TED[[#This Row],[SITUACAO]]=9,TED[[#This Row],[SITUACAO]]=18),"ATIVO","AFASTADO")</f>
        <v>ATIVO</v>
      </c>
      <c r="K1556" s="12">
        <v>1</v>
      </c>
    </row>
    <row r="1557" spans="1:11" x14ac:dyDescent="0.25">
      <c r="A1557" s="10">
        <v>41234</v>
      </c>
      <c r="B1557" s="9" t="s">
        <v>736</v>
      </c>
      <c r="C1557" s="12" t="str">
        <f>IFERROR(VLOOKUP(TED[[#This Row],[CENTRO]],'CENTRO DE CUSTO'!B:E,4,FALSE)," ")</f>
        <v>DÉBORA GOBETTI</v>
      </c>
      <c r="D1557" s="12">
        <v>269</v>
      </c>
      <c r="E1557" s="16">
        <v>269164</v>
      </c>
      <c r="F1557" s="10" t="s">
        <v>737</v>
      </c>
      <c r="G1557" s="10">
        <v>200</v>
      </c>
      <c r="H1557" s="11">
        <v>45922</v>
      </c>
      <c r="I1557" s="10" t="s">
        <v>634</v>
      </c>
      <c r="J1557" s="12" t="str">
        <f>IF(OR(TED[[#This Row],[SITUACAO]]=1,TED[[#This Row],[SITUACAO]]=9,TED[[#This Row],[SITUACAO]]=18),"ATIVO","AFASTADO")</f>
        <v>AFASTADO</v>
      </c>
      <c r="K1557" s="12">
        <v>6</v>
      </c>
    </row>
    <row r="1558" spans="1:11" x14ac:dyDescent="0.25">
      <c r="A1558" s="10">
        <v>36267</v>
      </c>
      <c r="B1558" s="9" t="s">
        <v>893</v>
      </c>
      <c r="C1558" s="12" t="str">
        <f>IFERROR(VLOOKUP(TED[[#This Row],[CENTRO]],'CENTRO DE CUSTO'!B:E,4,FALSE)," ")</f>
        <v>DÉBORA GOBETTI</v>
      </c>
      <c r="D1558" s="12">
        <v>269</v>
      </c>
      <c r="E1558" s="16">
        <v>269232</v>
      </c>
      <c r="F1558" s="10" t="s">
        <v>894</v>
      </c>
      <c r="G1558" s="10">
        <v>200</v>
      </c>
      <c r="H1558" s="11">
        <v>45693</v>
      </c>
      <c r="I1558" s="10" t="s">
        <v>634</v>
      </c>
      <c r="J1558" s="12" t="str">
        <f>IF(OR(TED[[#This Row],[SITUACAO]]=1,TED[[#This Row],[SITUACAO]]=9,TED[[#This Row],[SITUACAO]]=18),"ATIVO","AFASTADO")</f>
        <v>ATIVO</v>
      </c>
      <c r="K1558" s="12">
        <v>1</v>
      </c>
    </row>
    <row r="1559" spans="1:11" x14ac:dyDescent="0.25">
      <c r="A1559" s="10">
        <v>35097</v>
      </c>
      <c r="B1559" s="9" t="s">
        <v>767</v>
      </c>
      <c r="C1559" s="12" t="str">
        <f>IFERROR(VLOOKUP(TED[[#This Row],[CENTRO]],'CENTRO DE CUSTO'!B:E,4,FALSE)," ")</f>
        <v>S/ SUPERVISOR</v>
      </c>
      <c r="D1559" s="12">
        <v>269</v>
      </c>
      <c r="E1559" s="16">
        <v>269176</v>
      </c>
      <c r="F1559" s="10" t="s">
        <v>768</v>
      </c>
      <c r="G1559" s="10">
        <v>200</v>
      </c>
      <c r="H1559" s="11">
        <v>45677</v>
      </c>
      <c r="I1559" s="10" t="s">
        <v>634</v>
      </c>
      <c r="J1559" s="12" t="str">
        <f>IF(OR(TED[[#This Row],[SITUACAO]]=1,TED[[#This Row],[SITUACAO]]=9,TED[[#This Row],[SITUACAO]]=18),"ATIVO","AFASTADO")</f>
        <v>ATIVO</v>
      </c>
      <c r="K1559" s="12">
        <v>1</v>
      </c>
    </row>
    <row r="1560" spans="1:11" x14ac:dyDescent="0.25">
      <c r="A1560" s="10">
        <v>30946</v>
      </c>
      <c r="B1560" s="9" t="s">
        <v>732</v>
      </c>
      <c r="C1560" s="12" t="str">
        <f>IFERROR(VLOOKUP(TED[[#This Row],[CENTRO]],'CENTRO DE CUSTO'!B:E,4,FALSE)," ")</f>
        <v>DÉBORA GOBETTI</v>
      </c>
      <c r="D1560" s="12">
        <v>269</v>
      </c>
      <c r="E1560" s="16">
        <v>269162</v>
      </c>
      <c r="F1560" s="10" t="s">
        <v>733</v>
      </c>
      <c r="G1560" s="10">
        <v>200</v>
      </c>
      <c r="H1560" s="11">
        <v>45337</v>
      </c>
      <c r="I1560" s="10" t="s">
        <v>634</v>
      </c>
      <c r="J1560" s="12" t="str">
        <f>IF(OR(TED[[#This Row],[SITUACAO]]=1,TED[[#This Row],[SITUACAO]]=9,TED[[#This Row],[SITUACAO]]=18),"ATIVO","AFASTADO")</f>
        <v>ATIVO</v>
      </c>
      <c r="K1560" s="12">
        <v>1</v>
      </c>
    </row>
    <row r="1561" spans="1:11" x14ac:dyDescent="0.25">
      <c r="A1561" s="10">
        <v>43577</v>
      </c>
      <c r="B1561" s="9" t="s">
        <v>2098</v>
      </c>
      <c r="C1561" s="12" t="str">
        <f>IFERROR(VLOOKUP(TED[[#This Row],[CENTRO]],'CENTRO DE CUSTO'!B:E,4,FALSE)," ")</f>
        <v>JOÃO CLEMENTONI</v>
      </c>
      <c r="D1561" s="12">
        <v>269</v>
      </c>
      <c r="E1561" s="16">
        <v>269187</v>
      </c>
      <c r="F1561" s="10" t="s">
        <v>797</v>
      </c>
      <c r="G1561" s="10">
        <v>100</v>
      </c>
      <c r="H1561" s="11">
        <v>46055</v>
      </c>
      <c r="I1561" s="10" t="s">
        <v>634</v>
      </c>
      <c r="J1561" s="12" t="str">
        <f>IF(OR(TED[[#This Row],[SITUACAO]]=1,TED[[#This Row],[SITUACAO]]=9,TED[[#This Row],[SITUACAO]]=18),"ATIVO","AFASTADO")</f>
        <v>ATIVO</v>
      </c>
      <c r="K1561" s="12">
        <v>1</v>
      </c>
    </row>
    <row r="1562" spans="1:11" x14ac:dyDescent="0.25">
      <c r="A1562" s="10">
        <v>36434</v>
      </c>
      <c r="B1562" s="9" t="s">
        <v>859</v>
      </c>
      <c r="C1562" s="12" t="str">
        <f>IFERROR(VLOOKUP(TED[[#This Row],[CENTRO]],'CENTRO DE CUSTO'!B:E,4,FALSE)," ")</f>
        <v>VANDERSON</v>
      </c>
      <c r="D1562" s="12">
        <v>269</v>
      </c>
      <c r="E1562" s="16">
        <v>269214</v>
      </c>
      <c r="F1562" s="10" t="s">
        <v>860</v>
      </c>
      <c r="G1562" s="10">
        <v>200</v>
      </c>
      <c r="H1562" s="11">
        <v>45694</v>
      </c>
      <c r="I1562" s="10" t="s">
        <v>634</v>
      </c>
      <c r="J1562" s="12" t="str">
        <f>IF(OR(TED[[#This Row],[SITUACAO]]=1,TED[[#This Row],[SITUACAO]]=9,TED[[#This Row],[SITUACAO]]=18),"ATIVO","AFASTADO")</f>
        <v>ATIVO</v>
      </c>
      <c r="K1562" s="12">
        <v>1</v>
      </c>
    </row>
    <row r="1563" spans="1:11" x14ac:dyDescent="0.25">
      <c r="A1563" s="10">
        <v>39541</v>
      </c>
      <c r="B1563" s="9" t="s">
        <v>738</v>
      </c>
      <c r="C1563" s="12" t="str">
        <f>IFERROR(VLOOKUP(TED[[#This Row],[CENTRO]],'CENTRO DE CUSTO'!B:E,4,FALSE)," ")</f>
        <v>DÉBORA GOBETTI</v>
      </c>
      <c r="D1563" s="12">
        <v>269</v>
      </c>
      <c r="E1563" s="16">
        <v>269164</v>
      </c>
      <c r="F1563" s="10" t="s">
        <v>737</v>
      </c>
      <c r="G1563" s="10">
        <v>200</v>
      </c>
      <c r="H1563" s="11">
        <v>45852</v>
      </c>
      <c r="I1563" s="10" t="s">
        <v>634</v>
      </c>
      <c r="J1563" s="12" t="str">
        <f>IF(OR(TED[[#This Row],[SITUACAO]]=1,TED[[#This Row],[SITUACAO]]=9,TED[[#This Row],[SITUACAO]]=18),"ATIVO","AFASTADO")</f>
        <v>ATIVO</v>
      </c>
      <c r="K1563" s="12">
        <v>1</v>
      </c>
    </row>
    <row r="1564" spans="1:11" x14ac:dyDescent="0.25">
      <c r="A1564" s="10">
        <v>30782</v>
      </c>
      <c r="B1564" s="9" t="s">
        <v>684</v>
      </c>
      <c r="C1564" s="12" t="str">
        <f>IFERROR(VLOOKUP(TED[[#This Row],[CENTRO]],'CENTRO DE CUSTO'!B:E,4,FALSE)," ")</f>
        <v>S/ SUPERVISOR</v>
      </c>
      <c r="D1564" s="12">
        <v>269</v>
      </c>
      <c r="E1564" s="16">
        <v>269143</v>
      </c>
      <c r="F1564" s="10" t="s">
        <v>685</v>
      </c>
      <c r="G1564" s="10">
        <v>200</v>
      </c>
      <c r="H1564" s="11">
        <v>45337</v>
      </c>
      <c r="I1564" s="10" t="s">
        <v>634</v>
      </c>
      <c r="J1564" s="12" t="str">
        <f>IF(OR(TED[[#This Row],[SITUACAO]]=1,TED[[#This Row],[SITUACAO]]=9,TED[[#This Row],[SITUACAO]]=18),"ATIVO","AFASTADO")</f>
        <v>ATIVO</v>
      </c>
      <c r="K1564" s="12">
        <v>1</v>
      </c>
    </row>
    <row r="1565" spans="1:11" x14ac:dyDescent="0.25">
      <c r="A1565" s="10">
        <v>32539</v>
      </c>
      <c r="B1565" s="9" t="s">
        <v>889</v>
      </c>
      <c r="C1565" s="12" t="str">
        <f>IFERROR(VLOOKUP(TED[[#This Row],[CENTRO]],'CENTRO DE CUSTO'!B:E,4,FALSE)," ")</f>
        <v>DÉBORA GOBETTI</v>
      </c>
      <c r="D1565" s="12">
        <v>269</v>
      </c>
      <c r="E1565" s="16">
        <v>269230</v>
      </c>
      <c r="F1565" s="10" t="s">
        <v>890</v>
      </c>
      <c r="G1565" s="10">
        <v>200</v>
      </c>
      <c r="H1565" s="11">
        <v>45427</v>
      </c>
      <c r="I1565" s="10" t="s">
        <v>634</v>
      </c>
      <c r="J1565" s="12" t="str">
        <f>IF(OR(TED[[#This Row],[SITUACAO]]=1,TED[[#This Row],[SITUACAO]]=9,TED[[#This Row],[SITUACAO]]=18),"ATIVO","AFASTADO")</f>
        <v>ATIVO</v>
      </c>
      <c r="K1565" s="12">
        <v>1</v>
      </c>
    </row>
    <row r="1566" spans="1:11" x14ac:dyDescent="0.25">
      <c r="A1566" s="10">
        <v>31004</v>
      </c>
      <c r="B1566" s="9" t="s">
        <v>764</v>
      </c>
      <c r="C1566" s="12" t="str">
        <f>IFERROR(VLOOKUP(TED[[#This Row],[CENTRO]],'CENTRO DE CUSTO'!B:E,4,FALSE)," ")</f>
        <v>DÉBORA GOBETTI</v>
      </c>
      <c r="D1566" s="12">
        <v>269</v>
      </c>
      <c r="E1566" s="16">
        <v>269175</v>
      </c>
      <c r="F1566" s="10" t="s">
        <v>765</v>
      </c>
      <c r="G1566" s="10">
        <v>200</v>
      </c>
      <c r="H1566" s="11">
        <v>45337</v>
      </c>
      <c r="I1566" s="10" t="s">
        <v>634</v>
      </c>
      <c r="J1566" s="12" t="str">
        <f>IF(OR(TED[[#This Row],[SITUACAO]]=1,TED[[#This Row],[SITUACAO]]=9,TED[[#This Row],[SITUACAO]]=18),"ATIVO","AFASTADO")</f>
        <v>ATIVO</v>
      </c>
      <c r="K1566" s="12">
        <v>1</v>
      </c>
    </row>
    <row r="1567" spans="1:11" x14ac:dyDescent="0.25">
      <c r="A1567" s="10">
        <v>31012</v>
      </c>
      <c r="B1567" s="9" t="s">
        <v>808</v>
      </c>
      <c r="C1567" s="12" t="str">
        <f>IFERROR(VLOOKUP(TED[[#This Row],[CENTRO]],'CENTRO DE CUSTO'!B:E,4,FALSE)," ")</f>
        <v>S/ SUPERVISOR</v>
      </c>
      <c r="D1567" s="12">
        <v>269</v>
      </c>
      <c r="E1567" s="16">
        <v>269191</v>
      </c>
      <c r="F1567" s="10" t="s">
        <v>807</v>
      </c>
      <c r="G1567" s="10">
        <v>200</v>
      </c>
      <c r="H1567" s="11">
        <v>45337</v>
      </c>
      <c r="I1567" s="10" t="s">
        <v>634</v>
      </c>
      <c r="J1567" s="12" t="str">
        <f>IF(OR(TED[[#This Row],[SITUACAO]]=1,TED[[#This Row],[SITUACAO]]=9,TED[[#This Row],[SITUACAO]]=18),"ATIVO","AFASTADO")</f>
        <v>ATIVO</v>
      </c>
      <c r="K1567" s="12">
        <v>1</v>
      </c>
    </row>
    <row r="1568" spans="1:11" x14ac:dyDescent="0.25">
      <c r="A1568" s="10">
        <v>43709</v>
      </c>
      <c r="B1568" s="9" t="s">
        <v>2097</v>
      </c>
      <c r="C1568" s="12" t="str">
        <f>IFERROR(VLOOKUP(TED[[#This Row],[CENTRO]],'CENTRO DE CUSTO'!B:E,4,FALSE)," ")</f>
        <v>CARLOS FABRI</v>
      </c>
      <c r="D1568" s="12">
        <v>269</v>
      </c>
      <c r="E1568" s="16">
        <v>269185</v>
      </c>
      <c r="F1568" s="10" t="s">
        <v>791</v>
      </c>
      <c r="G1568" s="10">
        <v>200</v>
      </c>
      <c r="H1568" s="11">
        <v>46056</v>
      </c>
      <c r="I1568" s="10" t="s">
        <v>634</v>
      </c>
      <c r="J1568" s="12" t="str">
        <f>IF(OR(TED[[#This Row],[SITUACAO]]=1,TED[[#This Row],[SITUACAO]]=9,TED[[#This Row],[SITUACAO]]=18),"ATIVO","AFASTADO")</f>
        <v>ATIVO</v>
      </c>
      <c r="K1568" s="12">
        <v>1</v>
      </c>
    </row>
    <row r="1569" spans="1:11" x14ac:dyDescent="0.25">
      <c r="A1569" s="10">
        <v>32452</v>
      </c>
      <c r="B1569" s="9" t="s">
        <v>716</v>
      </c>
      <c r="C1569" s="12" t="str">
        <f>IFERROR(VLOOKUP(TED[[#This Row],[CENTRO]],'CENTRO DE CUSTO'!B:E,4,FALSE)," ")</f>
        <v>DÉBORA GOBETTI</v>
      </c>
      <c r="D1569" s="12">
        <v>269</v>
      </c>
      <c r="E1569" s="16">
        <v>269155</v>
      </c>
      <c r="F1569" s="10" t="s">
        <v>715</v>
      </c>
      <c r="G1569" s="10">
        <v>200</v>
      </c>
      <c r="H1569" s="11">
        <v>45419</v>
      </c>
      <c r="I1569" s="10" t="s">
        <v>634</v>
      </c>
      <c r="J1569" s="12" t="str">
        <f>IF(OR(TED[[#This Row],[SITUACAO]]=1,TED[[#This Row],[SITUACAO]]=9,TED[[#This Row],[SITUACAO]]=18),"ATIVO","AFASTADO")</f>
        <v>ATIVO</v>
      </c>
      <c r="K1569" s="12">
        <v>1</v>
      </c>
    </row>
    <row r="1570" spans="1:11" x14ac:dyDescent="0.25">
      <c r="A1570" s="10">
        <v>30781</v>
      </c>
      <c r="B1570" s="9" t="s">
        <v>637</v>
      </c>
      <c r="C1570" s="12" t="str">
        <f>IFERROR(VLOOKUP(TED[[#This Row],[CENTRO]],'CENTRO DE CUSTO'!B:E,4,FALSE)," ")</f>
        <v>PAULO TORRES</v>
      </c>
      <c r="D1570" s="12">
        <v>269</v>
      </c>
      <c r="E1570" s="16">
        <v>269122</v>
      </c>
      <c r="F1570" s="10" t="s">
        <v>635</v>
      </c>
      <c r="G1570" s="10">
        <v>100</v>
      </c>
      <c r="H1570" s="11">
        <v>45337</v>
      </c>
      <c r="I1570" s="10" t="s">
        <v>634</v>
      </c>
      <c r="J1570" s="12" t="str">
        <f>IF(OR(TED[[#This Row],[SITUACAO]]=1,TED[[#This Row],[SITUACAO]]=9,TED[[#This Row],[SITUACAO]]=18),"ATIVO","AFASTADO")</f>
        <v>ATIVO</v>
      </c>
      <c r="K1570" s="12">
        <v>9</v>
      </c>
    </row>
    <row r="1571" spans="1:11" x14ac:dyDescent="0.25">
      <c r="A1571" s="10">
        <v>31013</v>
      </c>
      <c r="B1571" s="9" t="s">
        <v>686</v>
      </c>
      <c r="C1571" s="12" t="str">
        <f>IFERROR(VLOOKUP(TED[[#This Row],[CENTRO]],'CENTRO DE CUSTO'!B:E,4,FALSE)," ")</f>
        <v>S/ SUPERVISOR</v>
      </c>
      <c r="D1571" s="12">
        <v>269</v>
      </c>
      <c r="E1571" s="16">
        <v>269143</v>
      </c>
      <c r="F1571" s="10" t="s">
        <v>685</v>
      </c>
      <c r="G1571" s="10">
        <v>200</v>
      </c>
      <c r="H1571" s="11">
        <v>45337</v>
      </c>
      <c r="I1571" s="10" t="s">
        <v>634</v>
      </c>
      <c r="J1571" s="12" t="str">
        <f>IF(OR(TED[[#This Row],[SITUACAO]]=1,TED[[#This Row],[SITUACAO]]=9,TED[[#This Row],[SITUACAO]]=18),"ATIVO","AFASTADO")</f>
        <v>ATIVO</v>
      </c>
      <c r="K1571" s="12">
        <v>1</v>
      </c>
    </row>
    <row r="1572" spans="1:11" x14ac:dyDescent="0.25">
      <c r="A1572" s="10">
        <v>31064</v>
      </c>
      <c r="B1572" s="9" t="s">
        <v>711</v>
      </c>
      <c r="C1572" s="12" t="str">
        <f>IFERROR(VLOOKUP(TED[[#This Row],[CENTRO]],'CENTRO DE CUSTO'!B:E,4,FALSE)," ")</f>
        <v>CARLOS FABRI</v>
      </c>
      <c r="D1572" s="12">
        <v>269</v>
      </c>
      <c r="E1572" s="16">
        <v>269153</v>
      </c>
      <c r="F1572" s="10" t="s">
        <v>709</v>
      </c>
      <c r="G1572" s="10">
        <v>200</v>
      </c>
      <c r="H1572" s="11">
        <v>45337</v>
      </c>
      <c r="I1572" s="10" t="s">
        <v>634</v>
      </c>
      <c r="J1572" s="12" t="str">
        <f>IF(OR(TED[[#This Row],[SITUACAO]]=1,TED[[#This Row],[SITUACAO]]=9,TED[[#This Row],[SITUACAO]]=18),"ATIVO","AFASTADO")</f>
        <v>AFASTADO</v>
      </c>
      <c r="K1572" s="12">
        <v>12</v>
      </c>
    </row>
    <row r="1573" spans="1:11" x14ac:dyDescent="0.25">
      <c r="A1573" s="10">
        <v>30831</v>
      </c>
      <c r="B1573" s="9" t="s">
        <v>643</v>
      </c>
      <c r="C1573" s="12" t="str">
        <f>IFERROR(VLOOKUP(TED[[#This Row],[CENTRO]],'CENTRO DE CUSTO'!B:E,4,FALSE)," ")</f>
        <v>DÉBORA GOBETTI</v>
      </c>
      <c r="D1573" s="12">
        <v>269</v>
      </c>
      <c r="E1573" s="16">
        <v>269125</v>
      </c>
      <c r="F1573" s="10" t="s">
        <v>644</v>
      </c>
      <c r="G1573" s="10">
        <v>200</v>
      </c>
      <c r="H1573" s="11">
        <v>45337</v>
      </c>
      <c r="I1573" s="10" t="s">
        <v>634</v>
      </c>
      <c r="J1573" s="12" t="str">
        <f>IF(OR(TED[[#This Row],[SITUACAO]]=1,TED[[#This Row],[SITUACAO]]=9,TED[[#This Row],[SITUACAO]]=18),"ATIVO","AFASTADO")</f>
        <v>ATIVO</v>
      </c>
      <c r="K1573" s="12">
        <v>1</v>
      </c>
    </row>
    <row r="1574" spans="1:11" x14ac:dyDescent="0.25">
      <c r="A1574" s="10">
        <v>37215</v>
      </c>
      <c r="B1574" s="9" t="s">
        <v>747</v>
      </c>
      <c r="C1574" s="12" t="str">
        <f>IFERROR(VLOOKUP(TED[[#This Row],[CENTRO]],'CENTRO DE CUSTO'!B:E,4,FALSE)," ")</f>
        <v>DÉBORA GOBETTI</v>
      </c>
      <c r="D1574" s="12">
        <v>269</v>
      </c>
      <c r="E1574" s="16">
        <v>269168</v>
      </c>
      <c r="F1574" s="10" t="s">
        <v>748</v>
      </c>
      <c r="G1574" s="10">
        <v>200</v>
      </c>
      <c r="H1574" s="11">
        <v>45712</v>
      </c>
      <c r="I1574" s="10" t="s">
        <v>634</v>
      </c>
      <c r="J1574" s="12" t="str">
        <f>IF(OR(TED[[#This Row],[SITUACAO]]=1,TED[[#This Row],[SITUACAO]]=9,TED[[#This Row],[SITUACAO]]=18),"ATIVO","AFASTADO")</f>
        <v>ATIVO</v>
      </c>
      <c r="K1574" s="12">
        <v>1</v>
      </c>
    </row>
    <row r="1575" spans="1:11" x14ac:dyDescent="0.25">
      <c r="A1575" s="10">
        <v>30649</v>
      </c>
      <c r="B1575" s="9" t="s">
        <v>774</v>
      </c>
      <c r="C1575" s="12" t="str">
        <f>IFERROR(VLOOKUP(TED[[#This Row],[CENTRO]],'CENTRO DE CUSTO'!B:E,4,FALSE)," ")</f>
        <v>S/ SUPERVISOR</v>
      </c>
      <c r="D1575" s="12">
        <v>269</v>
      </c>
      <c r="E1575" s="16">
        <v>269178</v>
      </c>
      <c r="F1575" s="10" t="s">
        <v>773</v>
      </c>
      <c r="G1575" s="10">
        <v>200</v>
      </c>
      <c r="H1575" s="11">
        <v>45337</v>
      </c>
      <c r="I1575" s="10" t="s">
        <v>634</v>
      </c>
      <c r="J1575" s="12" t="str">
        <f>IF(OR(TED[[#This Row],[SITUACAO]]=1,TED[[#This Row],[SITUACAO]]=9,TED[[#This Row],[SITUACAO]]=18),"ATIVO","AFASTADO")</f>
        <v>ATIVO</v>
      </c>
      <c r="K1575" s="12">
        <v>1</v>
      </c>
    </row>
    <row r="1576" spans="1:11" x14ac:dyDescent="0.25">
      <c r="A1576" s="10">
        <v>31372</v>
      </c>
      <c r="B1576" s="9" t="s">
        <v>901</v>
      </c>
      <c r="C1576" s="12" t="str">
        <f>IFERROR(VLOOKUP(TED[[#This Row],[CENTRO]],'CENTRO DE CUSTO'!B:E,4,FALSE)," ")</f>
        <v>VANDERSON</v>
      </c>
      <c r="D1576" s="12">
        <v>269</v>
      </c>
      <c r="E1576" s="16">
        <v>269236</v>
      </c>
      <c r="F1576" s="10" t="s">
        <v>902</v>
      </c>
      <c r="G1576" s="10">
        <v>200</v>
      </c>
      <c r="H1576" s="11">
        <v>45350</v>
      </c>
      <c r="I1576" s="10" t="s">
        <v>634</v>
      </c>
      <c r="J1576" s="12" t="str">
        <f>IF(OR(TED[[#This Row],[SITUACAO]]=1,TED[[#This Row],[SITUACAO]]=9,TED[[#This Row],[SITUACAO]]=18),"ATIVO","AFASTADO")</f>
        <v>ATIVO</v>
      </c>
      <c r="K1576" s="12">
        <v>1</v>
      </c>
    </row>
    <row r="1577" spans="1:11" x14ac:dyDescent="0.25">
      <c r="A1577" s="10">
        <v>45532</v>
      </c>
      <c r="B1577" s="9" t="s">
        <v>2256</v>
      </c>
      <c r="C1577" s="12" t="str">
        <f>IFERROR(VLOOKUP(TED[[#This Row],[CENTRO]],'CENTRO DE CUSTO'!B:E,4,FALSE)," ")</f>
        <v>CARLOS FABRI</v>
      </c>
      <c r="D1577" s="12">
        <v>269</v>
      </c>
      <c r="E1577" s="16">
        <v>269228</v>
      </c>
      <c r="F1577" s="10" t="s">
        <v>885</v>
      </c>
      <c r="G1577" s="10">
        <v>100</v>
      </c>
      <c r="H1577" s="11">
        <v>46153</v>
      </c>
      <c r="I1577" s="10" t="s">
        <v>634</v>
      </c>
      <c r="J1577" s="12" t="str">
        <f>IF(OR(TED[[#This Row],[SITUACAO]]=1,TED[[#This Row],[SITUACAO]]=9,TED[[#This Row],[SITUACAO]]=18),"ATIVO","AFASTADO")</f>
        <v>ATIVO</v>
      </c>
      <c r="K1577" s="12">
        <v>1</v>
      </c>
    </row>
    <row r="1578" spans="1:11" x14ac:dyDescent="0.25">
      <c r="A1578" s="10">
        <v>32318</v>
      </c>
      <c r="B1578" s="9" t="s">
        <v>899</v>
      </c>
      <c r="C1578" s="12" t="str">
        <f>IFERROR(VLOOKUP(TED[[#This Row],[CENTRO]],'CENTRO DE CUSTO'!B:E,4,FALSE)," ")</f>
        <v>S/ SUPERVISOR</v>
      </c>
      <c r="D1578" s="12">
        <v>269</v>
      </c>
      <c r="E1578" s="16">
        <v>269235</v>
      </c>
      <c r="F1578" s="10" t="s">
        <v>900</v>
      </c>
      <c r="G1578" s="10">
        <v>200</v>
      </c>
      <c r="H1578" s="11">
        <v>45414</v>
      </c>
      <c r="I1578" s="10" t="s">
        <v>634</v>
      </c>
      <c r="J1578" s="12" t="str">
        <f>IF(OR(TED[[#This Row],[SITUACAO]]=1,TED[[#This Row],[SITUACAO]]=9,TED[[#This Row],[SITUACAO]]=18),"ATIVO","AFASTADO")</f>
        <v>ATIVO</v>
      </c>
      <c r="K1578" s="12">
        <v>1</v>
      </c>
    </row>
    <row r="1579" spans="1:11" x14ac:dyDescent="0.25">
      <c r="A1579" s="10">
        <v>30824</v>
      </c>
      <c r="B1579" s="9" t="s">
        <v>822</v>
      </c>
      <c r="C1579" s="12" t="str">
        <f>IFERROR(VLOOKUP(TED[[#This Row],[CENTRO]],'CENTRO DE CUSTO'!B:E,4,FALSE)," ")</f>
        <v>S/ SUPERVISOR</v>
      </c>
      <c r="D1579" s="12">
        <v>269</v>
      </c>
      <c r="E1579" s="16">
        <v>269197</v>
      </c>
      <c r="F1579" s="10" t="s">
        <v>820</v>
      </c>
      <c r="G1579" s="10">
        <v>200</v>
      </c>
      <c r="H1579" s="11">
        <v>45337</v>
      </c>
      <c r="I1579" s="10" t="s">
        <v>634</v>
      </c>
      <c r="J1579" s="12" t="str">
        <f>IF(OR(TED[[#This Row],[SITUACAO]]=1,TED[[#This Row],[SITUACAO]]=9,TED[[#This Row],[SITUACAO]]=18),"ATIVO","AFASTADO")</f>
        <v>AFASTADO</v>
      </c>
      <c r="K1579" s="12">
        <v>6</v>
      </c>
    </row>
    <row r="1580" spans="1:11" x14ac:dyDescent="0.25">
      <c r="A1580" s="10">
        <v>38565</v>
      </c>
      <c r="B1580" s="9" t="s">
        <v>796</v>
      </c>
      <c r="C1580" s="12" t="str">
        <f>IFERROR(VLOOKUP(TED[[#This Row],[CENTRO]],'CENTRO DE CUSTO'!B:E,4,FALSE)," ")</f>
        <v>JOÃO CLEMENTONI</v>
      </c>
      <c r="D1580" s="12">
        <v>269</v>
      </c>
      <c r="E1580" s="16">
        <v>269187</v>
      </c>
      <c r="F1580" s="10" t="s">
        <v>797</v>
      </c>
      <c r="G1580" s="10">
        <v>200</v>
      </c>
      <c r="H1580" s="11">
        <v>45782</v>
      </c>
      <c r="I1580" s="10" t="s">
        <v>634</v>
      </c>
      <c r="J1580" s="12" t="str">
        <f>IF(OR(TED[[#This Row],[SITUACAO]]=1,TED[[#This Row],[SITUACAO]]=9,TED[[#This Row],[SITUACAO]]=18),"ATIVO","AFASTADO")</f>
        <v>ATIVO</v>
      </c>
      <c r="K1580" s="12">
        <v>1</v>
      </c>
    </row>
    <row r="1581" spans="1:11" x14ac:dyDescent="0.25">
      <c r="A1581" s="10">
        <v>30646</v>
      </c>
      <c r="B1581" s="9" t="s">
        <v>790</v>
      </c>
      <c r="C1581" s="12" t="str">
        <f>IFERROR(VLOOKUP(TED[[#This Row],[CENTRO]],'CENTRO DE CUSTO'!B:E,4,FALSE)," ")</f>
        <v>VANDERSON</v>
      </c>
      <c r="D1581" s="12">
        <v>269</v>
      </c>
      <c r="E1581" s="16">
        <v>269184</v>
      </c>
      <c r="F1581" s="10" t="s">
        <v>789</v>
      </c>
      <c r="G1581" s="10">
        <v>200</v>
      </c>
      <c r="H1581" s="11">
        <v>45337</v>
      </c>
      <c r="I1581" s="10" t="s">
        <v>634</v>
      </c>
      <c r="J1581" s="12" t="str">
        <f>IF(OR(TED[[#This Row],[SITUACAO]]=1,TED[[#This Row],[SITUACAO]]=9,TED[[#This Row],[SITUACAO]]=18),"ATIVO","AFASTADO")</f>
        <v>ATIVO</v>
      </c>
      <c r="K1581" s="12">
        <v>1</v>
      </c>
    </row>
    <row r="1582" spans="1:11" x14ac:dyDescent="0.25">
      <c r="A1582" s="10">
        <v>31060</v>
      </c>
      <c r="B1582" s="9" t="s">
        <v>828</v>
      </c>
      <c r="C1582" s="12" t="str">
        <f>IFERROR(VLOOKUP(TED[[#This Row],[CENTRO]],'CENTRO DE CUSTO'!B:E,4,FALSE)," ")</f>
        <v>CARLOS FABRI</v>
      </c>
      <c r="D1582" s="12">
        <v>269</v>
      </c>
      <c r="E1582" s="16">
        <v>269200</v>
      </c>
      <c r="F1582" s="10" t="s">
        <v>829</v>
      </c>
      <c r="G1582" s="10">
        <v>200</v>
      </c>
      <c r="H1582" s="11">
        <v>45337</v>
      </c>
      <c r="I1582" s="10" t="s">
        <v>634</v>
      </c>
      <c r="J1582" s="12" t="str">
        <f>IF(OR(TED[[#This Row],[SITUACAO]]=1,TED[[#This Row],[SITUACAO]]=9,TED[[#This Row],[SITUACAO]]=18),"ATIVO","AFASTADO")</f>
        <v>ATIVO</v>
      </c>
      <c r="K1582" s="12">
        <v>1</v>
      </c>
    </row>
    <row r="1583" spans="1:11" x14ac:dyDescent="0.25">
      <c r="A1583" s="10">
        <v>30775</v>
      </c>
      <c r="B1583" s="9" t="s">
        <v>861</v>
      </c>
      <c r="C1583" s="12" t="str">
        <f>IFERROR(VLOOKUP(TED[[#This Row],[CENTRO]],'CENTRO DE CUSTO'!B:E,4,FALSE)," ")</f>
        <v>S/ SUPERVISOR</v>
      </c>
      <c r="D1583" s="12">
        <v>269</v>
      </c>
      <c r="E1583" s="16">
        <v>269215</v>
      </c>
      <c r="F1583" s="10" t="s">
        <v>862</v>
      </c>
      <c r="G1583" s="10">
        <v>200</v>
      </c>
      <c r="H1583" s="11">
        <v>45337</v>
      </c>
      <c r="I1583" s="10" t="s">
        <v>634</v>
      </c>
      <c r="J1583" s="12" t="str">
        <f>IF(OR(TED[[#This Row],[SITUACAO]]=1,TED[[#This Row],[SITUACAO]]=9,TED[[#This Row],[SITUACAO]]=18),"ATIVO","AFASTADO")</f>
        <v>ATIVO</v>
      </c>
      <c r="K1583" s="12">
        <v>1</v>
      </c>
    </row>
    <row r="1584" spans="1:11" x14ac:dyDescent="0.25">
      <c r="A1584" s="10">
        <v>32628</v>
      </c>
      <c r="B1584" s="9" t="s">
        <v>691</v>
      </c>
      <c r="C1584" s="12" t="str">
        <f>IFERROR(VLOOKUP(TED[[#This Row],[CENTRO]],'CENTRO DE CUSTO'!B:E,4,FALSE)," ")</f>
        <v>VANDERSON</v>
      </c>
      <c r="D1584" s="12">
        <v>269</v>
      </c>
      <c r="E1584" s="16">
        <v>269145</v>
      </c>
      <c r="F1584" s="10" t="s">
        <v>690</v>
      </c>
      <c r="G1584" s="10">
        <v>200</v>
      </c>
      <c r="H1584" s="11">
        <v>45433</v>
      </c>
      <c r="I1584" s="10" t="s">
        <v>634</v>
      </c>
      <c r="J1584" s="12" t="str">
        <f>IF(OR(TED[[#This Row],[SITUACAO]]=1,TED[[#This Row],[SITUACAO]]=9,TED[[#This Row],[SITUACAO]]=18),"ATIVO","AFASTADO")</f>
        <v>ATIVO</v>
      </c>
      <c r="K1584" s="12">
        <v>1</v>
      </c>
    </row>
    <row r="1585" spans="1:11" x14ac:dyDescent="0.25">
      <c r="A1585" s="10">
        <v>32421</v>
      </c>
      <c r="B1585" s="9" t="s">
        <v>884</v>
      </c>
      <c r="C1585" s="12" t="str">
        <f>IFERROR(VLOOKUP(TED[[#This Row],[CENTRO]],'CENTRO DE CUSTO'!B:E,4,FALSE)," ")</f>
        <v>CARLOS FABRI</v>
      </c>
      <c r="D1585" s="12">
        <v>269</v>
      </c>
      <c r="E1585" s="16">
        <v>269228</v>
      </c>
      <c r="F1585" s="10" t="s">
        <v>885</v>
      </c>
      <c r="G1585" s="10">
        <v>200</v>
      </c>
      <c r="H1585" s="11">
        <v>45419</v>
      </c>
      <c r="I1585" s="10" t="s">
        <v>634</v>
      </c>
      <c r="J1585" s="12" t="str">
        <f>IF(OR(TED[[#This Row],[SITUACAO]]=1,TED[[#This Row],[SITUACAO]]=9,TED[[#This Row],[SITUACAO]]=18),"ATIVO","AFASTADO")</f>
        <v>ATIVO</v>
      </c>
      <c r="K1585" s="12">
        <v>1</v>
      </c>
    </row>
    <row r="1586" spans="1:11" x14ac:dyDescent="0.25">
      <c r="A1586" s="10">
        <v>44579</v>
      </c>
      <c r="B1586" s="9" t="s">
        <v>2141</v>
      </c>
      <c r="C1586" s="12" t="str">
        <f>IFERROR(VLOOKUP(TED[[#This Row],[CENTRO]],'CENTRO DE CUSTO'!B:E,4,FALSE)," ")</f>
        <v>DÉBORA GOBETTI</v>
      </c>
      <c r="D1586" s="12">
        <v>269</v>
      </c>
      <c r="E1586" s="16">
        <v>269156</v>
      </c>
      <c r="F1586" s="10" t="s">
        <v>717</v>
      </c>
      <c r="G1586" s="10">
        <v>200</v>
      </c>
      <c r="H1586" s="11">
        <v>46098</v>
      </c>
      <c r="I1586" s="10" t="s">
        <v>634</v>
      </c>
      <c r="J1586" s="12" t="str">
        <f>IF(OR(TED[[#This Row],[SITUACAO]]=1,TED[[#This Row],[SITUACAO]]=9,TED[[#This Row],[SITUACAO]]=18),"ATIVO","AFASTADO")</f>
        <v>ATIVO</v>
      </c>
      <c r="K1586" s="12">
        <v>1</v>
      </c>
    </row>
    <row r="1587" spans="1:11" x14ac:dyDescent="0.25">
      <c r="A1587" s="10">
        <v>31072</v>
      </c>
      <c r="B1587" s="9" t="s">
        <v>815</v>
      </c>
      <c r="C1587" s="12" t="str">
        <f>IFERROR(VLOOKUP(TED[[#This Row],[CENTRO]],'CENTRO DE CUSTO'!B:E,4,FALSE)," ")</f>
        <v>JOÃO CLEMENTONI</v>
      </c>
      <c r="D1587" s="12">
        <v>269</v>
      </c>
      <c r="E1587" s="16">
        <v>269195</v>
      </c>
      <c r="F1587" s="10" t="s">
        <v>816</v>
      </c>
      <c r="G1587" s="10">
        <v>200</v>
      </c>
      <c r="H1587" s="11">
        <v>45337</v>
      </c>
      <c r="I1587" s="10" t="s">
        <v>634</v>
      </c>
      <c r="J1587" s="12" t="str">
        <f>IF(OR(TED[[#This Row],[SITUACAO]]=1,TED[[#This Row],[SITUACAO]]=9,TED[[#This Row],[SITUACAO]]=18),"ATIVO","AFASTADO")</f>
        <v>ATIVO</v>
      </c>
      <c r="K1587" s="12">
        <v>1</v>
      </c>
    </row>
    <row r="1588" spans="1:11" x14ac:dyDescent="0.25">
      <c r="A1588" s="10">
        <v>46209</v>
      </c>
      <c r="B1588" s="9" t="s">
        <v>2363</v>
      </c>
      <c r="C1588" s="12" t="str">
        <f>IFERROR(VLOOKUP(TED[[#This Row],[CENTRO]],'CENTRO DE CUSTO'!B:E,4,FALSE)," ")</f>
        <v>VANDERSON</v>
      </c>
      <c r="D1588" s="12">
        <v>269</v>
      </c>
      <c r="E1588" s="16">
        <v>269237</v>
      </c>
      <c r="F1588" s="10" t="s">
        <v>904</v>
      </c>
      <c r="G1588" s="10">
        <v>200</v>
      </c>
      <c r="H1588" s="11">
        <v>46189</v>
      </c>
      <c r="I1588" s="10" t="s">
        <v>634</v>
      </c>
      <c r="J1588" s="12" t="str">
        <f>IF(OR(TED[[#This Row],[SITUACAO]]=1,TED[[#This Row],[SITUACAO]]=9,TED[[#This Row],[SITUACAO]]=18),"ATIVO","AFASTADO")</f>
        <v>ATIVO</v>
      </c>
      <c r="K1588" s="12">
        <v>1</v>
      </c>
    </row>
    <row r="1589" spans="1:11" x14ac:dyDescent="0.25">
      <c r="A1589" s="10">
        <v>31006</v>
      </c>
      <c r="B1589" s="9" t="s">
        <v>864</v>
      </c>
      <c r="C1589" s="12" t="str">
        <f>IFERROR(VLOOKUP(TED[[#This Row],[CENTRO]],'CENTRO DE CUSTO'!B:E,4,FALSE)," ")</f>
        <v>DÉBORA GOBETTI</v>
      </c>
      <c r="D1589" s="12">
        <v>269</v>
      </c>
      <c r="E1589" s="16">
        <v>269217</v>
      </c>
      <c r="F1589" s="10" t="s">
        <v>865</v>
      </c>
      <c r="G1589" s="10">
        <v>200</v>
      </c>
      <c r="H1589" s="11">
        <v>45337</v>
      </c>
      <c r="I1589" s="10" t="s">
        <v>634</v>
      </c>
      <c r="J1589" s="12" t="str">
        <f>IF(OR(TED[[#This Row],[SITUACAO]]=1,TED[[#This Row],[SITUACAO]]=9,TED[[#This Row],[SITUACAO]]=18),"ATIVO","AFASTADO")</f>
        <v>ATIVO</v>
      </c>
      <c r="K1589" s="12">
        <v>1</v>
      </c>
    </row>
    <row r="1590" spans="1:11" x14ac:dyDescent="0.25">
      <c r="A1590" s="10">
        <v>31053</v>
      </c>
      <c r="B1590" s="9" t="s">
        <v>887</v>
      </c>
      <c r="C1590" s="12" t="str">
        <f>IFERROR(VLOOKUP(TED[[#This Row],[CENTRO]],'CENTRO DE CUSTO'!B:E,4,FALSE)," ")</f>
        <v>S/ SUPERVISOR</v>
      </c>
      <c r="D1590" s="12">
        <v>269</v>
      </c>
      <c r="E1590" s="16">
        <v>269229</v>
      </c>
      <c r="F1590" s="10" t="s">
        <v>888</v>
      </c>
      <c r="G1590" s="10">
        <v>200</v>
      </c>
      <c r="H1590" s="11">
        <v>45337</v>
      </c>
      <c r="I1590" s="10" t="s">
        <v>634</v>
      </c>
      <c r="J1590" s="12" t="str">
        <f>IF(OR(TED[[#This Row],[SITUACAO]]=1,TED[[#This Row],[SITUACAO]]=9,TED[[#This Row],[SITUACAO]]=18),"ATIVO","AFASTADO")</f>
        <v>ATIVO</v>
      </c>
      <c r="K1590" s="12">
        <v>1</v>
      </c>
    </row>
    <row r="1591" spans="1:11" x14ac:dyDescent="0.25">
      <c r="A1591" s="10">
        <v>30934</v>
      </c>
      <c r="B1591" s="9" t="s">
        <v>875</v>
      </c>
      <c r="C1591" s="12" t="str">
        <f>IFERROR(VLOOKUP(TED[[#This Row],[CENTRO]],'CENTRO DE CUSTO'!B:E,4,FALSE)," ")</f>
        <v>CARLOS FABRI</v>
      </c>
      <c r="D1591" s="12">
        <v>269</v>
      </c>
      <c r="E1591" s="16">
        <v>269223</v>
      </c>
      <c r="F1591" s="10" t="s">
        <v>876</v>
      </c>
      <c r="G1591" s="10">
        <v>200</v>
      </c>
      <c r="H1591" s="11">
        <v>45337</v>
      </c>
      <c r="I1591" s="10" t="s">
        <v>634</v>
      </c>
      <c r="J1591" s="12" t="str">
        <f>IF(OR(TED[[#This Row],[SITUACAO]]=1,TED[[#This Row],[SITUACAO]]=9,TED[[#This Row],[SITUACAO]]=18),"ATIVO","AFASTADO")</f>
        <v>ATIVO</v>
      </c>
      <c r="K1591" s="12">
        <v>1</v>
      </c>
    </row>
    <row r="1592" spans="1:11" x14ac:dyDescent="0.25">
      <c r="A1592" s="10">
        <v>30991</v>
      </c>
      <c r="B1592" s="9" t="s">
        <v>897</v>
      </c>
      <c r="C1592" s="12" t="str">
        <f>IFERROR(VLOOKUP(TED[[#This Row],[CENTRO]],'CENTRO DE CUSTO'!B:E,4,FALSE)," ")</f>
        <v>JOÃO CLEMENTONI</v>
      </c>
      <c r="D1592" s="12">
        <v>269</v>
      </c>
      <c r="E1592" s="16">
        <v>269234</v>
      </c>
      <c r="F1592" s="10" t="s">
        <v>898</v>
      </c>
      <c r="G1592" s="10">
        <v>200</v>
      </c>
      <c r="H1592" s="11">
        <v>45337</v>
      </c>
      <c r="I1592" s="10" t="s">
        <v>634</v>
      </c>
      <c r="J1592" s="12" t="str">
        <f>IF(OR(TED[[#This Row],[SITUACAO]]=1,TED[[#This Row],[SITUACAO]]=9,TED[[#This Row],[SITUACAO]]=18),"ATIVO","AFASTADO")</f>
        <v>ATIVO</v>
      </c>
      <c r="K1592" s="12">
        <v>1</v>
      </c>
    </row>
    <row r="1593" spans="1:11" x14ac:dyDescent="0.25">
      <c r="A1593" s="10">
        <v>45194</v>
      </c>
      <c r="B1593" s="9" t="s">
        <v>2250</v>
      </c>
      <c r="C1593" s="12" t="str">
        <f>IFERROR(VLOOKUP(TED[[#This Row],[CENTRO]],'CENTRO DE CUSTO'!B:E,4,FALSE)," ")</f>
        <v>DÉBORA GOBETTI</v>
      </c>
      <c r="D1593" s="12">
        <v>269</v>
      </c>
      <c r="E1593" s="16">
        <v>269166</v>
      </c>
      <c r="F1593" s="10" t="s">
        <v>742</v>
      </c>
      <c r="G1593" s="10">
        <v>200</v>
      </c>
      <c r="H1593" s="11">
        <v>46135</v>
      </c>
      <c r="I1593" s="10" t="s">
        <v>634</v>
      </c>
      <c r="J1593" s="12" t="str">
        <f>IF(OR(TED[[#This Row],[SITUACAO]]=1,TED[[#This Row],[SITUACAO]]=9,TED[[#This Row],[SITUACAO]]=18),"ATIVO","AFASTADO")</f>
        <v>ATIVO</v>
      </c>
      <c r="K1593" s="12">
        <v>1</v>
      </c>
    </row>
    <row r="1594" spans="1:11" x14ac:dyDescent="0.25">
      <c r="A1594" s="10">
        <v>30647</v>
      </c>
      <c r="B1594" s="9" t="s">
        <v>813</v>
      </c>
      <c r="C1594" s="12" t="str">
        <f>IFERROR(VLOOKUP(TED[[#This Row],[CENTRO]],'CENTRO DE CUSTO'!B:E,4,FALSE)," ")</f>
        <v>VANDERSON</v>
      </c>
      <c r="D1594" s="12">
        <v>269</v>
      </c>
      <c r="E1594" s="16">
        <v>269194</v>
      </c>
      <c r="F1594" s="10" t="s">
        <v>814</v>
      </c>
      <c r="G1594" s="10">
        <v>200</v>
      </c>
      <c r="H1594" s="11">
        <v>45337</v>
      </c>
      <c r="I1594" s="10" t="s">
        <v>634</v>
      </c>
      <c r="J1594" s="12" t="str">
        <f>IF(OR(TED[[#This Row],[SITUACAO]]=1,TED[[#This Row],[SITUACAO]]=9,TED[[#This Row],[SITUACAO]]=18),"ATIVO","AFASTADO")</f>
        <v>ATIVO</v>
      </c>
      <c r="K1594" s="12">
        <v>1</v>
      </c>
    </row>
    <row r="1595" spans="1:11" x14ac:dyDescent="0.25">
      <c r="A1595" s="10">
        <v>31120</v>
      </c>
      <c r="B1595" s="9" t="s">
        <v>650</v>
      </c>
      <c r="C1595" s="12" t="str">
        <f>IFERROR(VLOOKUP(TED[[#This Row],[CENTRO]],'CENTRO DE CUSTO'!B:E,4,FALSE)," ")</f>
        <v>S/ SUPERVISOR</v>
      </c>
      <c r="D1595" s="12">
        <v>269</v>
      </c>
      <c r="E1595" s="16">
        <v>269128</v>
      </c>
      <c r="F1595" s="10" t="s">
        <v>651</v>
      </c>
      <c r="G1595" s="10">
        <v>200</v>
      </c>
      <c r="H1595" s="11">
        <v>45337</v>
      </c>
      <c r="I1595" s="10" t="s">
        <v>634</v>
      </c>
      <c r="J1595" s="12" t="str">
        <f>IF(OR(TED[[#This Row],[SITUACAO]]=1,TED[[#This Row],[SITUACAO]]=9,TED[[#This Row],[SITUACAO]]=18),"ATIVO","AFASTADO")</f>
        <v>ATIVO</v>
      </c>
      <c r="K1595" s="12">
        <v>1</v>
      </c>
    </row>
    <row r="1596" spans="1:11" x14ac:dyDescent="0.25">
      <c r="A1596" s="10">
        <v>35037</v>
      </c>
      <c r="B1596" s="9" t="s">
        <v>912</v>
      </c>
      <c r="C1596" s="12" t="str">
        <f>IFERROR(VLOOKUP(TED[[#This Row],[CENTRO]],'CENTRO DE CUSTO'!B:E,4,FALSE)," ")</f>
        <v>PAULO TORRES</v>
      </c>
      <c r="D1596" s="12">
        <v>269</v>
      </c>
      <c r="E1596" s="16">
        <v>269122</v>
      </c>
      <c r="F1596" s="10" t="s">
        <v>635</v>
      </c>
      <c r="G1596" s="10">
        <v>200</v>
      </c>
      <c r="H1596" s="11">
        <v>45677</v>
      </c>
      <c r="I1596" s="10" t="s">
        <v>634</v>
      </c>
      <c r="J1596" s="12" t="str">
        <f>IF(OR(TED[[#This Row],[SITUACAO]]=1,TED[[#This Row],[SITUACAO]]=9,TED[[#This Row],[SITUACAO]]=18),"ATIVO","AFASTADO")</f>
        <v>ATIVO</v>
      </c>
      <c r="K1596" s="12">
        <v>1</v>
      </c>
    </row>
    <row r="1597" spans="1:11" x14ac:dyDescent="0.25">
      <c r="A1597" s="10">
        <v>44188</v>
      </c>
      <c r="B1597" s="9" t="s">
        <v>2100</v>
      </c>
      <c r="C1597" s="12" t="str">
        <f>IFERROR(VLOOKUP(TED[[#This Row],[CENTRO]],'CENTRO DE CUSTO'!B:E,4,FALSE)," ")</f>
        <v>DÉBORA GOBETTI</v>
      </c>
      <c r="D1597" s="12">
        <v>269</v>
      </c>
      <c r="E1597" s="16">
        <v>269226</v>
      </c>
      <c r="F1597" s="10" t="s">
        <v>881</v>
      </c>
      <c r="G1597" s="10">
        <v>200</v>
      </c>
      <c r="H1597" s="11">
        <v>46077</v>
      </c>
      <c r="I1597" s="10" t="s">
        <v>634</v>
      </c>
      <c r="J1597" s="12" t="str">
        <f>IF(OR(TED[[#This Row],[SITUACAO]]=1,TED[[#This Row],[SITUACAO]]=9,TED[[#This Row],[SITUACAO]]=18),"ATIVO","AFASTADO")</f>
        <v>ATIVO</v>
      </c>
      <c r="K1597" s="12">
        <v>1</v>
      </c>
    </row>
    <row r="1598" spans="1:11" x14ac:dyDescent="0.25">
      <c r="A1598" s="10">
        <v>30985</v>
      </c>
      <c r="B1598" s="9" t="s">
        <v>835</v>
      </c>
      <c r="C1598" s="12" t="str">
        <f>IFERROR(VLOOKUP(TED[[#This Row],[CENTRO]],'CENTRO DE CUSTO'!B:E,4,FALSE)," ")</f>
        <v>S/ SUPERVISOR</v>
      </c>
      <c r="D1598" s="12">
        <v>269</v>
      </c>
      <c r="E1598" s="16">
        <v>269203</v>
      </c>
      <c r="F1598" s="10" t="s">
        <v>836</v>
      </c>
      <c r="G1598" s="10">
        <v>200</v>
      </c>
      <c r="H1598" s="11">
        <v>45337</v>
      </c>
      <c r="I1598" s="10" t="s">
        <v>634</v>
      </c>
      <c r="J1598" s="12" t="str">
        <f>IF(OR(TED[[#This Row],[SITUACAO]]=1,TED[[#This Row],[SITUACAO]]=9,TED[[#This Row],[SITUACAO]]=18),"ATIVO","AFASTADO")</f>
        <v>ATIVO</v>
      </c>
      <c r="K1598" s="12">
        <v>1</v>
      </c>
    </row>
    <row r="1599" spans="1:11" x14ac:dyDescent="0.25">
      <c r="A1599" s="10">
        <v>31816</v>
      </c>
      <c r="B1599" s="9" t="s">
        <v>654</v>
      </c>
      <c r="C1599" s="12" t="str">
        <f>IFERROR(VLOOKUP(TED[[#This Row],[CENTRO]],'CENTRO DE CUSTO'!B:E,4,FALSE)," ")</f>
        <v>DÉBORA GOBETTI</v>
      </c>
      <c r="D1599" s="12">
        <v>269</v>
      </c>
      <c r="E1599" s="16">
        <v>269129</v>
      </c>
      <c r="F1599" s="10" t="s">
        <v>653</v>
      </c>
      <c r="G1599" s="10">
        <v>200</v>
      </c>
      <c r="H1599" s="11">
        <v>45376</v>
      </c>
      <c r="I1599" s="10" t="s">
        <v>634</v>
      </c>
      <c r="J1599" s="12" t="str">
        <f>IF(OR(TED[[#This Row],[SITUACAO]]=1,TED[[#This Row],[SITUACAO]]=9,TED[[#This Row],[SITUACAO]]=18),"ATIVO","AFASTADO")</f>
        <v>ATIVO</v>
      </c>
      <c r="K1599" s="12">
        <v>1</v>
      </c>
    </row>
    <row r="1600" spans="1:11" x14ac:dyDescent="0.25">
      <c r="A1600" s="10">
        <v>47335</v>
      </c>
      <c r="B1600" s="9" t="s">
        <v>2364</v>
      </c>
      <c r="C1600" s="12" t="str">
        <f>IFERROR(VLOOKUP(TED[[#This Row],[CENTRO]],'CENTRO DE CUSTO'!B:E,4,FALSE)," ")</f>
        <v>VANDERSON</v>
      </c>
      <c r="D1600" s="12">
        <v>269</v>
      </c>
      <c r="E1600" s="16">
        <v>269139</v>
      </c>
      <c r="F1600" s="10" t="s">
        <v>676</v>
      </c>
      <c r="G1600" s="10">
        <v>220</v>
      </c>
      <c r="H1600" s="11">
        <v>46211</v>
      </c>
      <c r="I1600" s="10" t="s">
        <v>634</v>
      </c>
      <c r="J1600" s="12" t="str">
        <f>IF(OR(TED[[#This Row],[SITUACAO]]=1,TED[[#This Row],[SITUACAO]]=9,TED[[#This Row],[SITUACAO]]=18),"ATIVO","AFASTADO")</f>
        <v>ATIVO</v>
      </c>
      <c r="K1600" s="12">
        <v>1</v>
      </c>
    </row>
    <row r="1601" spans="1:11" x14ac:dyDescent="0.25">
      <c r="A1601" s="10">
        <v>31073</v>
      </c>
      <c r="B1601" s="9" t="s">
        <v>710</v>
      </c>
      <c r="C1601" s="12" t="str">
        <f>IFERROR(VLOOKUP(TED[[#This Row],[CENTRO]],'CENTRO DE CUSTO'!B:E,4,FALSE)," ")</f>
        <v>CARLOS FABRI</v>
      </c>
      <c r="D1601" s="12">
        <v>269</v>
      </c>
      <c r="E1601" s="16">
        <v>269153</v>
      </c>
      <c r="F1601" s="10" t="s">
        <v>709</v>
      </c>
      <c r="G1601" s="10">
        <v>200</v>
      </c>
      <c r="H1601" s="11">
        <v>45337</v>
      </c>
      <c r="I1601" s="10" t="s">
        <v>634</v>
      </c>
      <c r="J1601" s="12" t="str">
        <f>IF(OR(TED[[#This Row],[SITUACAO]]=1,TED[[#This Row],[SITUACAO]]=9,TED[[#This Row],[SITUACAO]]=18),"ATIVO","AFASTADO")</f>
        <v>ATIVO</v>
      </c>
      <c r="K1601" s="12">
        <v>1</v>
      </c>
    </row>
    <row r="1602" spans="1:11" x14ac:dyDescent="0.25">
      <c r="A1602" s="10">
        <v>31186</v>
      </c>
      <c r="B1602" s="9" t="s">
        <v>785</v>
      </c>
      <c r="C1602" s="12" t="str">
        <f>IFERROR(VLOOKUP(TED[[#This Row],[CENTRO]],'CENTRO DE CUSTO'!B:E,4,FALSE)," ")</f>
        <v>S/ SUPERVISOR</v>
      </c>
      <c r="D1602" s="12">
        <v>269</v>
      </c>
      <c r="E1602" s="16">
        <v>269182</v>
      </c>
      <c r="F1602" s="10" t="s">
        <v>784</v>
      </c>
      <c r="G1602" s="10">
        <v>200</v>
      </c>
      <c r="H1602" s="11">
        <v>45341</v>
      </c>
      <c r="I1602" s="10" t="s">
        <v>634</v>
      </c>
      <c r="J1602" s="12" t="str">
        <f>IF(OR(TED[[#This Row],[SITUACAO]]=1,TED[[#This Row],[SITUACAO]]=9,TED[[#This Row],[SITUACAO]]=18),"ATIVO","AFASTADO")</f>
        <v>ATIVO</v>
      </c>
      <c r="K1602" s="12">
        <v>1</v>
      </c>
    </row>
    <row r="1603" spans="1:11" x14ac:dyDescent="0.25">
      <c r="A1603" s="10">
        <v>30992</v>
      </c>
      <c r="B1603" s="9" t="s">
        <v>729</v>
      </c>
      <c r="C1603" s="12" t="str">
        <f>IFERROR(VLOOKUP(TED[[#This Row],[CENTRO]],'CENTRO DE CUSTO'!B:E,4,FALSE)," ")</f>
        <v>DÉBORA GOBETTI</v>
      </c>
      <c r="D1603" s="12">
        <v>269</v>
      </c>
      <c r="E1603" s="16">
        <v>269161</v>
      </c>
      <c r="F1603" s="10" t="s">
        <v>730</v>
      </c>
      <c r="G1603" s="10">
        <v>200</v>
      </c>
      <c r="H1603" s="11">
        <v>45337</v>
      </c>
      <c r="I1603" s="10" t="s">
        <v>634</v>
      </c>
      <c r="J1603" s="12" t="str">
        <f>IF(OR(TED[[#This Row],[SITUACAO]]=1,TED[[#This Row],[SITUACAO]]=9,TED[[#This Row],[SITUACAO]]=18),"ATIVO","AFASTADO")</f>
        <v>ATIVO</v>
      </c>
      <c r="K1603" s="12">
        <v>1</v>
      </c>
    </row>
    <row r="1604" spans="1:11" x14ac:dyDescent="0.25">
      <c r="A1604" s="10">
        <v>32802</v>
      </c>
      <c r="B1604" s="9" t="s">
        <v>694</v>
      </c>
      <c r="C1604" s="12" t="str">
        <f>IFERROR(VLOOKUP(TED[[#This Row],[CENTRO]],'CENTRO DE CUSTO'!B:E,4,FALSE)," ")</f>
        <v>JOÃO CLEMENTONI</v>
      </c>
      <c r="D1604" s="12">
        <v>269</v>
      </c>
      <c r="E1604" s="16">
        <v>269146</v>
      </c>
      <c r="F1604" s="10" t="s">
        <v>693</v>
      </c>
      <c r="G1604" s="10">
        <v>200</v>
      </c>
      <c r="H1604" s="11">
        <v>45453</v>
      </c>
      <c r="I1604" s="10" t="s">
        <v>634</v>
      </c>
      <c r="J1604" s="12" t="str">
        <f>IF(OR(TED[[#This Row],[SITUACAO]]=1,TED[[#This Row],[SITUACAO]]=9,TED[[#This Row],[SITUACAO]]=18),"ATIVO","AFASTADO")</f>
        <v>ATIVO</v>
      </c>
      <c r="K1604" s="12">
        <v>1</v>
      </c>
    </row>
    <row r="1605" spans="1:11" x14ac:dyDescent="0.25">
      <c r="A1605" s="10">
        <v>30643</v>
      </c>
      <c r="B1605" s="9" t="s">
        <v>795</v>
      </c>
      <c r="C1605" s="12" t="str">
        <f>IFERROR(VLOOKUP(TED[[#This Row],[CENTRO]],'CENTRO DE CUSTO'!B:E,4,FALSE)," ")</f>
        <v>JOÃO CLEMENTONI</v>
      </c>
      <c r="D1605" s="12">
        <v>269</v>
      </c>
      <c r="E1605" s="16">
        <v>269186</v>
      </c>
      <c r="F1605" s="10" t="s">
        <v>794</v>
      </c>
      <c r="G1605" s="10">
        <v>200</v>
      </c>
      <c r="H1605" s="11">
        <v>45337</v>
      </c>
      <c r="I1605" s="10" t="s">
        <v>634</v>
      </c>
      <c r="J1605" s="12" t="str">
        <f>IF(OR(TED[[#This Row],[SITUACAO]]=1,TED[[#This Row],[SITUACAO]]=9,TED[[#This Row],[SITUACAO]]=18),"ATIVO","AFASTADO")</f>
        <v>ATIVO</v>
      </c>
      <c r="K1605" s="12">
        <v>1</v>
      </c>
    </row>
    <row r="1606" spans="1:11" x14ac:dyDescent="0.25">
      <c r="A1606" s="10">
        <v>41817</v>
      </c>
      <c r="B1606" s="9" t="s">
        <v>655</v>
      </c>
      <c r="C1606" s="12" t="str">
        <f>IFERROR(VLOOKUP(TED[[#This Row],[CENTRO]],'CENTRO DE CUSTO'!B:E,4,FALSE)," ")</f>
        <v>JOÃO CLEMENTONI</v>
      </c>
      <c r="D1606" s="12">
        <v>269</v>
      </c>
      <c r="E1606" s="16">
        <v>269192</v>
      </c>
      <c r="F1606" s="10" t="s">
        <v>810</v>
      </c>
      <c r="G1606" s="10">
        <v>200</v>
      </c>
      <c r="H1606" s="11">
        <v>45957</v>
      </c>
      <c r="I1606" s="10" t="s">
        <v>634</v>
      </c>
      <c r="J1606" s="12" t="str">
        <f>IF(OR(TED[[#This Row],[SITUACAO]]=1,TED[[#This Row],[SITUACAO]]=9,TED[[#This Row],[SITUACAO]]=18),"ATIVO","AFASTADO")</f>
        <v>ATIVO</v>
      </c>
      <c r="K1606" s="12">
        <v>1</v>
      </c>
    </row>
    <row r="1607" spans="1:11" x14ac:dyDescent="0.25">
      <c r="A1607" s="10">
        <v>30798</v>
      </c>
      <c r="B1607" s="9" t="s">
        <v>722</v>
      </c>
      <c r="C1607" s="12" t="str">
        <f>IFERROR(VLOOKUP(TED[[#This Row],[CENTRO]],'CENTRO DE CUSTO'!B:E,4,FALSE)," ")</f>
        <v>S/ SUPERVISOR</v>
      </c>
      <c r="D1607" s="12">
        <v>269</v>
      </c>
      <c r="E1607" s="16">
        <v>269158</v>
      </c>
      <c r="F1607" s="10" t="s">
        <v>723</v>
      </c>
      <c r="G1607" s="10">
        <v>200</v>
      </c>
      <c r="H1607" s="11">
        <v>45337</v>
      </c>
      <c r="I1607" s="10" t="s">
        <v>634</v>
      </c>
      <c r="J1607" s="12" t="str">
        <f>IF(OR(TED[[#This Row],[SITUACAO]]=1,TED[[#This Row],[SITUACAO]]=9,TED[[#This Row],[SITUACAO]]=18),"ATIVO","AFASTADO")</f>
        <v>ATIVO</v>
      </c>
      <c r="K1607" s="12">
        <v>1</v>
      </c>
    </row>
    <row r="1608" spans="1:11" x14ac:dyDescent="0.25">
      <c r="A1608" s="10">
        <v>38134</v>
      </c>
      <c r="B1608" s="9" t="s">
        <v>914</v>
      </c>
      <c r="C1608" s="12" t="str">
        <f>IFERROR(VLOOKUP(TED[[#This Row],[CENTRO]],'CENTRO DE CUSTO'!B:E,4,FALSE)," ")</f>
        <v>S/ SUPERVISOR</v>
      </c>
      <c r="D1608" s="12">
        <v>269</v>
      </c>
      <c r="E1608" s="16">
        <v>269242</v>
      </c>
      <c r="F1608" s="10" t="s">
        <v>915</v>
      </c>
      <c r="G1608" s="10">
        <v>200</v>
      </c>
      <c r="H1608" s="11">
        <v>45758</v>
      </c>
      <c r="I1608" s="10" t="s">
        <v>634</v>
      </c>
      <c r="J1608" s="12" t="str">
        <f>IF(OR(TED[[#This Row],[SITUACAO]]=1,TED[[#This Row],[SITUACAO]]=9,TED[[#This Row],[SITUACAO]]=18),"ATIVO","AFASTADO")</f>
        <v>ATIVO</v>
      </c>
      <c r="K1608" s="12">
        <v>1</v>
      </c>
    </row>
    <row r="1609" spans="1:11" x14ac:dyDescent="0.25">
      <c r="A1609" s="10">
        <v>32769</v>
      </c>
      <c r="B1609" s="9" t="s">
        <v>825</v>
      </c>
      <c r="C1609" s="12" t="str">
        <f>IFERROR(VLOOKUP(TED[[#This Row],[CENTRO]],'CENTRO DE CUSTO'!B:E,4,FALSE)," ")</f>
        <v>CARLOS FABRI</v>
      </c>
      <c r="D1609" s="12">
        <v>269</v>
      </c>
      <c r="E1609" s="16">
        <v>269198</v>
      </c>
      <c r="F1609" s="10" t="s">
        <v>824</v>
      </c>
      <c r="G1609" s="10">
        <v>200</v>
      </c>
      <c r="H1609" s="11">
        <v>45447</v>
      </c>
      <c r="I1609" s="10" t="s">
        <v>634</v>
      </c>
      <c r="J1609" s="12" t="str">
        <f>IF(OR(TED[[#This Row],[SITUACAO]]=1,TED[[#This Row],[SITUACAO]]=9,TED[[#This Row],[SITUACAO]]=18),"ATIVO","AFASTADO")</f>
        <v>ATIVO</v>
      </c>
      <c r="K1609" s="12">
        <v>1</v>
      </c>
    </row>
    <row r="1610" spans="1:11" x14ac:dyDescent="0.25">
      <c r="A1610" s="10">
        <v>30932</v>
      </c>
      <c r="B1610" s="9" t="s">
        <v>826</v>
      </c>
      <c r="C1610" s="12" t="str">
        <f>IFERROR(VLOOKUP(TED[[#This Row],[CENTRO]],'CENTRO DE CUSTO'!B:E,4,FALSE)," ")</f>
        <v>CARLOS FABRI</v>
      </c>
      <c r="D1610" s="12">
        <v>269</v>
      </c>
      <c r="E1610" s="16">
        <v>269199</v>
      </c>
      <c r="F1610" s="10" t="s">
        <v>827</v>
      </c>
      <c r="G1610" s="10">
        <v>200</v>
      </c>
      <c r="H1610" s="11">
        <v>45337</v>
      </c>
      <c r="I1610" s="10" t="s">
        <v>634</v>
      </c>
      <c r="J1610" s="12" t="str">
        <f>IF(OR(TED[[#This Row],[SITUACAO]]=1,TED[[#This Row],[SITUACAO]]=9,TED[[#This Row],[SITUACAO]]=18),"ATIVO","AFASTADO")</f>
        <v>ATIVO</v>
      </c>
      <c r="K1610" s="12">
        <v>1</v>
      </c>
    </row>
    <row r="1611" spans="1:11" x14ac:dyDescent="0.25">
      <c r="A1611" s="10">
        <v>39747</v>
      </c>
      <c r="B1611" s="9" t="s">
        <v>823</v>
      </c>
      <c r="C1611" s="12" t="str">
        <f>IFERROR(VLOOKUP(TED[[#This Row],[CENTRO]],'CENTRO DE CUSTO'!B:E,4,FALSE)," ")</f>
        <v>CARLOS FABRI</v>
      </c>
      <c r="D1611" s="12">
        <v>269</v>
      </c>
      <c r="E1611" s="16">
        <v>269198</v>
      </c>
      <c r="F1611" s="10" t="s">
        <v>824</v>
      </c>
      <c r="G1611" s="10">
        <v>200</v>
      </c>
      <c r="H1611" s="11">
        <v>45867</v>
      </c>
      <c r="I1611" s="10" t="s">
        <v>634</v>
      </c>
      <c r="J1611" s="12" t="str">
        <f>IF(OR(TED[[#This Row],[SITUACAO]]=1,TED[[#This Row],[SITUACAO]]=9,TED[[#This Row],[SITUACAO]]=18),"ATIVO","AFASTADO")</f>
        <v>ATIVO</v>
      </c>
      <c r="K1611" s="12">
        <v>1</v>
      </c>
    </row>
    <row r="1612" spans="1:11" x14ac:dyDescent="0.25">
      <c r="A1612" s="10">
        <v>30993</v>
      </c>
      <c r="B1612" s="9" t="s">
        <v>852</v>
      </c>
      <c r="C1612" s="12" t="str">
        <f>IFERROR(VLOOKUP(TED[[#This Row],[CENTRO]],'CENTRO DE CUSTO'!B:E,4,FALSE)," ")</f>
        <v>CARLOS FABRI</v>
      </c>
      <c r="D1612" s="12">
        <v>269</v>
      </c>
      <c r="E1612" s="16">
        <v>269210</v>
      </c>
      <c r="F1612" s="10" t="s">
        <v>851</v>
      </c>
      <c r="G1612" s="10">
        <v>200</v>
      </c>
      <c r="H1612" s="11">
        <v>45337</v>
      </c>
      <c r="I1612" s="10" t="s">
        <v>634</v>
      </c>
      <c r="J1612" s="12" t="str">
        <f>IF(OR(TED[[#This Row],[SITUACAO]]=1,TED[[#This Row],[SITUACAO]]=9,TED[[#This Row],[SITUACAO]]=18),"ATIVO","AFASTADO")</f>
        <v>ATIVO</v>
      </c>
      <c r="K1612" s="12">
        <v>1</v>
      </c>
    </row>
    <row r="1613" spans="1:11" x14ac:dyDescent="0.25">
      <c r="A1613" s="10">
        <v>31010</v>
      </c>
      <c r="B1613" s="9" t="s">
        <v>647</v>
      </c>
      <c r="C1613" s="12" t="str">
        <f>IFERROR(VLOOKUP(TED[[#This Row],[CENTRO]],'CENTRO DE CUSTO'!B:E,4,FALSE)," ")</f>
        <v>S/ SUPERVISOR</v>
      </c>
      <c r="D1613" s="12">
        <v>269</v>
      </c>
      <c r="E1613" s="16">
        <v>269127</v>
      </c>
      <c r="F1613" s="10" t="s">
        <v>648</v>
      </c>
      <c r="G1613" s="10">
        <v>200</v>
      </c>
      <c r="H1613" s="11">
        <v>45337</v>
      </c>
      <c r="I1613" s="10" t="s">
        <v>634</v>
      </c>
      <c r="J1613" s="12" t="str">
        <f>IF(OR(TED[[#This Row],[SITUACAO]]=1,TED[[#This Row],[SITUACAO]]=9,TED[[#This Row],[SITUACAO]]=18),"ATIVO","AFASTADO")</f>
        <v>ATIVO</v>
      </c>
      <c r="K1613" s="12">
        <v>1</v>
      </c>
    </row>
    <row r="1614" spans="1:11" x14ac:dyDescent="0.25">
      <c r="A1614" s="10">
        <v>45647</v>
      </c>
      <c r="B1614" s="9" t="s">
        <v>2248</v>
      </c>
      <c r="C1614" s="12" t="str">
        <f>IFERROR(VLOOKUP(TED[[#This Row],[CENTRO]],'CENTRO DE CUSTO'!B:E,4,FALSE)," ")</f>
        <v>VANDERSON</v>
      </c>
      <c r="D1614" s="12">
        <v>269</v>
      </c>
      <c r="E1614" s="16">
        <v>269145</v>
      </c>
      <c r="F1614" s="10" t="s">
        <v>690</v>
      </c>
      <c r="G1614" s="10">
        <v>200</v>
      </c>
      <c r="H1614" s="11">
        <v>46160</v>
      </c>
      <c r="I1614" s="10" t="s">
        <v>634</v>
      </c>
      <c r="J1614" s="12" t="str">
        <f>IF(OR(TED[[#This Row],[SITUACAO]]=1,TED[[#This Row],[SITUACAO]]=9,TED[[#This Row],[SITUACAO]]=18),"ATIVO","AFASTADO")</f>
        <v>ATIVO</v>
      </c>
      <c r="K1614" s="12">
        <v>1</v>
      </c>
    </row>
    <row r="1615" spans="1:11" x14ac:dyDescent="0.25">
      <c r="A1615" s="10">
        <v>30996</v>
      </c>
      <c r="B1615" s="9" t="s">
        <v>775</v>
      </c>
      <c r="C1615" s="12" t="str">
        <f>IFERROR(VLOOKUP(TED[[#This Row],[CENTRO]],'CENTRO DE CUSTO'!B:E,4,FALSE)," ")</f>
        <v>DÉBORA GOBETTI</v>
      </c>
      <c r="D1615" s="12">
        <v>269</v>
      </c>
      <c r="E1615" s="16">
        <v>269179</v>
      </c>
      <c r="F1615" s="10" t="s">
        <v>776</v>
      </c>
      <c r="G1615" s="10">
        <v>200</v>
      </c>
      <c r="H1615" s="11">
        <v>45337</v>
      </c>
      <c r="I1615" s="10" t="s">
        <v>634</v>
      </c>
      <c r="J1615" s="12" t="str">
        <f>IF(OR(TED[[#This Row],[SITUACAO]]=1,TED[[#This Row],[SITUACAO]]=9,TED[[#This Row],[SITUACAO]]=18),"ATIVO","AFASTADO")</f>
        <v>ATIVO</v>
      </c>
      <c r="K1615" s="12">
        <v>1</v>
      </c>
    </row>
    <row r="1616" spans="1:11" x14ac:dyDescent="0.25">
      <c r="A1616" s="10">
        <v>39718</v>
      </c>
      <c r="B1616" s="9" t="s">
        <v>759</v>
      </c>
      <c r="C1616" s="12" t="str">
        <f>IFERROR(VLOOKUP(TED[[#This Row],[CENTRO]],'CENTRO DE CUSTO'!B:E,4,FALSE)," ")</f>
        <v>VANDERSON</v>
      </c>
      <c r="D1616" s="12">
        <v>269</v>
      </c>
      <c r="E1616" s="16">
        <v>269173</v>
      </c>
      <c r="F1616" s="10" t="s">
        <v>760</v>
      </c>
      <c r="G1616" s="10">
        <v>200</v>
      </c>
      <c r="H1616" s="11">
        <v>45863</v>
      </c>
      <c r="I1616" s="10" t="s">
        <v>634</v>
      </c>
      <c r="J1616" s="12" t="str">
        <f>IF(OR(TED[[#This Row],[SITUACAO]]=1,TED[[#This Row],[SITUACAO]]=9,TED[[#This Row],[SITUACAO]]=18),"ATIVO","AFASTADO")</f>
        <v>ATIVO</v>
      </c>
      <c r="K1616" s="12">
        <v>1</v>
      </c>
    </row>
    <row r="1617" spans="1:11" x14ac:dyDescent="0.25">
      <c r="A1617" s="10">
        <v>30655</v>
      </c>
      <c r="B1617" s="9" t="s">
        <v>772</v>
      </c>
      <c r="C1617" s="12" t="str">
        <f>IFERROR(VLOOKUP(TED[[#This Row],[CENTRO]],'CENTRO DE CUSTO'!B:E,4,FALSE)," ")</f>
        <v>S/ SUPERVISOR</v>
      </c>
      <c r="D1617" s="12">
        <v>269</v>
      </c>
      <c r="E1617" s="16">
        <v>269178</v>
      </c>
      <c r="F1617" s="10" t="s">
        <v>773</v>
      </c>
      <c r="G1617" s="10">
        <v>200</v>
      </c>
      <c r="H1617" s="11">
        <v>45337</v>
      </c>
      <c r="I1617" s="10" t="s">
        <v>634</v>
      </c>
      <c r="J1617" s="12" t="str">
        <f>IF(OR(TED[[#This Row],[SITUACAO]]=1,TED[[#This Row],[SITUACAO]]=9,TED[[#This Row],[SITUACAO]]=18),"ATIVO","AFASTADO")</f>
        <v>ATIVO</v>
      </c>
      <c r="K1617" s="12">
        <v>1</v>
      </c>
    </row>
    <row r="1618" spans="1:11" x14ac:dyDescent="0.25">
      <c r="A1618" s="10">
        <v>30654</v>
      </c>
      <c r="B1618" s="9" t="s">
        <v>724</v>
      </c>
      <c r="C1618" s="12" t="str">
        <f>IFERROR(VLOOKUP(TED[[#This Row],[CENTRO]],'CENTRO DE CUSTO'!B:E,4,FALSE)," ")</f>
        <v>VANDERSON</v>
      </c>
      <c r="D1618" s="12">
        <v>269</v>
      </c>
      <c r="E1618" s="16">
        <v>269159</v>
      </c>
      <c r="F1618" s="10" t="s">
        <v>725</v>
      </c>
      <c r="G1618" s="10">
        <v>200</v>
      </c>
      <c r="H1618" s="11">
        <v>45337</v>
      </c>
      <c r="I1618" s="10" t="s">
        <v>634</v>
      </c>
      <c r="J1618" s="12" t="str">
        <f>IF(OR(TED[[#This Row],[SITUACAO]]=1,TED[[#This Row],[SITUACAO]]=9,TED[[#This Row],[SITUACAO]]=18),"ATIVO","AFASTADO")</f>
        <v>ATIVO</v>
      </c>
      <c r="K1618" s="12">
        <v>1</v>
      </c>
    </row>
    <row r="1619" spans="1:11" x14ac:dyDescent="0.25">
      <c r="A1619" s="10">
        <v>37855</v>
      </c>
      <c r="B1619" s="9" t="s">
        <v>783</v>
      </c>
      <c r="C1619" s="12" t="str">
        <f>IFERROR(VLOOKUP(TED[[#This Row],[CENTRO]],'CENTRO DE CUSTO'!B:E,4,FALSE)," ")</f>
        <v>S/ SUPERVISOR</v>
      </c>
      <c r="D1619" s="12">
        <v>269</v>
      </c>
      <c r="E1619" s="16">
        <v>269182</v>
      </c>
      <c r="F1619" s="10" t="s">
        <v>784</v>
      </c>
      <c r="G1619" s="10">
        <v>200</v>
      </c>
      <c r="H1619" s="11">
        <v>45737</v>
      </c>
      <c r="I1619" s="10" t="s">
        <v>634</v>
      </c>
      <c r="J1619" s="12" t="str">
        <f>IF(OR(TED[[#This Row],[SITUACAO]]=1,TED[[#This Row],[SITUACAO]]=9,TED[[#This Row],[SITUACAO]]=18),"ATIVO","AFASTADO")</f>
        <v>ATIVO</v>
      </c>
      <c r="K1619" s="12">
        <v>1</v>
      </c>
    </row>
    <row r="1620" spans="1:11" x14ac:dyDescent="0.25">
      <c r="A1620" s="10">
        <v>30728</v>
      </c>
      <c r="B1620" s="9" t="s">
        <v>698</v>
      </c>
      <c r="C1620" s="12" t="str">
        <f>IFERROR(VLOOKUP(TED[[#This Row],[CENTRO]],'CENTRO DE CUSTO'!B:E,4,FALSE)," ")</f>
        <v>VANDERSON</v>
      </c>
      <c r="D1620" s="12">
        <v>269</v>
      </c>
      <c r="E1620" s="16">
        <v>269148</v>
      </c>
      <c r="F1620" s="10" t="s">
        <v>699</v>
      </c>
      <c r="G1620" s="10">
        <v>200</v>
      </c>
      <c r="H1620" s="11">
        <v>45337</v>
      </c>
      <c r="I1620" s="10" t="s">
        <v>634</v>
      </c>
      <c r="J1620" s="12" t="str">
        <f>IF(OR(TED[[#This Row],[SITUACAO]]=1,TED[[#This Row],[SITUACAO]]=9,TED[[#This Row],[SITUACAO]]=18),"ATIVO","AFASTADO")</f>
        <v>ATIVO</v>
      </c>
      <c r="K1620" s="12">
        <v>1</v>
      </c>
    </row>
    <row r="1621" spans="1:11" x14ac:dyDescent="0.25">
      <c r="A1621" s="10">
        <v>30930</v>
      </c>
      <c r="B1621" s="9" t="s">
        <v>841</v>
      </c>
      <c r="C1621" s="12" t="str">
        <f>IFERROR(VLOOKUP(TED[[#This Row],[CENTRO]],'CENTRO DE CUSTO'!B:E,4,FALSE)," ")</f>
        <v>CARLOS FABRI</v>
      </c>
      <c r="D1621" s="12">
        <v>269</v>
      </c>
      <c r="E1621" s="16">
        <v>269206</v>
      </c>
      <c r="F1621" s="10" t="s">
        <v>842</v>
      </c>
      <c r="G1621" s="10">
        <v>200</v>
      </c>
      <c r="H1621" s="11">
        <v>45337</v>
      </c>
      <c r="I1621" s="10" t="s">
        <v>634</v>
      </c>
      <c r="J1621" s="12" t="str">
        <f>IF(OR(TED[[#This Row],[SITUACAO]]=1,TED[[#This Row],[SITUACAO]]=9,TED[[#This Row],[SITUACAO]]=18),"ATIVO","AFASTADO")</f>
        <v>AFASTADO</v>
      </c>
      <c r="K1621" s="12">
        <v>5</v>
      </c>
    </row>
    <row r="1622" spans="1:11" x14ac:dyDescent="0.25">
      <c r="A1622" s="10">
        <v>32570</v>
      </c>
      <c r="B1622" s="9" t="s">
        <v>645</v>
      </c>
      <c r="C1622" s="12" t="str">
        <f>IFERROR(VLOOKUP(TED[[#This Row],[CENTRO]],'CENTRO DE CUSTO'!B:E,4,FALSE)," ")</f>
        <v>JOÃO CLEMENTONI</v>
      </c>
      <c r="D1622" s="12">
        <v>269</v>
      </c>
      <c r="E1622" s="16">
        <v>269126</v>
      </c>
      <c r="F1622" s="10" t="s">
        <v>646</v>
      </c>
      <c r="G1622" s="10">
        <v>200</v>
      </c>
      <c r="H1622" s="11">
        <v>45428</v>
      </c>
      <c r="I1622" s="10" t="s">
        <v>634</v>
      </c>
      <c r="J1622" s="12" t="str">
        <f>IF(OR(TED[[#This Row],[SITUACAO]]=1,TED[[#This Row],[SITUACAO]]=9,TED[[#This Row],[SITUACAO]]=18),"ATIVO","AFASTADO")</f>
        <v>ATIVO</v>
      </c>
      <c r="K1622" s="12">
        <v>1</v>
      </c>
    </row>
    <row r="1623" spans="1:11" x14ac:dyDescent="0.25">
      <c r="A1623" s="10">
        <v>30975</v>
      </c>
      <c r="B1623" s="9" t="s">
        <v>806</v>
      </c>
      <c r="C1623" s="12" t="str">
        <f>IFERROR(VLOOKUP(TED[[#This Row],[CENTRO]],'CENTRO DE CUSTO'!B:E,4,FALSE)," ")</f>
        <v>S/ SUPERVISOR</v>
      </c>
      <c r="D1623" s="12">
        <v>269</v>
      </c>
      <c r="E1623" s="16">
        <v>269191</v>
      </c>
      <c r="F1623" s="10" t="s">
        <v>807</v>
      </c>
      <c r="G1623" s="10">
        <v>200</v>
      </c>
      <c r="H1623" s="11">
        <v>45337</v>
      </c>
      <c r="I1623" s="10" t="s">
        <v>634</v>
      </c>
      <c r="J1623" s="12" t="str">
        <f>IF(OR(TED[[#This Row],[SITUACAO]]=1,TED[[#This Row],[SITUACAO]]=9,TED[[#This Row],[SITUACAO]]=18),"ATIVO","AFASTADO")</f>
        <v>ATIVO</v>
      </c>
      <c r="K1623" s="12">
        <v>1</v>
      </c>
    </row>
    <row r="1624" spans="1:11" x14ac:dyDescent="0.25">
      <c r="A1624" s="10">
        <v>31108</v>
      </c>
      <c r="B1624" s="9" t="s">
        <v>753</v>
      </c>
      <c r="C1624" s="12" t="str">
        <f>IFERROR(VLOOKUP(TED[[#This Row],[CENTRO]],'CENTRO DE CUSTO'!B:E,4,FALSE)," ")</f>
        <v>JOÃO CLEMENTONI</v>
      </c>
      <c r="D1624" s="12">
        <v>269</v>
      </c>
      <c r="E1624" s="16">
        <v>269170</v>
      </c>
      <c r="F1624" s="10" t="s">
        <v>754</v>
      </c>
      <c r="G1624" s="10">
        <v>200</v>
      </c>
      <c r="H1624" s="11">
        <v>45337</v>
      </c>
      <c r="I1624" s="10" t="s">
        <v>634</v>
      </c>
      <c r="J1624" s="12" t="str">
        <f>IF(OR(TED[[#This Row],[SITUACAO]]=1,TED[[#This Row],[SITUACAO]]=9,TED[[#This Row],[SITUACAO]]=18),"ATIVO","AFASTADO")</f>
        <v>ATIVO</v>
      </c>
      <c r="K1624" s="12">
        <v>1</v>
      </c>
    </row>
    <row r="1625" spans="1:11" x14ac:dyDescent="0.25">
      <c r="A1625" s="10">
        <v>45641</v>
      </c>
      <c r="B1625" s="9" t="s">
        <v>2255</v>
      </c>
      <c r="C1625" s="12" t="str">
        <f>IFERROR(VLOOKUP(TED[[#This Row],[CENTRO]],'CENTRO DE CUSTO'!B:E,4,FALSE)," ")</f>
        <v>CARLOS FABRI</v>
      </c>
      <c r="D1625" s="12">
        <v>269</v>
      </c>
      <c r="E1625" s="16">
        <v>269196</v>
      </c>
      <c r="F1625" s="10" t="s">
        <v>818</v>
      </c>
      <c r="G1625" s="10">
        <v>200</v>
      </c>
      <c r="H1625" s="11">
        <v>46157</v>
      </c>
      <c r="I1625" s="10" t="s">
        <v>634</v>
      </c>
      <c r="J1625" s="12" t="str">
        <f>IF(OR(TED[[#This Row],[SITUACAO]]=1,TED[[#This Row],[SITUACAO]]=9,TED[[#This Row],[SITUACAO]]=18),"ATIVO","AFASTADO")</f>
        <v>ATIVO</v>
      </c>
      <c r="K1625" s="12">
        <v>1</v>
      </c>
    </row>
    <row r="1626" spans="1:11" x14ac:dyDescent="0.25">
      <c r="A1626" s="10">
        <v>30997</v>
      </c>
      <c r="B1626" s="9" t="s">
        <v>763</v>
      </c>
      <c r="C1626" s="12" t="str">
        <f>IFERROR(VLOOKUP(TED[[#This Row],[CENTRO]],'CENTRO DE CUSTO'!B:E,4,FALSE)," ")</f>
        <v>JOÃO CLEMENTONI</v>
      </c>
      <c r="D1626" s="12">
        <v>269</v>
      </c>
      <c r="E1626" s="16">
        <v>269174</v>
      </c>
      <c r="F1626" s="10" t="s">
        <v>762</v>
      </c>
      <c r="G1626" s="10">
        <v>200</v>
      </c>
      <c r="H1626" s="11">
        <v>45337</v>
      </c>
      <c r="I1626" s="10" t="s">
        <v>634</v>
      </c>
      <c r="J1626" s="12" t="str">
        <f>IF(OR(TED[[#This Row],[SITUACAO]]=1,TED[[#This Row],[SITUACAO]]=9,TED[[#This Row],[SITUACAO]]=18),"ATIVO","AFASTADO")</f>
        <v>ATIVO</v>
      </c>
      <c r="K1626" s="12">
        <v>1</v>
      </c>
    </row>
    <row r="1627" spans="1:11" x14ac:dyDescent="0.25">
      <c r="A1627" s="10">
        <v>44411</v>
      </c>
      <c r="B1627" s="9" t="s">
        <v>2124</v>
      </c>
      <c r="C1627" s="12" t="str">
        <f>IFERROR(VLOOKUP(TED[[#This Row],[CENTRO]],'CENTRO DE CUSTO'!B:E,4,FALSE)," ")</f>
        <v>JOÃO CLEMENTONI</v>
      </c>
      <c r="D1627" s="12">
        <v>269</v>
      </c>
      <c r="E1627" s="16">
        <v>269130</v>
      </c>
      <c r="F1627" s="10" t="s">
        <v>656</v>
      </c>
      <c r="G1627" s="10">
        <v>200</v>
      </c>
      <c r="H1627" s="11">
        <v>46090</v>
      </c>
      <c r="I1627" s="10" t="s">
        <v>634</v>
      </c>
      <c r="J1627" s="12" t="str">
        <f>IF(OR(TED[[#This Row],[SITUACAO]]=1,TED[[#This Row],[SITUACAO]]=9,TED[[#This Row],[SITUACAO]]=18),"ATIVO","AFASTADO")</f>
        <v>ATIVO</v>
      </c>
      <c r="K1627" s="12">
        <v>1</v>
      </c>
    </row>
    <row r="1628" spans="1:11" x14ac:dyDescent="0.25">
      <c r="A1628" s="10">
        <v>31150</v>
      </c>
      <c r="B1628" s="9" t="s">
        <v>746</v>
      </c>
      <c r="C1628" s="12" t="str">
        <f>IFERROR(VLOOKUP(TED[[#This Row],[CENTRO]],'CENTRO DE CUSTO'!B:E,4,FALSE)," ")</f>
        <v>JOÃO CLEMENTONI</v>
      </c>
      <c r="D1628" s="12">
        <v>269</v>
      </c>
      <c r="E1628" s="16">
        <v>269167</v>
      </c>
      <c r="F1628" s="10" t="s">
        <v>745</v>
      </c>
      <c r="G1628" s="10">
        <v>200</v>
      </c>
      <c r="H1628" s="11">
        <v>45338</v>
      </c>
      <c r="I1628" s="10" t="s">
        <v>634</v>
      </c>
      <c r="J1628" s="12" t="str">
        <f>IF(OR(TED[[#This Row],[SITUACAO]]=1,TED[[#This Row],[SITUACAO]]=9,TED[[#This Row],[SITUACAO]]=18),"ATIVO","AFASTADO")</f>
        <v>ATIVO</v>
      </c>
      <c r="K1628" s="12">
        <v>1</v>
      </c>
    </row>
    <row r="1629" spans="1:11" x14ac:dyDescent="0.25">
      <c r="A1629" s="10">
        <v>31148</v>
      </c>
      <c r="B1629" s="9" t="s">
        <v>910</v>
      </c>
      <c r="C1629" s="12" t="str">
        <f>IFERROR(VLOOKUP(TED[[#This Row],[CENTRO]],'CENTRO DE CUSTO'!B:E,4,FALSE)," ")</f>
        <v>DÉBORA GOBETTI</v>
      </c>
      <c r="D1629" s="12">
        <v>269</v>
      </c>
      <c r="E1629" s="16">
        <v>269240</v>
      </c>
      <c r="F1629" s="10" t="s">
        <v>911</v>
      </c>
      <c r="G1629" s="10">
        <v>200</v>
      </c>
      <c r="H1629" s="11">
        <v>45337</v>
      </c>
      <c r="I1629" s="10" t="s">
        <v>634</v>
      </c>
      <c r="J1629" s="12" t="str">
        <f>IF(OR(TED[[#This Row],[SITUACAO]]=1,TED[[#This Row],[SITUACAO]]=9,TED[[#This Row],[SITUACAO]]=18),"ATIVO","AFASTADO")</f>
        <v>ATIVO</v>
      </c>
      <c r="K1629" s="12">
        <v>1</v>
      </c>
    </row>
    <row r="1630" spans="1:11" x14ac:dyDescent="0.25">
      <c r="A1630" s="10">
        <v>31268</v>
      </c>
      <c r="B1630" s="9" t="s">
        <v>689</v>
      </c>
      <c r="C1630" s="12" t="str">
        <f>IFERROR(VLOOKUP(TED[[#This Row],[CENTRO]],'CENTRO DE CUSTO'!B:E,4,FALSE)," ")</f>
        <v>CARLOS FABRI</v>
      </c>
      <c r="D1630" s="12">
        <v>269</v>
      </c>
      <c r="E1630" s="16">
        <v>269144</v>
      </c>
      <c r="F1630" s="10" t="s">
        <v>688</v>
      </c>
      <c r="G1630" s="10">
        <v>200</v>
      </c>
      <c r="H1630" s="11">
        <v>45344</v>
      </c>
      <c r="I1630" s="10" t="s">
        <v>634</v>
      </c>
      <c r="J1630" s="12" t="str">
        <f>IF(OR(TED[[#This Row],[SITUACAO]]=1,TED[[#This Row],[SITUACAO]]=9,TED[[#This Row],[SITUACAO]]=18),"ATIVO","AFASTADO")</f>
        <v>ATIVO</v>
      </c>
      <c r="K1630" s="12">
        <v>1</v>
      </c>
    </row>
    <row r="1631" spans="1:11" x14ac:dyDescent="0.25">
      <c r="A1631" s="10">
        <v>30747</v>
      </c>
      <c r="B1631" s="9" t="s">
        <v>662</v>
      </c>
      <c r="C1631" s="12" t="str">
        <f>IFERROR(VLOOKUP(TED[[#This Row],[CENTRO]],'CENTRO DE CUSTO'!B:E,4,FALSE)," ")</f>
        <v>VANDERSON</v>
      </c>
      <c r="D1631" s="12">
        <v>269</v>
      </c>
      <c r="E1631" s="16">
        <v>269133</v>
      </c>
      <c r="F1631" s="10" t="s">
        <v>663</v>
      </c>
      <c r="G1631" s="10">
        <v>200</v>
      </c>
      <c r="H1631" s="11">
        <v>45337</v>
      </c>
      <c r="I1631" s="10" t="s">
        <v>634</v>
      </c>
      <c r="J1631" s="12" t="str">
        <f>IF(OR(TED[[#This Row],[SITUACAO]]=1,TED[[#This Row],[SITUACAO]]=9,TED[[#This Row],[SITUACAO]]=18),"ATIVO","AFASTADO")</f>
        <v>ATIVO</v>
      </c>
      <c r="K1631" s="12">
        <v>1</v>
      </c>
    </row>
    <row r="1632" spans="1:11" x14ac:dyDescent="0.25">
      <c r="A1632" s="10">
        <v>30937</v>
      </c>
      <c r="B1632" s="9" t="s">
        <v>817</v>
      </c>
      <c r="C1632" s="12" t="str">
        <f>IFERROR(VLOOKUP(TED[[#This Row],[CENTRO]],'CENTRO DE CUSTO'!B:E,4,FALSE)," ")</f>
        <v>CARLOS FABRI</v>
      </c>
      <c r="D1632" s="12">
        <v>269</v>
      </c>
      <c r="E1632" s="16">
        <v>269196</v>
      </c>
      <c r="F1632" s="10" t="s">
        <v>818</v>
      </c>
      <c r="G1632" s="10">
        <v>200</v>
      </c>
      <c r="H1632" s="11">
        <v>45337</v>
      </c>
      <c r="I1632" s="10" t="s">
        <v>634</v>
      </c>
      <c r="J1632" s="12" t="str">
        <f>IF(OR(TED[[#This Row],[SITUACAO]]=1,TED[[#This Row],[SITUACAO]]=9,TED[[#This Row],[SITUACAO]]=18),"ATIVO","AFASTADO")</f>
        <v>AFASTADO</v>
      </c>
      <c r="K1632" s="12">
        <v>5</v>
      </c>
    </row>
    <row r="1633" spans="1:11" x14ac:dyDescent="0.25">
      <c r="A1633" s="10">
        <v>45682</v>
      </c>
      <c r="B1633" s="9" t="s">
        <v>2252</v>
      </c>
      <c r="C1633" s="12" t="str">
        <f>IFERROR(VLOOKUP(TED[[#This Row],[CENTRO]],'CENTRO DE CUSTO'!B:E,4,FALSE)," ")</f>
        <v>JOÃO CLEMENTONI</v>
      </c>
      <c r="D1633" s="12">
        <v>269</v>
      </c>
      <c r="E1633" s="16">
        <v>269174</v>
      </c>
      <c r="F1633" s="10" t="s">
        <v>762</v>
      </c>
      <c r="G1633" s="10">
        <v>100</v>
      </c>
      <c r="H1633" s="11">
        <v>46160</v>
      </c>
      <c r="I1633" s="10" t="s">
        <v>634</v>
      </c>
      <c r="J1633" s="12" t="str">
        <f>IF(OR(TED[[#This Row],[SITUACAO]]=1,TED[[#This Row],[SITUACAO]]=9,TED[[#This Row],[SITUACAO]]=18),"ATIVO","AFASTADO")</f>
        <v>ATIVO</v>
      </c>
      <c r="K1633" s="12">
        <v>1</v>
      </c>
    </row>
    <row r="1634" spans="1:11" x14ac:dyDescent="0.25">
      <c r="A1634" s="10">
        <v>32644</v>
      </c>
      <c r="B1634" s="9" t="s">
        <v>666</v>
      </c>
      <c r="C1634" s="12" t="str">
        <f>IFERROR(VLOOKUP(TED[[#This Row],[CENTRO]],'CENTRO DE CUSTO'!B:E,4,FALSE)," ")</f>
        <v>JOÃO CLEMENTONI</v>
      </c>
      <c r="D1634" s="12">
        <v>269</v>
      </c>
      <c r="E1634" s="16">
        <v>269134</v>
      </c>
      <c r="F1634" s="10" t="s">
        <v>665</v>
      </c>
      <c r="G1634" s="10">
        <v>200</v>
      </c>
      <c r="H1634" s="11">
        <v>45434</v>
      </c>
      <c r="I1634" s="10" t="s">
        <v>634</v>
      </c>
      <c r="J1634" s="12" t="str">
        <f>IF(OR(TED[[#This Row],[SITUACAO]]=1,TED[[#This Row],[SITUACAO]]=9,TED[[#This Row],[SITUACAO]]=18),"ATIVO","AFASTADO")</f>
        <v>ATIVO</v>
      </c>
      <c r="K1634" s="12">
        <v>1</v>
      </c>
    </row>
    <row r="1635" spans="1:11" x14ac:dyDescent="0.25">
      <c r="A1635" s="10">
        <v>31121</v>
      </c>
      <c r="B1635" s="9" t="s">
        <v>886</v>
      </c>
      <c r="C1635" s="12" t="str">
        <f>IFERROR(VLOOKUP(TED[[#This Row],[CENTRO]],'CENTRO DE CUSTO'!B:E,4,FALSE)," ")</f>
        <v>CARLOS FABRI</v>
      </c>
      <c r="D1635" s="12">
        <v>269</v>
      </c>
      <c r="E1635" s="16">
        <v>269241</v>
      </c>
      <c r="F1635" s="10" t="s">
        <v>913</v>
      </c>
      <c r="G1635" s="10">
        <v>200</v>
      </c>
      <c r="H1635" s="11">
        <v>45337</v>
      </c>
      <c r="I1635" s="10" t="s">
        <v>634</v>
      </c>
      <c r="J1635" s="12" t="str">
        <f>IF(OR(TED[[#This Row],[SITUACAO]]=1,TED[[#This Row],[SITUACAO]]=9,TED[[#This Row],[SITUACAO]]=18),"ATIVO","AFASTADO")</f>
        <v>ATIVO</v>
      </c>
      <c r="K1635" s="12">
        <v>1</v>
      </c>
    </row>
    <row r="1636" spans="1:11" x14ac:dyDescent="0.25">
      <c r="A1636" s="10">
        <v>46459</v>
      </c>
      <c r="B1636" s="9" t="s">
        <v>2365</v>
      </c>
      <c r="C1636" s="12" t="str">
        <f>IFERROR(VLOOKUP(TED[[#This Row],[CENTRO]],'CENTRO DE CUSTO'!B:E,4,FALSE)," ")</f>
        <v>DÉBORA GOBETTI</v>
      </c>
      <c r="D1636" s="12">
        <v>269</v>
      </c>
      <c r="E1636" s="16">
        <v>269123</v>
      </c>
      <c r="F1636" s="10" t="s">
        <v>640</v>
      </c>
      <c r="G1636" s="10">
        <v>200</v>
      </c>
      <c r="H1636" s="11">
        <v>46191</v>
      </c>
      <c r="I1636" s="10" t="s">
        <v>634</v>
      </c>
      <c r="J1636" s="12" t="str">
        <f>IF(OR(TED[[#This Row],[SITUACAO]]=1,TED[[#This Row],[SITUACAO]]=9,TED[[#This Row],[SITUACAO]]=18),"ATIVO","AFASTADO")</f>
        <v>ATIVO</v>
      </c>
      <c r="K1636" s="12">
        <v>1</v>
      </c>
    </row>
    <row r="1637" spans="1:11" x14ac:dyDescent="0.25">
      <c r="A1637" s="10">
        <v>43644</v>
      </c>
      <c r="B1637" s="9" t="s">
        <v>2095</v>
      </c>
      <c r="C1637" s="12" t="str">
        <f>IFERROR(VLOOKUP(TED[[#This Row],[CENTRO]],'CENTRO DE CUSTO'!B:E,4,FALSE)," ")</f>
        <v>VANDERSON</v>
      </c>
      <c r="D1637" s="12">
        <v>269</v>
      </c>
      <c r="E1637" s="16">
        <v>269163</v>
      </c>
      <c r="F1637" s="10" t="s">
        <v>735</v>
      </c>
      <c r="G1637" s="10">
        <v>200</v>
      </c>
      <c r="H1637" s="11">
        <v>46055</v>
      </c>
      <c r="I1637" s="10" t="s">
        <v>634</v>
      </c>
      <c r="J1637" s="12" t="str">
        <f>IF(OR(TED[[#This Row],[SITUACAO]]=1,TED[[#This Row],[SITUACAO]]=9,TED[[#This Row],[SITUACAO]]=18),"ATIVO","AFASTADO")</f>
        <v>ATIVO</v>
      </c>
      <c r="K1637" s="12">
        <v>1</v>
      </c>
    </row>
    <row r="1638" spans="1:11" x14ac:dyDescent="0.25">
      <c r="A1638" s="10">
        <v>31161</v>
      </c>
      <c r="B1638" s="9" t="s">
        <v>641</v>
      </c>
      <c r="C1638" s="12" t="str">
        <f>IFERROR(VLOOKUP(TED[[#This Row],[CENTRO]],'CENTRO DE CUSTO'!B:E,4,FALSE)," ")</f>
        <v>S/ SUPERVISOR</v>
      </c>
      <c r="D1638" s="12">
        <v>269</v>
      </c>
      <c r="E1638" s="16">
        <v>269124</v>
      </c>
      <c r="F1638" s="10" t="s">
        <v>642</v>
      </c>
      <c r="G1638" s="10">
        <v>200</v>
      </c>
      <c r="H1638" s="11">
        <v>45341</v>
      </c>
      <c r="I1638" s="10" t="s">
        <v>634</v>
      </c>
      <c r="J1638" s="12" t="str">
        <f>IF(OR(TED[[#This Row],[SITUACAO]]=1,TED[[#This Row],[SITUACAO]]=9,TED[[#This Row],[SITUACAO]]=18),"ATIVO","AFASTADO")</f>
        <v>ATIVO</v>
      </c>
      <c r="K1638" s="12">
        <v>1</v>
      </c>
    </row>
    <row r="1639" spans="1:11" x14ac:dyDescent="0.25">
      <c r="A1639" s="10">
        <v>32301</v>
      </c>
      <c r="B1639" s="9" t="s">
        <v>657</v>
      </c>
      <c r="C1639" s="12" t="str">
        <f>IFERROR(VLOOKUP(TED[[#This Row],[CENTRO]],'CENTRO DE CUSTO'!B:E,4,FALSE)," ")</f>
        <v>JOÃO CLEMENTONI</v>
      </c>
      <c r="D1639" s="12">
        <v>269</v>
      </c>
      <c r="E1639" s="16">
        <v>269130</v>
      </c>
      <c r="F1639" s="10" t="s">
        <v>656</v>
      </c>
      <c r="G1639" s="10">
        <v>200</v>
      </c>
      <c r="H1639" s="11">
        <v>45414</v>
      </c>
      <c r="I1639" s="10" t="s">
        <v>634</v>
      </c>
      <c r="J1639" s="12" t="str">
        <f>IF(OR(TED[[#This Row],[SITUACAO]]=1,TED[[#This Row],[SITUACAO]]=9,TED[[#This Row],[SITUACAO]]=18),"ATIVO","AFASTADO")</f>
        <v>ATIVO</v>
      </c>
      <c r="K1639" s="12">
        <v>1</v>
      </c>
    </row>
    <row r="1640" spans="1:11" x14ac:dyDescent="0.25">
      <c r="A1640" s="10">
        <v>39799</v>
      </c>
      <c r="B1640" s="9" t="s">
        <v>853</v>
      </c>
      <c r="C1640" s="12" t="str">
        <f>IFERROR(VLOOKUP(TED[[#This Row],[CENTRO]],'CENTRO DE CUSTO'!B:E,4,FALSE)," ")</f>
        <v>JOÃO CLEMENTONI</v>
      </c>
      <c r="D1640" s="12">
        <v>269</v>
      </c>
      <c r="E1640" s="16">
        <v>269211</v>
      </c>
      <c r="F1640" s="10" t="s">
        <v>854</v>
      </c>
      <c r="G1640" s="10">
        <v>200</v>
      </c>
      <c r="H1640" s="11">
        <v>45870</v>
      </c>
      <c r="I1640" s="10" t="s">
        <v>634</v>
      </c>
      <c r="J1640" s="12" t="str">
        <f>IF(OR(TED[[#This Row],[SITUACAO]]=1,TED[[#This Row],[SITUACAO]]=9,TED[[#This Row],[SITUACAO]]=18),"ATIVO","AFASTADO")</f>
        <v>ATIVO</v>
      </c>
      <c r="K1640" s="12">
        <v>1</v>
      </c>
    </row>
    <row r="1641" spans="1:11" x14ac:dyDescent="0.25">
      <c r="A1641" s="10">
        <v>32244</v>
      </c>
      <c r="B1641" s="9" t="s">
        <v>918</v>
      </c>
      <c r="C1641" s="12" t="str">
        <f>IFERROR(VLOOKUP(TED[[#This Row],[CENTRO]],'CENTRO DE CUSTO'!B:E,4,FALSE)," ")</f>
        <v>VANDERSON</v>
      </c>
      <c r="D1641" s="12">
        <v>269</v>
      </c>
      <c r="E1641" s="16">
        <v>269181</v>
      </c>
      <c r="F1641" s="10" t="s">
        <v>781</v>
      </c>
      <c r="G1641" s="10">
        <v>200</v>
      </c>
      <c r="H1641" s="11">
        <v>45414</v>
      </c>
      <c r="I1641" s="10" t="s">
        <v>634</v>
      </c>
      <c r="J1641" s="12" t="str">
        <f>IF(OR(TED[[#This Row],[SITUACAO]]=1,TED[[#This Row],[SITUACAO]]=9,TED[[#This Row],[SITUACAO]]=18),"ATIVO","AFASTADO")</f>
        <v>ATIVO</v>
      </c>
      <c r="K1641" s="12">
        <v>1</v>
      </c>
    </row>
    <row r="1642" spans="1:11" x14ac:dyDescent="0.25">
      <c r="A1642" s="10">
        <v>30658</v>
      </c>
      <c r="B1642" s="9" t="s">
        <v>800</v>
      </c>
      <c r="C1642" s="12" t="str">
        <f>IFERROR(VLOOKUP(TED[[#This Row],[CENTRO]],'CENTRO DE CUSTO'!B:E,4,FALSE)," ")</f>
        <v>VANDERSON</v>
      </c>
      <c r="D1642" s="12">
        <v>269</v>
      </c>
      <c r="E1642" s="16">
        <v>269189</v>
      </c>
      <c r="F1642" s="10" t="s">
        <v>801</v>
      </c>
      <c r="G1642" s="10">
        <v>200</v>
      </c>
      <c r="H1642" s="11">
        <v>45337</v>
      </c>
      <c r="I1642" s="10" t="s">
        <v>634</v>
      </c>
      <c r="J1642" s="12" t="str">
        <f>IF(OR(TED[[#This Row],[SITUACAO]]=1,TED[[#This Row],[SITUACAO]]=9,TED[[#This Row],[SITUACAO]]=18),"ATIVO","AFASTADO")</f>
        <v>ATIVO</v>
      </c>
      <c r="K1642" s="12">
        <v>1</v>
      </c>
    </row>
    <row r="1643" spans="1:11" x14ac:dyDescent="0.25">
      <c r="A1643" s="10">
        <v>45721</v>
      </c>
      <c r="B1643" s="9" t="s">
        <v>2246</v>
      </c>
      <c r="C1643" s="12" t="str">
        <f>IFERROR(VLOOKUP(TED[[#This Row],[CENTRO]],'CENTRO DE CUSTO'!B:E,4,FALSE)," ")</f>
        <v>DÉBORA GOBETTI</v>
      </c>
      <c r="D1643" s="12">
        <v>269</v>
      </c>
      <c r="E1643" s="16">
        <v>269123</v>
      </c>
      <c r="F1643" s="10" t="s">
        <v>640</v>
      </c>
      <c r="G1643" s="10">
        <v>200</v>
      </c>
      <c r="H1643" s="11">
        <v>46162</v>
      </c>
      <c r="I1643" s="10" t="s">
        <v>634</v>
      </c>
      <c r="J1643" s="12" t="str">
        <f>IF(OR(TED[[#This Row],[SITUACAO]]=1,TED[[#This Row],[SITUACAO]]=9,TED[[#This Row],[SITUACAO]]=18),"ATIVO","AFASTADO")</f>
        <v>ATIVO</v>
      </c>
      <c r="K1643" s="12">
        <v>1</v>
      </c>
    </row>
    <row r="1644" spans="1:11" x14ac:dyDescent="0.25">
      <c r="A1644" s="10">
        <v>32681</v>
      </c>
      <c r="B1644" s="9" t="s">
        <v>695</v>
      </c>
      <c r="C1644" s="12" t="str">
        <f>IFERROR(VLOOKUP(TED[[#This Row],[CENTRO]],'CENTRO DE CUSTO'!B:E,4,FALSE)," ")</f>
        <v>S/ SUPERVISOR</v>
      </c>
      <c r="D1644" s="12">
        <v>269</v>
      </c>
      <c r="E1644" s="16">
        <v>269147</v>
      </c>
      <c r="F1644" s="10" t="s">
        <v>696</v>
      </c>
      <c r="G1644" s="10">
        <v>200</v>
      </c>
      <c r="H1644" s="11">
        <v>45436</v>
      </c>
      <c r="I1644" s="10" t="s">
        <v>634</v>
      </c>
      <c r="J1644" s="12" t="str">
        <f>IF(OR(TED[[#This Row],[SITUACAO]]=1,TED[[#This Row],[SITUACAO]]=9,TED[[#This Row],[SITUACAO]]=18),"ATIVO","AFASTADO")</f>
        <v>ATIVO</v>
      </c>
      <c r="K1644" s="12">
        <v>1</v>
      </c>
    </row>
    <row r="1645" spans="1:11" x14ac:dyDescent="0.25">
      <c r="A1645" s="10">
        <v>30960</v>
      </c>
      <c r="B1645" s="9" t="s">
        <v>777</v>
      </c>
      <c r="C1645" s="12" t="str">
        <f>IFERROR(VLOOKUP(TED[[#This Row],[CENTRO]],'CENTRO DE CUSTO'!B:E,4,FALSE)," ")</f>
        <v>VANDERSON</v>
      </c>
      <c r="D1645" s="12">
        <v>269</v>
      </c>
      <c r="E1645" s="16">
        <v>269180</v>
      </c>
      <c r="F1645" s="10" t="s">
        <v>778</v>
      </c>
      <c r="G1645" s="10">
        <v>200</v>
      </c>
      <c r="H1645" s="11">
        <v>45337</v>
      </c>
      <c r="I1645" s="10" t="s">
        <v>634</v>
      </c>
      <c r="J1645" s="12" t="str">
        <f>IF(OR(TED[[#This Row],[SITUACAO]]=1,TED[[#This Row],[SITUACAO]]=9,TED[[#This Row],[SITUACAO]]=18),"ATIVO","AFASTADO")</f>
        <v>ATIVO</v>
      </c>
      <c r="K1645" s="12">
        <v>1</v>
      </c>
    </row>
    <row r="1646" spans="1:11" x14ac:dyDescent="0.25">
      <c r="A1646" s="10">
        <v>46821</v>
      </c>
      <c r="B1646" s="9" t="s">
        <v>2366</v>
      </c>
      <c r="C1646" s="12" t="str">
        <f>IFERROR(VLOOKUP(TED[[#This Row],[CENTRO]],'CENTRO DE CUSTO'!B:E,4,FALSE)," ")</f>
        <v>DÉBORA GOBETTI</v>
      </c>
      <c r="D1646" s="12">
        <v>269</v>
      </c>
      <c r="E1646" s="16">
        <v>269222</v>
      </c>
      <c r="F1646" s="10" t="s">
        <v>874</v>
      </c>
      <c r="G1646" s="10">
        <v>220</v>
      </c>
      <c r="H1646" s="11">
        <v>46195</v>
      </c>
      <c r="I1646" s="10" t="s">
        <v>634</v>
      </c>
      <c r="J1646" s="12" t="str">
        <f>IF(OR(TED[[#This Row],[SITUACAO]]=1,TED[[#This Row],[SITUACAO]]=9,TED[[#This Row],[SITUACAO]]=18),"ATIVO","AFASTADO")</f>
        <v>ATIVO</v>
      </c>
      <c r="K1646" s="12">
        <v>1</v>
      </c>
    </row>
    <row r="1647" spans="1:11" x14ac:dyDescent="0.25">
      <c r="A1647" s="10">
        <v>44333</v>
      </c>
      <c r="B1647" s="9" t="s">
        <v>2109</v>
      </c>
      <c r="C1647" s="12" t="str">
        <f>IFERROR(VLOOKUP(TED[[#This Row],[CENTRO]],'CENTRO DE CUSTO'!B:E,4,FALSE)," ")</f>
        <v>CARLOS FABRI</v>
      </c>
      <c r="D1647" s="12">
        <v>269</v>
      </c>
      <c r="E1647" s="16">
        <v>269207</v>
      </c>
      <c r="F1647" s="10" t="s">
        <v>845</v>
      </c>
      <c r="G1647" s="10">
        <v>200</v>
      </c>
      <c r="H1647" s="11">
        <v>46084</v>
      </c>
      <c r="I1647" s="10" t="s">
        <v>634</v>
      </c>
      <c r="J1647" s="12" t="str">
        <f>IF(OR(TED[[#This Row],[SITUACAO]]=1,TED[[#This Row],[SITUACAO]]=9,TED[[#This Row],[SITUACAO]]=18),"ATIVO","AFASTADO")</f>
        <v>ATIVO</v>
      </c>
      <c r="K1647" s="12">
        <v>1</v>
      </c>
    </row>
    <row r="1648" spans="1:11" x14ac:dyDescent="0.25">
      <c r="A1648" s="10">
        <v>30990</v>
      </c>
      <c r="B1648" s="9" t="s">
        <v>786</v>
      </c>
      <c r="C1648" s="12" t="str">
        <f>IFERROR(VLOOKUP(TED[[#This Row],[CENTRO]],'CENTRO DE CUSTO'!B:E,4,FALSE)," ")</f>
        <v>DÉBORA GOBETTI</v>
      </c>
      <c r="D1648" s="12">
        <v>269</v>
      </c>
      <c r="E1648" s="16">
        <v>269183</v>
      </c>
      <c r="F1648" s="10" t="s">
        <v>787</v>
      </c>
      <c r="G1648" s="10">
        <v>200</v>
      </c>
      <c r="H1648" s="11">
        <v>45337</v>
      </c>
      <c r="I1648" s="10" t="s">
        <v>634</v>
      </c>
      <c r="J1648" s="12" t="str">
        <f>IF(OR(TED[[#This Row],[SITUACAO]]=1,TED[[#This Row],[SITUACAO]]=9,TED[[#This Row],[SITUACAO]]=18),"ATIVO","AFASTADO")</f>
        <v>ATIVO</v>
      </c>
      <c r="K1648" s="12">
        <v>1</v>
      </c>
    </row>
    <row r="1649" spans="1:11" x14ac:dyDescent="0.25">
      <c r="A1649" s="10">
        <v>31055</v>
      </c>
      <c r="B1649" s="9" t="s">
        <v>866</v>
      </c>
      <c r="C1649" s="12" t="str">
        <f>IFERROR(VLOOKUP(TED[[#This Row],[CENTRO]],'CENTRO DE CUSTO'!B:E,4,FALSE)," ")</f>
        <v>JOÃO CLEMENTONI</v>
      </c>
      <c r="D1649" s="12">
        <v>269</v>
      </c>
      <c r="E1649" s="16">
        <v>269218</v>
      </c>
      <c r="F1649" s="10" t="s">
        <v>867</v>
      </c>
      <c r="G1649" s="10">
        <v>200</v>
      </c>
      <c r="H1649" s="11">
        <v>45337</v>
      </c>
      <c r="I1649" s="10" t="s">
        <v>634</v>
      </c>
      <c r="J1649" s="12" t="str">
        <f>IF(OR(TED[[#This Row],[SITUACAO]]=1,TED[[#This Row],[SITUACAO]]=9,TED[[#This Row],[SITUACAO]]=18),"ATIVO","AFASTADO")</f>
        <v>ATIVO</v>
      </c>
      <c r="K1649" s="12">
        <v>1</v>
      </c>
    </row>
    <row r="1650" spans="1:11" x14ac:dyDescent="0.25">
      <c r="A1650" s="10">
        <v>43799</v>
      </c>
      <c r="B1650" s="9" t="s">
        <v>2096</v>
      </c>
      <c r="C1650" s="12" t="str">
        <f>IFERROR(VLOOKUP(TED[[#This Row],[CENTRO]],'CENTRO DE CUSTO'!B:E,4,FALSE)," ")</f>
        <v>DÉBORA GOBETTI</v>
      </c>
      <c r="D1650" s="12">
        <v>269</v>
      </c>
      <c r="E1650" s="16">
        <v>269164</v>
      </c>
      <c r="F1650" s="10" t="s">
        <v>737</v>
      </c>
      <c r="G1650" s="10">
        <v>200</v>
      </c>
      <c r="H1650" s="11">
        <v>46059</v>
      </c>
      <c r="I1650" s="10" t="s">
        <v>634</v>
      </c>
      <c r="J1650" s="12" t="str">
        <f>IF(OR(TED[[#This Row],[SITUACAO]]=1,TED[[#This Row],[SITUACAO]]=9,TED[[#This Row],[SITUACAO]]=18),"ATIVO","AFASTADO")</f>
        <v>AFASTADO</v>
      </c>
      <c r="K1650" s="12">
        <v>10</v>
      </c>
    </row>
    <row r="1651" spans="1:11" x14ac:dyDescent="0.25">
      <c r="A1651" s="10">
        <v>33666</v>
      </c>
      <c r="B1651" s="9" t="s">
        <v>658</v>
      </c>
      <c r="C1651" s="12" t="str">
        <f>IFERROR(VLOOKUP(TED[[#This Row],[CENTRO]],'CENTRO DE CUSTO'!B:E,4,FALSE)," ")</f>
        <v>JOÃO CLEMENTONI</v>
      </c>
      <c r="D1651" s="12">
        <v>269</v>
      </c>
      <c r="E1651" s="16">
        <v>269131</v>
      </c>
      <c r="F1651" s="10" t="s">
        <v>659</v>
      </c>
      <c r="G1651" s="10">
        <v>200</v>
      </c>
      <c r="H1651" s="11">
        <v>45531</v>
      </c>
      <c r="I1651" s="10" t="s">
        <v>634</v>
      </c>
      <c r="J1651" s="12" t="str">
        <f>IF(OR(TED[[#This Row],[SITUACAO]]=1,TED[[#This Row],[SITUACAO]]=9,TED[[#This Row],[SITUACAO]]=18),"ATIVO","AFASTADO")</f>
        <v>ATIVO</v>
      </c>
      <c r="K1651" s="12">
        <v>1</v>
      </c>
    </row>
    <row r="1652" spans="1:11" x14ac:dyDescent="0.25">
      <c r="A1652" s="10">
        <v>35100</v>
      </c>
      <c r="B1652" s="9" t="s">
        <v>704</v>
      </c>
      <c r="C1652" s="12" t="str">
        <f>IFERROR(VLOOKUP(TED[[#This Row],[CENTRO]],'CENTRO DE CUSTO'!B:E,4,FALSE)," ")</f>
        <v>JOÃO CLEMENTONI</v>
      </c>
      <c r="D1652" s="12">
        <v>269</v>
      </c>
      <c r="E1652" s="16">
        <v>269151</v>
      </c>
      <c r="F1652" s="10" t="s">
        <v>705</v>
      </c>
      <c r="G1652" s="10">
        <v>200</v>
      </c>
      <c r="H1652" s="11">
        <v>45677</v>
      </c>
      <c r="I1652" s="10" t="s">
        <v>634</v>
      </c>
      <c r="J1652" s="12" t="str">
        <f>IF(OR(TED[[#This Row],[SITUACAO]]=1,TED[[#This Row],[SITUACAO]]=9,TED[[#This Row],[SITUACAO]]=18),"ATIVO","AFASTADO")</f>
        <v>ATIVO</v>
      </c>
      <c r="K1652" s="12">
        <v>1</v>
      </c>
    </row>
    <row r="1653" spans="1:11" x14ac:dyDescent="0.25">
      <c r="A1653" s="10">
        <v>30982</v>
      </c>
      <c r="B1653" s="9" t="s">
        <v>830</v>
      </c>
      <c r="C1653" s="12" t="str">
        <f>IFERROR(VLOOKUP(TED[[#This Row],[CENTRO]],'CENTRO DE CUSTO'!B:E,4,FALSE)," ")</f>
        <v>CARLOS FABRI</v>
      </c>
      <c r="D1653" s="12">
        <v>269</v>
      </c>
      <c r="E1653" s="16">
        <v>269201</v>
      </c>
      <c r="F1653" s="10" t="s">
        <v>831</v>
      </c>
      <c r="G1653" s="10">
        <v>200</v>
      </c>
      <c r="H1653" s="11">
        <v>45337</v>
      </c>
      <c r="I1653" s="10" t="s">
        <v>634</v>
      </c>
      <c r="J1653" s="12" t="str">
        <f>IF(OR(TED[[#This Row],[SITUACAO]]=1,TED[[#This Row],[SITUACAO]]=9,TED[[#This Row],[SITUACAO]]=18),"ATIVO","AFASTADO")</f>
        <v>ATIVO</v>
      </c>
      <c r="K1653" s="12">
        <v>1</v>
      </c>
    </row>
    <row r="1654" spans="1:11" x14ac:dyDescent="0.25">
      <c r="A1654" s="10">
        <v>31044</v>
      </c>
      <c r="B1654" s="9" t="s">
        <v>679</v>
      </c>
      <c r="C1654" s="12" t="str">
        <f>IFERROR(VLOOKUP(TED[[#This Row],[CENTRO]],'CENTRO DE CUSTO'!B:E,4,FALSE)," ")</f>
        <v>JOÃO CLEMENTONI</v>
      </c>
      <c r="D1654" s="12">
        <v>269</v>
      </c>
      <c r="E1654" s="16">
        <v>269169</v>
      </c>
      <c r="F1654" s="10" t="s">
        <v>751</v>
      </c>
      <c r="G1654" s="10">
        <v>200</v>
      </c>
      <c r="H1654" s="11">
        <v>45337</v>
      </c>
      <c r="I1654" s="10" t="s">
        <v>634</v>
      </c>
      <c r="J1654" s="12" t="str">
        <f>IF(OR(TED[[#This Row],[SITUACAO]]=1,TED[[#This Row],[SITUACAO]]=9,TED[[#This Row],[SITUACAO]]=18),"ATIVO","AFASTADO")</f>
        <v>ATIVO</v>
      </c>
      <c r="K1654" s="12">
        <v>1</v>
      </c>
    </row>
    <row r="1655" spans="1:11" x14ac:dyDescent="0.25">
      <c r="A1655" s="10">
        <v>30690</v>
      </c>
      <c r="B1655" s="9" t="s">
        <v>877</v>
      </c>
      <c r="C1655" s="12" t="str">
        <f>IFERROR(VLOOKUP(TED[[#This Row],[CENTRO]],'CENTRO DE CUSTO'!B:E,4,FALSE)," ")</f>
        <v>VANDERSON</v>
      </c>
      <c r="D1655" s="12">
        <v>269</v>
      </c>
      <c r="E1655" s="16">
        <v>269224</v>
      </c>
      <c r="F1655" s="10" t="s">
        <v>878</v>
      </c>
      <c r="G1655" s="10">
        <v>200</v>
      </c>
      <c r="H1655" s="11">
        <v>45337</v>
      </c>
      <c r="I1655" s="10" t="s">
        <v>634</v>
      </c>
      <c r="J1655" s="12" t="str">
        <f>IF(OR(TED[[#This Row],[SITUACAO]]=1,TED[[#This Row],[SITUACAO]]=9,TED[[#This Row],[SITUACAO]]=18),"ATIVO","AFASTADO")</f>
        <v>ATIVO</v>
      </c>
      <c r="K1655" s="12">
        <v>1</v>
      </c>
    </row>
    <row r="1656" spans="1:11" x14ac:dyDescent="0.25">
      <c r="A1656" s="10">
        <v>45477</v>
      </c>
      <c r="B1656" s="9" t="s">
        <v>2253</v>
      </c>
      <c r="C1656" s="12" t="str">
        <f>IFERROR(VLOOKUP(TED[[#This Row],[CENTRO]],'CENTRO DE CUSTO'!B:E,4,FALSE)," ")</f>
        <v>CARLOS FABRI</v>
      </c>
      <c r="D1656" s="12">
        <v>269</v>
      </c>
      <c r="E1656" s="16">
        <v>269185</v>
      </c>
      <c r="F1656" s="10" t="s">
        <v>791</v>
      </c>
      <c r="G1656" s="10">
        <v>200</v>
      </c>
      <c r="H1656" s="11">
        <v>46148</v>
      </c>
      <c r="I1656" s="10" t="s">
        <v>634</v>
      </c>
      <c r="J1656" s="12" t="str">
        <f>IF(OR(TED[[#This Row],[SITUACAO]]=1,TED[[#This Row],[SITUACAO]]=9,TED[[#This Row],[SITUACAO]]=18),"ATIVO","AFASTADO")</f>
        <v>ATIVO</v>
      </c>
      <c r="K1656" s="12">
        <v>1</v>
      </c>
    </row>
    <row r="1657" spans="1:11" x14ac:dyDescent="0.25">
      <c r="A1657" s="10">
        <v>31046</v>
      </c>
      <c r="B1657" s="9" t="s">
        <v>712</v>
      </c>
      <c r="C1657" s="12" t="str">
        <f>IFERROR(VLOOKUP(TED[[#This Row],[CENTRO]],'CENTRO DE CUSTO'!B:E,4,FALSE)," ")</f>
        <v>VANDERSON</v>
      </c>
      <c r="D1657" s="12">
        <v>269</v>
      </c>
      <c r="E1657" s="16">
        <v>269154</v>
      </c>
      <c r="F1657" s="10" t="s">
        <v>713</v>
      </c>
      <c r="G1657" s="10">
        <v>200</v>
      </c>
      <c r="H1657" s="11">
        <v>45337</v>
      </c>
      <c r="I1657" s="10" t="s">
        <v>634</v>
      </c>
      <c r="J1657" s="12" t="str">
        <f>IF(OR(TED[[#This Row],[SITUACAO]]=1,TED[[#This Row],[SITUACAO]]=9,TED[[#This Row],[SITUACAO]]=18),"ATIVO","AFASTADO")</f>
        <v>ATIVO</v>
      </c>
      <c r="K1657" s="12">
        <v>1</v>
      </c>
    </row>
    <row r="1658" spans="1:11" x14ac:dyDescent="0.25">
      <c r="A1658" s="10">
        <v>32840</v>
      </c>
      <c r="B1658" s="9" t="s">
        <v>891</v>
      </c>
      <c r="C1658" s="12" t="str">
        <f>IFERROR(VLOOKUP(TED[[#This Row],[CENTRO]],'CENTRO DE CUSTO'!B:E,4,FALSE)," ")</f>
        <v>CARLOS FABRI</v>
      </c>
      <c r="D1658" s="12">
        <v>269</v>
      </c>
      <c r="E1658" s="16">
        <v>269231</v>
      </c>
      <c r="F1658" s="10" t="s">
        <v>892</v>
      </c>
      <c r="G1658" s="10">
        <v>200</v>
      </c>
      <c r="H1658" s="11">
        <v>45453</v>
      </c>
      <c r="I1658" s="10" t="s">
        <v>634</v>
      </c>
      <c r="J1658" s="12" t="str">
        <f>IF(OR(TED[[#This Row],[SITUACAO]]=1,TED[[#This Row],[SITUACAO]]=9,TED[[#This Row],[SITUACAO]]=18),"ATIVO","AFASTADO")</f>
        <v>ATIVO</v>
      </c>
      <c r="K1658" s="12">
        <v>1</v>
      </c>
    </row>
    <row r="1659" spans="1:11" x14ac:dyDescent="0.25">
      <c r="A1659" s="10">
        <v>30947</v>
      </c>
      <c r="B1659" s="9" t="s">
        <v>743</v>
      </c>
      <c r="C1659" s="12" t="str">
        <f>IFERROR(VLOOKUP(TED[[#This Row],[CENTRO]],'CENTRO DE CUSTO'!B:E,4,FALSE)," ")</f>
        <v>DÉBORA GOBETTI</v>
      </c>
      <c r="D1659" s="12">
        <v>269</v>
      </c>
      <c r="E1659" s="16">
        <v>269166</v>
      </c>
      <c r="F1659" s="10" t="s">
        <v>742</v>
      </c>
      <c r="G1659" s="10">
        <v>200</v>
      </c>
      <c r="H1659" s="11">
        <v>45337</v>
      </c>
      <c r="I1659" s="10" t="s">
        <v>634</v>
      </c>
      <c r="J1659" s="12" t="str">
        <f>IF(OR(TED[[#This Row],[SITUACAO]]=1,TED[[#This Row],[SITUACAO]]=9,TED[[#This Row],[SITUACAO]]=18),"ATIVO","AFASTADO")</f>
        <v>ATIVO</v>
      </c>
      <c r="K1659" s="12">
        <v>1</v>
      </c>
    </row>
    <row r="1660" spans="1:11" x14ac:dyDescent="0.25">
      <c r="A1660" s="10">
        <v>30974</v>
      </c>
      <c r="B1660" s="9" t="s">
        <v>844</v>
      </c>
      <c r="C1660" s="12" t="str">
        <f>IFERROR(VLOOKUP(TED[[#This Row],[CENTRO]],'CENTRO DE CUSTO'!B:E,4,FALSE)," ")</f>
        <v>CARLOS FABRI</v>
      </c>
      <c r="D1660" s="12">
        <v>269</v>
      </c>
      <c r="E1660" s="16">
        <v>269207</v>
      </c>
      <c r="F1660" s="10" t="s">
        <v>845</v>
      </c>
      <c r="G1660" s="10">
        <v>200</v>
      </c>
      <c r="H1660" s="11">
        <v>45337</v>
      </c>
      <c r="I1660" s="10" t="s">
        <v>634</v>
      </c>
      <c r="J1660" s="12" t="str">
        <f>IF(OR(TED[[#This Row],[SITUACAO]]=1,TED[[#This Row],[SITUACAO]]=9,TED[[#This Row],[SITUACAO]]=18),"ATIVO","AFASTADO")</f>
        <v>AFASTADO</v>
      </c>
      <c r="K1660" s="12">
        <v>5</v>
      </c>
    </row>
    <row r="1661" spans="1:11" x14ac:dyDescent="0.25">
      <c r="A1661" s="10">
        <v>32140</v>
      </c>
      <c r="B1661" s="9" t="s">
        <v>687</v>
      </c>
      <c r="C1661" s="12" t="str">
        <f>IFERROR(VLOOKUP(TED[[#This Row],[CENTRO]],'CENTRO DE CUSTO'!B:E,4,FALSE)," ")</f>
        <v>CARLOS FABRI</v>
      </c>
      <c r="D1661" s="12">
        <v>269</v>
      </c>
      <c r="E1661" s="16">
        <v>269144</v>
      </c>
      <c r="F1661" s="10" t="s">
        <v>688</v>
      </c>
      <c r="G1661" s="10">
        <v>200</v>
      </c>
      <c r="H1661" s="11">
        <v>45397</v>
      </c>
      <c r="I1661" s="10" t="s">
        <v>634</v>
      </c>
      <c r="J1661" s="12" t="str">
        <f>IF(OR(TED[[#This Row],[SITUACAO]]=1,TED[[#This Row],[SITUACAO]]=9,TED[[#This Row],[SITUACAO]]=18),"ATIVO","AFASTADO")</f>
        <v>ATIVO</v>
      </c>
      <c r="K1661" s="12">
        <v>1</v>
      </c>
    </row>
    <row r="1662" spans="1:11" x14ac:dyDescent="0.25">
      <c r="A1662" s="10">
        <v>31000</v>
      </c>
      <c r="B1662" s="9" t="s">
        <v>769</v>
      </c>
      <c r="C1662" s="12" t="str">
        <f>IFERROR(VLOOKUP(TED[[#This Row],[CENTRO]],'CENTRO DE CUSTO'!B:E,4,FALSE)," ")</f>
        <v>S/ SUPERVISOR</v>
      </c>
      <c r="D1662" s="12">
        <v>269</v>
      </c>
      <c r="E1662" s="16">
        <v>269176</v>
      </c>
      <c r="F1662" s="10" t="s">
        <v>768</v>
      </c>
      <c r="G1662" s="10">
        <v>200</v>
      </c>
      <c r="H1662" s="11">
        <v>45337</v>
      </c>
      <c r="I1662" s="10" t="s">
        <v>634</v>
      </c>
      <c r="J1662" s="12" t="str">
        <f>IF(OR(TED[[#This Row],[SITUACAO]]=1,TED[[#This Row],[SITUACAO]]=9,TED[[#This Row],[SITUACAO]]=18),"ATIVO","AFASTADO")</f>
        <v>ATIVO</v>
      </c>
      <c r="K1662" s="12">
        <v>1</v>
      </c>
    </row>
    <row r="1663" spans="1:11" x14ac:dyDescent="0.25">
      <c r="A1663" s="10">
        <v>31076</v>
      </c>
      <c r="B1663" s="9" t="s">
        <v>882</v>
      </c>
      <c r="C1663" s="12" t="str">
        <f>IFERROR(VLOOKUP(TED[[#This Row],[CENTRO]],'CENTRO DE CUSTO'!B:E,4,FALSE)," ")</f>
        <v>JOÃO CLEMENTONI</v>
      </c>
      <c r="D1663" s="12">
        <v>269</v>
      </c>
      <c r="E1663" s="16">
        <v>269227</v>
      </c>
      <c r="F1663" s="10" t="s">
        <v>883</v>
      </c>
      <c r="G1663" s="10">
        <v>200</v>
      </c>
      <c r="H1663" s="11">
        <v>45337</v>
      </c>
      <c r="I1663" s="10" t="s">
        <v>634</v>
      </c>
      <c r="J1663" s="12" t="str">
        <f>IF(OR(TED[[#This Row],[SITUACAO]]=1,TED[[#This Row],[SITUACAO]]=9,TED[[#This Row],[SITUACAO]]=18),"ATIVO","AFASTADO")</f>
        <v>ATIVO</v>
      </c>
      <c r="K1663" s="12">
        <v>1</v>
      </c>
    </row>
    <row r="1664" spans="1:11" x14ac:dyDescent="0.25">
      <c r="A1664" s="10">
        <v>30686</v>
      </c>
      <c r="B1664" s="9" t="s">
        <v>909</v>
      </c>
      <c r="C1664" s="12" t="str">
        <f>IFERROR(VLOOKUP(TED[[#This Row],[CENTRO]],'CENTRO DE CUSTO'!B:E,4,FALSE)," ")</f>
        <v>S/ SUPERVISOR</v>
      </c>
      <c r="D1664" s="12">
        <v>269</v>
      </c>
      <c r="E1664" s="16">
        <v>269239</v>
      </c>
      <c r="F1664" s="10" t="s">
        <v>908</v>
      </c>
      <c r="G1664" s="10">
        <v>200</v>
      </c>
      <c r="H1664" s="11">
        <v>45337</v>
      </c>
      <c r="I1664" s="10" t="s">
        <v>634</v>
      </c>
      <c r="J1664" s="12" t="str">
        <f>IF(OR(TED[[#This Row],[SITUACAO]]=1,TED[[#This Row],[SITUACAO]]=9,TED[[#This Row],[SITUACAO]]=18),"ATIVO","AFASTADO")</f>
        <v>ATIVO</v>
      </c>
      <c r="K1664" s="12">
        <v>18</v>
      </c>
    </row>
    <row r="1665" spans="1:11" x14ac:dyDescent="0.25">
      <c r="A1665" s="10">
        <v>39178</v>
      </c>
      <c r="B1665" s="9" t="s">
        <v>780</v>
      </c>
      <c r="C1665" s="12" t="str">
        <f>IFERROR(VLOOKUP(TED[[#This Row],[CENTRO]],'CENTRO DE CUSTO'!B:E,4,FALSE)," ")</f>
        <v>PAULO TORRES</v>
      </c>
      <c r="D1665" s="12">
        <v>269</v>
      </c>
      <c r="E1665" s="16">
        <v>269122</v>
      </c>
      <c r="F1665" s="10" t="s">
        <v>635</v>
      </c>
      <c r="G1665" s="10">
        <v>200</v>
      </c>
      <c r="H1665" s="11">
        <v>45831</v>
      </c>
      <c r="I1665" s="10" t="s">
        <v>634</v>
      </c>
      <c r="J1665" s="12" t="str">
        <f>IF(OR(TED[[#This Row],[SITUACAO]]=1,TED[[#This Row],[SITUACAO]]=9,TED[[#This Row],[SITUACAO]]=18),"ATIVO","AFASTADO")</f>
        <v>ATIVO</v>
      </c>
      <c r="K1665" s="12">
        <v>1</v>
      </c>
    </row>
    <row r="1666" spans="1:11" x14ac:dyDescent="0.25">
      <c r="A1666" s="10">
        <v>41826</v>
      </c>
      <c r="B1666" s="9" t="s">
        <v>750</v>
      </c>
      <c r="C1666" s="12" t="str">
        <f>IFERROR(VLOOKUP(TED[[#This Row],[CENTRO]],'CENTRO DE CUSTO'!B:E,4,FALSE)," ")</f>
        <v>S/ SUPERVISOR</v>
      </c>
      <c r="D1666" s="12">
        <v>269</v>
      </c>
      <c r="E1666" s="16">
        <v>269197</v>
      </c>
      <c r="F1666" s="10" t="s">
        <v>820</v>
      </c>
      <c r="G1666" s="10">
        <v>200</v>
      </c>
      <c r="H1666" s="11">
        <v>45954</v>
      </c>
      <c r="I1666" s="10" t="s">
        <v>634</v>
      </c>
      <c r="J1666" s="12" t="str">
        <f>IF(OR(TED[[#This Row],[SITUACAO]]=1,TED[[#This Row],[SITUACAO]]=9,TED[[#This Row],[SITUACAO]]=18),"ATIVO","AFASTADO")</f>
        <v>ATIVO</v>
      </c>
      <c r="K1666" s="12">
        <v>1</v>
      </c>
    </row>
    <row r="1667" spans="1:11" x14ac:dyDescent="0.25">
      <c r="A1667" s="10">
        <v>30942</v>
      </c>
      <c r="B1667" s="9" t="s">
        <v>672</v>
      </c>
      <c r="C1667" s="12" t="str">
        <f>IFERROR(VLOOKUP(TED[[#This Row],[CENTRO]],'CENTRO DE CUSTO'!B:E,4,FALSE)," ")</f>
        <v>DÉBORA GOBETTI</v>
      </c>
      <c r="D1667" s="12">
        <v>269</v>
      </c>
      <c r="E1667" s="16">
        <v>269137</v>
      </c>
      <c r="F1667" s="10" t="s">
        <v>673</v>
      </c>
      <c r="G1667" s="10">
        <v>200</v>
      </c>
      <c r="H1667" s="11">
        <v>45337</v>
      </c>
      <c r="I1667" s="10" t="s">
        <v>634</v>
      </c>
      <c r="J1667" s="12" t="str">
        <f>IF(OR(TED[[#This Row],[SITUACAO]]=1,TED[[#This Row],[SITUACAO]]=9,TED[[#This Row],[SITUACAO]]=18),"ATIVO","AFASTADO")</f>
        <v>ATIVO</v>
      </c>
      <c r="K1667" s="12">
        <v>1</v>
      </c>
    </row>
    <row r="1668" spans="1:11" x14ac:dyDescent="0.25">
      <c r="A1668" s="10">
        <v>32279</v>
      </c>
      <c r="B1668" s="9" t="s">
        <v>752</v>
      </c>
      <c r="C1668" s="12" t="str">
        <f>IFERROR(VLOOKUP(TED[[#This Row],[CENTRO]],'CENTRO DE CUSTO'!B:E,4,FALSE)," ")</f>
        <v>DÉBORA GOBETTI</v>
      </c>
      <c r="D1668" s="12">
        <v>269</v>
      </c>
      <c r="E1668" s="16">
        <v>269141</v>
      </c>
      <c r="F1668" s="10" t="s">
        <v>680</v>
      </c>
      <c r="G1668" s="10">
        <v>200</v>
      </c>
      <c r="H1668" s="11">
        <v>45406</v>
      </c>
      <c r="I1668" s="10" t="s">
        <v>634</v>
      </c>
      <c r="J1668" s="12" t="str">
        <f>IF(OR(TED[[#This Row],[SITUACAO]]=1,TED[[#This Row],[SITUACAO]]=9,TED[[#This Row],[SITUACAO]]=18),"ATIVO","AFASTADO")</f>
        <v>ATIVO</v>
      </c>
      <c r="K1668" s="12">
        <v>1</v>
      </c>
    </row>
    <row r="1669" spans="1:11" x14ac:dyDescent="0.25">
      <c r="A1669" s="10">
        <v>30949</v>
      </c>
      <c r="B1669" s="9" t="s">
        <v>832</v>
      </c>
      <c r="C1669" s="12" t="str">
        <f>IFERROR(VLOOKUP(TED[[#This Row],[CENTRO]],'CENTRO DE CUSTO'!B:E,4,FALSE)," ")</f>
        <v>CARLOS FABRI</v>
      </c>
      <c r="D1669" s="12">
        <v>269</v>
      </c>
      <c r="E1669" s="16">
        <v>269201</v>
      </c>
      <c r="F1669" s="10" t="s">
        <v>831</v>
      </c>
      <c r="G1669" s="10">
        <v>200</v>
      </c>
      <c r="H1669" s="11">
        <v>45337</v>
      </c>
      <c r="I1669" s="10" t="s">
        <v>634</v>
      </c>
      <c r="J1669" s="12" t="str">
        <f>IF(OR(TED[[#This Row],[SITUACAO]]=1,TED[[#This Row],[SITUACAO]]=9,TED[[#This Row],[SITUACAO]]=18),"ATIVO","AFASTADO")</f>
        <v>ATIVO</v>
      </c>
      <c r="K1669" s="12">
        <v>1</v>
      </c>
    </row>
    <row r="1670" spans="1:11" x14ac:dyDescent="0.25">
      <c r="A1670" s="10">
        <v>33542</v>
      </c>
      <c r="B1670" s="9" t="s">
        <v>664</v>
      </c>
      <c r="C1670" s="12" t="str">
        <f>IFERROR(VLOOKUP(TED[[#This Row],[CENTRO]],'CENTRO DE CUSTO'!B:E,4,FALSE)," ")</f>
        <v>JOÃO CLEMENTONI</v>
      </c>
      <c r="D1670" s="12">
        <v>269</v>
      </c>
      <c r="E1670" s="16">
        <v>269134</v>
      </c>
      <c r="F1670" s="10" t="s">
        <v>665</v>
      </c>
      <c r="G1670" s="10">
        <v>200</v>
      </c>
      <c r="H1670" s="11">
        <v>45518</v>
      </c>
      <c r="I1670" s="10" t="s">
        <v>634</v>
      </c>
      <c r="J1670" s="12" t="str">
        <f>IF(OR(TED[[#This Row],[SITUACAO]]=1,TED[[#This Row],[SITUACAO]]=9,TED[[#This Row],[SITUACAO]]=18),"ATIVO","AFASTADO")</f>
        <v>ATIVO</v>
      </c>
      <c r="K1670" s="12">
        <v>1</v>
      </c>
    </row>
    <row r="1671" spans="1:11" x14ac:dyDescent="0.25">
      <c r="A1671" s="10">
        <v>38883</v>
      </c>
      <c r="B1671" s="9" t="s">
        <v>761</v>
      </c>
      <c r="C1671" s="12" t="str">
        <f>IFERROR(VLOOKUP(TED[[#This Row],[CENTRO]],'CENTRO DE CUSTO'!B:E,4,FALSE)," ")</f>
        <v>JOÃO CLEMENTONI</v>
      </c>
      <c r="D1671" s="12">
        <v>269</v>
      </c>
      <c r="E1671" s="16">
        <v>269174</v>
      </c>
      <c r="F1671" s="10" t="s">
        <v>762</v>
      </c>
      <c r="G1671" s="10">
        <v>100</v>
      </c>
      <c r="H1671" s="11">
        <v>45800</v>
      </c>
      <c r="I1671" s="10" t="s">
        <v>634</v>
      </c>
      <c r="J1671" s="12" t="str">
        <f>IF(OR(TED[[#This Row],[SITUACAO]]=1,TED[[#This Row],[SITUACAO]]=9,TED[[#This Row],[SITUACAO]]=18),"ATIVO","AFASTADO")</f>
        <v>AFASTADO</v>
      </c>
      <c r="K1671" s="12">
        <v>5</v>
      </c>
    </row>
    <row r="1672" spans="1:11" x14ac:dyDescent="0.25">
      <c r="A1672" s="10">
        <v>43625</v>
      </c>
      <c r="B1672" s="9" t="s">
        <v>2099</v>
      </c>
      <c r="C1672" s="12" t="str">
        <f>IFERROR(VLOOKUP(TED[[#This Row],[CENTRO]],'CENTRO DE CUSTO'!B:E,4,FALSE)," ")</f>
        <v>VANDERSON</v>
      </c>
      <c r="D1672" s="12">
        <v>269</v>
      </c>
      <c r="E1672" s="16">
        <v>269216</v>
      </c>
      <c r="F1672" s="10" t="s">
        <v>863</v>
      </c>
      <c r="G1672" s="10">
        <v>200</v>
      </c>
      <c r="H1672" s="11">
        <v>46055</v>
      </c>
      <c r="I1672" s="10" t="s">
        <v>634</v>
      </c>
      <c r="J1672" s="12" t="str">
        <f>IF(OR(TED[[#This Row],[SITUACAO]]=1,TED[[#This Row],[SITUACAO]]=9,TED[[#This Row],[SITUACAO]]=18),"ATIVO","AFASTADO")</f>
        <v>ATIVO</v>
      </c>
      <c r="K1672" s="12">
        <v>1</v>
      </c>
    </row>
    <row r="1673" spans="1:11" x14ac:dyDescent="0.25">
      <c r="A1673" s="10">
        <v>38078</v>
      </c>
      <c r="B1673" s="9" t="s">
        <v>798</v>
      </c>
      <c r="C1673" s="12" t="str">
        <f>IFERROR(VLOOKUP(TED[[#This Row],[CENTRO]],'CENTRO DE CUSTO'!B:E,4,FALSE)," ")</f>
        <v>JOÃO CLEMENTONI</v>
      </c>
      <c r="D1673" s="12">
        <v>269</v>
      </c>
      <c r="E1673" s="16">
        <v>269188</v>
      </c>
      <c r="F1673" s="10" t="s">
        <v>799</v>
      </c>
      <c r="G1673" s="10">
        <v>200</v>
      </c>
      <c r="H1673" s="11">
        <v>45751</v>
      </c>
      <c r="I1673" s="10" t="s">
        <v>634</v>
      </c>
      <c r="J1673" s="12" t="str">
        <f>IF(OR(TED[[#This Row],[SITUACAO]]=1,TED[[#This Row],[SITUACAO]]=9,TED[[#This Row],[SITUACAO]]=18),"ATIVO","AFASTADO")</f>
        <v>ATIVO</v>
      </c>
      <c r="K1673" s="12">
        <v>1</v>
      </c>
    </row>
    <row r="1674" spans="1:11" x14ac:dyDescent="0.25">
      <c r="A1674" s="10">
        <v>30972</v>
      </c>
      <c r="B1674" s="9" t="s">
        <v>749</v>
      </c>
      <c r="C1674" s="12" t="str">
        <f>IFERROR(VLOOKUP(TED[[#This Row],[CENTRO]],'CENTRO DE CUSTO'!B:E,4,FALSE)," ")</f>
        <v>DÉBORA GOBETTI</v>
      </c>
      <c r="D1674" s="12">
        <v>269</v>
      </c>
      <c r="E1674" s="16">
        <v>269168</v>
      </c>
      <c r="F1674" s="10" t="s">
        <v>748</v>
      </c>
      <c r="G1674" s="10">
        <v>200</v>
      </c>
      <c r="H1674" s="11">
        <v>45337</v>
      </c>
      <c r="I1674" s="10" t="s">
        <v>634</v>
      </c>
      <c r="J1674" s="12" t="str">
        <f>IF(OR(TED[[#This Row],[SITUACAO]]=1,TED[[#This Row],[SITUACAO]]=9,TED[[#This Row],[SITUACAO]]=18),"ATIVO","AFASTADO")</f>
        <v>ATIVO</v>
      </c>
      <c r="K1674" s="12">
        <v>1</v>
      </c>
    </row>
    <row r="1675" spans="1:11" x14ac:dyDescent="0.25">
      <c r="A1675" s="10">
        <v>30684</v>
      </c>
      <c r="B1675" s="9" t="s">
        <v>850</v>
      </c>
      <c r="C1675" s="12" t="str">
        <f>IFERROR(VLOOKUP(TED[[#This Row],[CENTRO]],'CENTRO DE CUSTO'!B:E,4,FALSE)," ")</f>
        <v>CARLOS FABRI</v>
      </c>
      <c r="D1675" s="12">
        <v>269</v>
      </c>
      <c r="E1675" s="16">
        <v>269209</v>
      </c>
      <c r="F1675" s="10" t="s">
        <v>849</v>
      </c>
      <c r="G1675" s="10">
        <v>200</v>
      </c>
      <c r="H1675" s="11">
        <v>45337</v>
      </c>
      <c r="I1675" s="10" t="s">
        <v>634</v>
      </c>
      <c r="J1675" s="12" t="str">
        <f>IF(OR(TED[[#This Row],[SITUACAO]]=1,TED[[#This Row],[SITUACAO]]=9,TED[[#This Row],[SITUACAO]]=18),"ATIVO","AFASTADO")</f>
        <v>ATIVO</v>
      </c>
      <c r="K1675" s="12">
        <v>1</v>
      </c>
    </row>
    <row r="1676" spans="1:11" x14ac:dyDescent="0.25">
      <c r="A1676" s="10">
        <v>31042</v>
      </c>
      <c r="B1676" s="9" t="s">
        <v>718</v>
      </c>
      <c r="C1676" s="12" t="str">
        <f>IFERROR(VLOOKUP(TED[[#This Row],[CENTRO]],'CENTRO DE CUSTO'!B:E,4,FALSE)," ")</f>
        <v>DÉBORA GOBETTI</v>
      </c>
      <c r="D1676" s="12">
        <v>269</v>
      </c>
      <c r="E1676" s="16">
        <v>269156</v>
      </c>
      <c r="F1676" s="10" t="s">
        <v>717</v>
      </c>
      <c r="G1676" s="10">
        <v>200</v>
      </c>
      <c r="H1676" s="11">
        <v>45337</v>
      </c>
      <c r="I1676" s="10" t="s">
        <v>634</v>
      </c>
      <c r="J1676" s="12" t="str">
        <f>IF(OR(TED[[#This Row],[SITUACAO]]=1,TED[[#This Row],[SITUACAO]]=9,TED[[#This Row],[SITUACAO]]=18),"ATIVO","AFASTADO")</f>
        <v>ATIVO</v>
      </c>
      <c r="K1676" s="12">
        <v>1</v>
      </c>
    </row>
    <row r="1677" spans="1:11" x14ac:dyDescent="0.25">
      <c r="A1677" s="10">
        <v>30998</v>
      </c>
      <c r="B1677" s="9" t="s">
        <v>792</v>
      </c>
      <c r="C1677" s="12" t="str">
        <f>IFERROR(VLOOKUP(TED[[#This Row],[CENTRO]],'CENTRO DE CUSTO'!B:E,4,FALSE)," ")</f>
        <v>CARLOS FABRI</v>
      </c>
      <c r="D1677" s="12">
        <v>269</v>
      </c>
      <c r="E1677" s="16">
        <v>269185</v>
      </c>
      <c r="F1677" s="10" t="s">
        <v>791</v>
      </c>
      <c r="G1677" s="10">
        <v>200</v>
      </c>
      <c r="H1677" s="11">
        <v>45337</v>
      </c>
      <c r="I1677" s="10" t="s">
        <v>634</v>
      </c>
      <c r="J1677" s="12" t="str">
        <f>IF(OR(TED[[#This Row],[SITUACAO]]=1,TED[[#This Row],[SITUACAO]]=9,TED[[#This Row],[SITUACAO]]=18),"ATIVO","AFASTADO")</f>
        <v>AFASTADO</v>
      </c>
      <c r="K1677" s="12">
        <v>6</v>
      </c>
    </row>
    <row r="1678" spans="1:11" x14ac:dyDescent="0.25">
      <c r="A1678" s="10">
        <v>32342</v>
      </c>
      <c r="B1678" s="9" t="s">
        <v>639</v>
      </c>
      <c r="C1678" s="12" t="str">
        <f>IFERROR(VLOOKUP(TED[[#This Row],[CENTRO]],'CENTRO DE CUSTO'!B:E,4,FALSE)," ")</f>
        <v>DÉBORA GOBETTI</v>
      </c>
      <c r="D1678" s="12">
        <v>269</v>
      </c>
      <c r="E1678" s="16">
        <v>269123</v>
      </c>
      <c r="F1678" s="10" t="s">
        <v>640</v>
      </c>
      <c r="G1678" s="10">
        <v>200</v>
      </c>
      <c r="H1678" s="11">
        <v>45414</v>
      </c>
      <c r="I1678" s="10" t="s">
        <v>634</v>
      </c>
      <c r="J1678" s="12" t="str">
        <f>IF(OR(TED[[#This Row],[SITUACAO]]=1,TED[[#This Row],[SITUACAO]]=9,TED[[#This Row],[SITUACAO]]=18),"ATIVO","AFASTADO")</f>
        <v>ATIVO</v>
      </c>
      <c r="K1678" s="12">
        <v>1</v>
      </c>
    </row>
    <row r="1679" spans="1:11" x14ac:dyDescent="0.25">
      <c r="A1679" s="10">
        <v>33507</v>
      </c>
      <c r="B1679" s="9" t="s">
        <v>782</v>
      </c>
      <c r="C1679" s="12" t="str">
        <f>IFERROR(VLOOKUP(TED[[#This Row],[CENTRO]],'CENTRO DE CUSTO'!B:E,4,FALSE)," ")</f>
        <v>VANDERSON</v>
      </c>
      <c r="D1679" s="12">
        <v>269</v>
      </c>
      <c r="E1679" s="16">
        <v>269139</v>
      </c>
      <c r="F1679" s="10" t="s">
        <v>676</v>
      </c>
      <c r="G1679" s="10">
        <v>200</v>
      </c>
      <c r="H1679" s="11">
        <v>45516</v>
      </c>
      <c r="I1679" s="10" t="s">
        <v>634</v>
      </c>
      <c r="J1679" s="12" t="str">
        <f>IF(OR(TED[[#This Row],[SITUACAO]]=1,TED[[#This Row],[SITUACAO]]=9,TED[[#This Row],[SITUACAO]]=18),"ATIVO","AFASTADO")</f>
        <v>ATIVO</v>
      </c>
      <c r="K1679" s="12">
        <v>1</v>
      </c>
    </row>
    <row r="1680" spans="1:11" x14ac:dyDescent="0.25">
      <c r="A1680" s="10">
        <v>45688</v>
      </c>
      <c r="B1680" s="9" t="s">
        <v>2247</v>
      </c>
      <c r="C1680" s="12" t="str">
        <f>IFERROR(VLOOKUP(TED[[#This Row],[CENTRO]],'CENTRO DE CUSTO'!B:E,4,FALSE)," ")</f>
        <v>DÉBORA GOBETTI</v>
      </c>
      <c r="D1680" s="12">
        <v>269</v>
      </c>
      <c r="E1680" s="16">
        <v>269132</v>
      </c>
      <c r="F1680" s="10" t="s">
        <v>660</v>
      </c>
      <c r="G1680" s="10">
        <v>100</v>
      </c>
      <c r="H1680" s="11">
        <v>46161</v>
      </c>
      <c r="I1680" s="10" t="s">
        <v>634</v>
      </c>
      <c r="J1680" s="12" t="str">
        <f>IF(OR(TED[[#This Row],[SITUACAO]]=1,TED[[#This Row],[SITUACAO]]=9,TED[[#This Row],[SITUACAO]]=18),"ATIVO","AFASTADO")</f>
        <v>ATIVO</v>
      </c>
      <c r="K1680" s="12">
        <v>1</v>
      </c>
    </row>
    <row r="1681" spans="1:11" x14ac:dyDescent="0.25">
      <c r="A1681" s="10">
        <v>33584</v>
      </c>
      <c r="B1681" s="9" t="s">
        <v>811</v>
      </c>
      <c r="C1681" s="12" t="str">
        <f>IFERROR(VLOOKUP(TED[[#This Row],[CENTRO]],'CENTRO DE CUSTO'!B:E,4,FALSE)," ")</f>
        <v>VANDERSON</v>
      </c>
      <c r="D1681" s="12">
        <v>269</v>
      </c>
      <c r="E1681" s="16">
        <v>269193</v>
      </c>
      <c r="F1681" s="10" t="s">
        <v>812</v>
      </c>
      <c r="G1681" s="10">
        <v>200</v>
      </c>
      <c r="H1681" s="11">
        <v>45523</v>
      </c>
      <c r="I1681" s="10" t="s">
        <v>634</v>
      </c>
      <c r="J1681" s="12" t="str">
        <f>IF(OR(TED[[#This Row],[SITUACAO]]=1,TED[[#This Row],[SITUACAO]]=9,TED[[#This Row],[SITUACAO]]=18),"ATIVO","AFASTADO")</f>
        <v>ATIVO</v>
      </c>
      <c r="K1681" s="12">
        <v>1</v>
      </c>
    </row>
    <row r="1682" spans="1:11" x14ac:dyDescent="0.25">
      <c r="A1682" s="10">
        <v>30951</v>
      </c>
      <c r="B1682" s="9" t="s">
        <v>868</v>
      </c>
      <c r="C1682" s="12" t="str">
        <f>IFERROR(VLOOKUP(TED[[#This Row],[CENTRO]],'CENTRO DE CUSTO'!B:E,4,FALSE)," ")</f>
        <v>JOÃO CLEMENTONI</v>
      </c>
      <c r="D1682" s="12">
        <v>269</v>
      </c>
      <c r="E1682" s="16">
        <v>269219</v>
      </c>
      <c r="F1682" s="10" t="s">
        <v>869</v>
      </c>
      <c r="G1682" s="10">
        <v>200</v>
      </c>
      <c r="H1682" s="11">
        <v>45337</v>
      </c>
      <c r="I1682" s="10" t="s">
        <v>634</v>
      </c>
      <c r="J1682" s="12" t="str">
        <f>IF(OR(TED[[#This Row],[SITUACAO]]=1,TED[[#This Row],[SITUACAO]]=9,TED[[#This Row],[SITUACAO]]=18),"ATIVO","AFASTADO")</f>
        <v>ATIVO</v>
      </c>
      <c r="K1682" s="12">
        <v>1</v>
      </c>
    </row>
    <row r="1683" spans="1:11" x14ac:dyDescent="0.25">
      <c r="A1683" s="10">
        <v>38568</v>
      </c>
      <c r="B1683" s="9" t="s">
        <v>681</v>
      </c>
      <c r="C1683" s="12" t="str">
        <f>IFERROR(VLOOKUP(TED[[#This Row],[CENTRO]],'CENTRO DE CUSTO'!B:E,4,FALSE)," ")</f>
        <v>DÉBORA GOBETTI</v>
      </c>
      <c r="D1683" s="12">
        <v>269</v>
      </c>
      <c r="E1683" s="16">
        <v>269142</v>
      </c>
      <c r="F1683" s="10" t="s">
        <v>682</v>
      </c>
      <c r="G1683" s="10">
        <v>200</v>
      </c>
      <c r="H1683" s="11">
        <v>45785</v>
      </c>
      <c r="I1683" s="10" t="s">
        <v>634</v>
      </c>
      <c r="J1683" s="12" t="str">
        <f>IF(OR(TED[[#This Row],[SITUACAO]]=1,TED[[#This Row],[SITUACAO]]=9,TED[[#This Row],[SITUACAO]]=18),"ATIVO","AFASTADO")</f>
        <v>ATIVO</v>
      </c>
      <c r="K1683" s="12">
        <v>1</v>
      </c>
    </row>
    <row r="1684" spans="1:11" x14ac:dyDescent="0.25">
      <c r="A1684" s="10">
        <v>30682</v>
      </c>
      <c r="B1684" s="9" t="s">
        <v>700</v>
      </c>
      <c r="C1684" s="12" t="str">
        <f>IFERROR(VLOOKUP(TED[[#This Row],[CENTRO]],'CENTRO DE CUSTO'!B:E,4,FALSE)," ")</f>
        <v>S/ SUPERVISOR</v>
      </c>
      <c r="D1684" s="12">
        <v>269</v>
      </c>
      <c r="E1684" s="16">
        <v>269149</v>
      </c>
      <c r="F1684" s="10" t="s">
        <v>701</v>
      </c>
      <c r="G1684" s="10">
        <v>200</v>
      </c>
      <c r="H1684" s="11">
        <v>45337</v>
      </c>
      <c r="I1684" s="10" t="s">
        <v>634</v>
      </c>
      <c r="J1684" s="12" t="str">
        <f>IF(OR(TED[[#This Row],[SITUACAO]]=1,TED[[#This Row],[SITUACAO]]=9,TED[[#This Row],[SITUACAO]]=18),"ATIVO","AFASTADO")</f>
        <v>ATIVO</v>
      </c>
      <c r="K1684" s="12">
        <v>1</v>
      </c>
    </row>
    <row r="1685" spans="1:11" x14ac:dyDescent="0.25">
      <c r="A1685" s="10">
        <v>45181</v>
      </c>
      <c r="B1685" s="9" t="s">
        <v>2192</v>
      </c>
      <c r="C1685" s="12" t="str">
        <f>IFERROR(VLOOKUP(TED[[#This Row],[CENTRO]],'CENTRO DE CUSTO'!B:E,4,FALSE)," ")</f>
        <v>CARLOS FABRI</v>
      </c>
      <c r="D1685" s="12">
        <v>269</v>
      </c>
      <c r="E1685" s="16">
        <v>269206</v>
      </c>
      <c r="F1685" s="10" t="s">
        <v>842</v>
      </c>
      <c r="G1685" s="10">
        <v>200</v>
      </c>
      <c r="H1685" s="11">
        <v>46134</v>
      </c>
      <c r="I1685" s="10" t="s">
        <v>634</v>
      </c>
      <c r="J1685" s="12" t="str">
        <f>IF(OR(TED[[#This Row],[SITUACAO]]=1,TED[[#This Row],[SITUACAO]]=9,TED[[#This Row],[SITUACAO]]=18),"ATIVO","AFASTADO")</f>
        <v>ATIVO</v>
      </c>
      <c r="K1685" s="12">
        <v>1</v>
      </c>
    </row>
    <row r="1686" spans="1:11" x14ac:dyDescent="0.25">
      <c r="A1686" s="10">
        <v>30683</v>
      </c>
      <c r="B1686" s="9" t="s">
        <v>755</v>
      </c>
      <c r="C1686" s="12" t="str">
        <f>IFERROR(VLOOKUP(TED[[#This Row],[CENTRO]],'CENTRO DE CUSTO'!B:E,4,FALSE)," ")</f>
        <v>VANDERSON</v>
      </c>
      <c r="D1686" s="12">
        <v>269</v>
      </c>
      <c r="E1686" s="16">
        <v>269171</v>
      </c>
      <c r="F1686" s="10" t="s">
        <v>756</v>
      </c>
      <c r="G1686" s="10">
        <v>200</v>
      </c>
      <c r="H1686" s="11">
        <v>45337</v>
      </c>
      <c r="I1686" s="10" t="s">
        <v>634</v>
      </c>
      <c r="J1686" s="12" t="str">
        <f>IF(OR(TED[[#This Row],[SITUACAO]]=1,TED[[#This Row],[SITUACAO]]=9,TED[[#This Row],[SITUACAO]]=18),"ATIVO","AFASTADO")</f>
        <v>ATIVO</v>
      </c>
      <c r="K1686" s="12">
        <v>1</v>
      </c>
    </row>
    <row r="1687" spans="1:11" x14ac:dyDescent="0.25">
      <c r="A1687" s="10">
        <v>30774</v>
      </c>
      <c r="B1687" s="9" t="s">
        <v>837</v>
      </c>
      <c r="C1687" s="12" t="str">
        <f>IFERROR(VLOOKUP(TED[[#This Row],[CENTRO]],'CENTRO DE CUSTO'!B:E,4,FALSE)," ")</f>
        <v>CARLOS FABRI</v>
      </c>
      <c r="D1687" s="12">
        <v>269</v>
      </c>
      <c r="E1687" s="16">
        <v>269204</v>
      </c>
      <c r="F1687" s="10" t="s">
        <v>838</v>
      </c>
      <c r="G1687" s="10">
        <v>200</v>
      </c>
      <c r="H1687" s="11">
        <v>45337</v>
      </c>
      <c r="I1687" s="10" t="s">
        <v>634</v>
      </c>
      <c r="J1687" s="12" t="str">
        <f>IF(OR(TED[[#This Row],[SITUACAO]]=1,TED[[#This Row],[SITUACAO]]=9,TED[[#This Row],[SITUACAO]]=18),"ATIVO","AFASTADO")</f>
        <v>ATIVO</v>
      </c>
      <c r="K1687" s="12">
        <v>1</v>
      </c>
    </row>
    <row r="1688" spans="1:11" x14ac:dyDescent="0.25">
      <c r="A1688" s="10">
        <v>45258</v>
      </c>
      <c r="B1688" s="9" t="s">
        <v>2249</v>
      </c>
      <c r="C1688" s="12" t="str">
        <f>IFERROR(VLOOKUP(TED[[#This Row],[CENTRO]],'CENTRO DE CUSTO'!B:E,4,FALSE)," ")</f>
        <v>DÉBORA GOBETTI</v>
      </c>
      <c r="D1688" s="12">
        <v>269</v>
      </c>
      <c r="E1688" s="16">
        <v>269152</v>
      </c>
      <c r="F1688" s="10" t="s">
        <v>706</v>
      </c>
      <c r="G1688" s="10">
        <v>200</v>
      </c>
      <c r="H1688" s="11">
        <v>46139</v>
      </c>
      <c r="I1688" s="10" t="s">
        <v>634</v>
      </c>
      <c r="J1688" s="12" t="str">
        <f>IF(OR(TED[[#This Row],[SITUACAO]]=1,TED[[#This Row],[SITUACAO]]=9,TED[[#This Row],[SITUACAO]]=18),"ATIVO","AFASTADO")</f>
        <v>ATIVO</v>
      </c>
      <c r="K1688" s="12">
        <v>1</v>
      </c>
    </row>
    <row r="1689" spans="1:11" x14ac:dyDescent="0.25">
      <c r="A1689" s="10">
        <v>31040</v>
      </c>
      <c r="B1689" s="9" t="s">
        <v>916</v>
      </c>
      <c r="C1689" s="12" t="str">
        <f>IFERROR(VLOOKUP(TED[[#This Row],[CENTRO]],'CENTRO DE CUSTO'!B:E,4,FALSE)," ")</f>
        <v>JOÃO CLEMENTONI</v>
      </c>
      <c r="D1689" s="12">
        <v>269</v>
      </c>
      <c r="E1689" s="16">
        <v>269243</v>
      </c>
      <c r="F1689" s="10" t="s">
        <v>917</v>
      </c>
      <c r="G1689" s="10">
        <v>200</v>
      </c>
      <c r="H1689" s="11">
        <v>45337</v>
      </c>
      <c r="I1689" s="10" t="s">
        <v>634</v>
      </c>
      <c r="J1689" s="12" t="str">
        <f>IF(OR(TED[[#This Row],[SITUACAO]]=1,TED[[#This Row],[SITUACAO]]=9,TED[[#This Row],[SITUACAO]]=18),"ATIVO","AFASTADO")</f>
        <v>ATIVO</v>
      </c>
      <c r="K1689" s="12">
        <v>1</v>
      </c>
    </row>
    <row r="1690" spans="1:11" x14ac:dyDescent="0.25">
      <c r="A1690" s="10">
        <v>38952</v>
      </c>
      <c r="B1690" s="9" t="s">
        <v>907</v>
      </c>
      <c r="C1690" s="12" t="str">
        <f>IFERROR(VLOOKUP(TED[[#This Row],[CENTRO]],'CENTRO DE CUSTO'!B:E,4,FALSE)," ")</f>
        <v>S/ SUPERVISOR</v>
      </c>
      <c r="D1690" s="12">
        <v>269</v>
      </c>
      <c r="E1690" s="16">
        <v>269239</v>
      </c>
      <c r="F1690" s="10" t="s">
        <v>908</v>
      </c>
      <c r="G1690" s="10">
        <v>200</v>
      </c>
      <c r="H1690" s="11">
        <v>45810</v>
      </c>
      <c r="I1690" s="10" t="s">
        <v>634</v>
      </c>
      <c r="J1690" s="12" t="str">
        <f>IF(OR(TED[[#This Row],[SITUACAO]]=1,TED[[#This Row],[SITUACAO]]=9,TED[[#This Row],[SITUACAO]]=18),"ATIVO","AFASTADO")</f>
        <v>ATIVO</v>
      </c>
      <c r="K1690" s="12">
        <v>1</v>
      </c>
    </row>
    <row r="1691" spans="1:11" x14ac:dyDescent="0.25">
      <c r="A1691" s="10">
        <v>32261</v>
      </c>
      <c r="B1691" s="9" t="s">
        <v>731</v>
      </c>
      <c r="C1691" s="12" t="str">
        <f>IFERROR(VLOOKUP(TED[[#This Row],[CENTRO]],'CENTRO DE CUSTO'!B:E,4,FALSE)," ")</f>
        <v>DÉBORA GOBETTI</v>
      </c>
      <c r="D1691" s="12">
        <v>269</v>
      </c>
      <c r="E1691" s="16">
        <v>269161</v>
      </c>
      <c r="F1691" s="10" t="s">
        <v>730</v>
      </c>
      <c r="G1691" s="10">
        <v>200</v>
      </c>
      <c r="H1691" s="11">
        <v>45414</v>
      </c>
      <c r="I1691" s="10" t="s">
        <v>634</v>
      </c>
      <c r="J1691" s="12" t="str">
        <f>IF(OR(TED[[#This Row],[SITUACAO]]=1,TED[[#This Row],[SITUACAO]]=9,TED[[#This Row],[SITUACAO]]=18),"ATIVO","AFASTADO")</f>
        <v>ATIVO</v>
      </c>
      <c r="K1691" s="12">
        <v>1</v>
      </c>
    </row>
    <row r="1692" spans="1:11" x14ac:dyDescent="0.25">
      <c r="A1692" s="10">
        <v>30948</v>
      </c>
      <c r="B1692" s="9" t="s">
        <v>872</v>
      </c>
      <c r="C1692" s="12" t="str">
        <f>IFERROR(VLOOKUP(TED[[#This Row],[CENTRO]],'CENTRO DE CUSTO'!B:E,4,FALSE)," ")</f>
        <v>CARLOS FABRI</v>
      </c>
      <c r="D1692" s="12">
        <v>269</v>
      </c>
      <c r="E1692" s="16">
        <v>269221</v>
      </c>
      <c r="F1692" s="10" t="s">
        <v>873</v>
      </c>
      <c r="G1692" s="10">
        <v>200</v>
      </c>
      <c r="H1692" s="11">
        <v>45337</v>
      </c>
      <c r="I1692" s="10" t="s">
        <v>634</v>
      </c>
      <c r="J1692" s="12" t="str">
        <f>IF(OR(TED[[#This Row],[SITUACAO]]=1,TED[[#This Row],[SITUACAO]]=9,TED[[#This Row],[SITUACAO]]=18),"ATIVO","AFASTADO")</f>
        <v>ATIVO</v>
      </c>
      <c r="K1692" s="12">
        <v>1</v>
      </c>
    </row>
    <row r="1693" spans="1:11" x14ac:dyDescent="0.25">
      <c r="A1693" s="10">
        <v>32544</v>
      </c>
      <c r="B1693" s="9" t="s">
        <v>802</v>
      </c>
      <c r="C1693" s="12" t="str">
        <f>IFERROR(VLOOKUP(TED[[#This Row],[CENTRO]],'CENTRO DE CUSTO'!B:E,4,FALSE)," ")</f>
        <v>VANDERSON</v>
      </c>
      <c r="D1693" s="12">
        <v>269</v>
      </c>
      <c r="E1693" s="16">
        <v>269189</v>
      </c>
      <c r="F1693" s="10" t="s">
        <v>801</v>
      </c>
      <c r="G1693" s="10">
        <v>200</v>
      </c>
      <c r="H1693" s="11">
        <v>45427</v>
      </c>
      <c r="I1693" s="10" t="s">
        <v>634</v>
      </c>
      <c r="J1693" s="12" t="str">
        <f>IF(OR(TED[[#This Row],[SITUACAO]]=1,TED[[#This Row],[SITUACAO]]=9,TED[[#This Row],[SITUACAO]]=18),"ATIVO","AFASTADO")</f>
        <v>ATIVO</v>
      </c>
      <c r="K1693" s="12">
        <v>1</v>
      </c>
    </row>
    <row r="1694" spans="1:11" x14ac:dyDescent="0.25">
      <c r="A1694" s="10">
        <v>30955</v>
      </c>
      <c r="B1694" s="9" t="s">
        <v>697</v>
      </c>
      <c r="C1694" s="12" t="str">
        <f>IFERROR(VLOOKUP(TED[[#This Row],[CENTRO]],'CENTRO DE CUSTO'!B:E,4,FALSE)," ")</f>
        <v>S/ SUPERVISOR</v>
      </c>
      <c r="D1694" s="12">
        <v>269</v>
      </c>
      <c r="E1694" s="16">
        <v>269147</v>
      </c>
      <c r="F1694" s="10" t="s">
        <v>696</v>
      </c>
      <c r="G1694" s="10">
        <v>200</v>
      </c>
      <c r="H1694" s="11">
        <v>45337</v>
      </c>
      <c r="I1694" s="10" t="s">
        <v>634</v>
      </c>
      <c r="J1694" s="12" t="str">
        <f>IF(OR(TED[[#This Row],[SITUACAO]]=1,TED[[#This Row],[SITUACAO]]=9,TED[[#This Row],[SITUACAO]]=18),"ATIVO","AFASTADO")</f>
        <v>ATIVO</v>
      </c>
      <c r="K1694" s="12">
        <v>1</v>
      </c>
    </row>
    <row r="1695" spans="1:11" x14ac:dyDescent="0.25">
      <c r="A1695" s="10">
        <v>31118</v>
      </c>
      <c r="B1695" s="9" t="s">
        <v>903</v>
      </c>
      <c r="C1695" s="12" t="str">
        <f>IFERROR(VLOOKUP(TED[[#This Row],[CENTRO]],'CENTRO DE CUSTO'!B:E,4,FALSE)," ")</f>
        <v>VANDERSON</v>
      </c>
      <c r="D1695" s="12">
        <v>269</v>
      </c>
      <c r="E1695" s="16">
        <v>269237</v>
      </c>
      <c r="F1695" s="10" t="s">
        <v>904</v>
      </c>
      <c r="G1695" s="10">
        <v>200</v>
      </c>
      <c r="H1695" s="11">
        <v>45337</v>
      </c>
      <c r="I1695" s="10" t="s">
        <v>634</v>
      </c>
      <c r="J1695" s="12" t="str">
        <f>IF(OR(TED[[#This Row],[SITUACAO]]=1,TED[[#This Row],[SITUACAO]]=9,TED[[#This Row],[SITUACAO]]=18),"ATIVO","AFASTADO")</f>
        <v>AFASTADO</v>
      </c>
      <c r="K1695" s="12">
        <v>6</v>
      </c>
    </row>
    <row r="1696" spans="1:11" x14ac:dyDescent="0.25">
      <c r="A1696" s="10">
        <v>33874</v>
      </c>
      <c r="B1696" s="9" t="s">
        <v>636</v>
      </c>
      <c r="C1696" s="12" t="str">
        <f>IFERROR(VLOOKUP(TED[[#This Row],[CENTRO]],'CENTRO DE CUSTO'!B:E,4,FALSE)," ")</f>
        <v>PAULO TORRES</v>
      </c>
      <c r="D1696" s="12">
        <v>269</v>
      </c>
      <c r="E1696" s="16">
        <v>269122</v>
      </c>
      <c r="F1696" s="10" t="s">
        <v>635</v>
      </c>
      <c r="G1696" s="10">
        <v>200</v>
      </c>
      <c r="H1696" s="11">
        <v>45552</v>
      </c>
      <c r="I1696" s="10" t="s">
        <v>634</v>
      </c>
      <c r="J1696" s="12" t="str">
        <f>IF(OR(TED[[#This Row],[SITUACAO]]=1,TED[[#This Row],[SITUACAO]]=9,TED[[#This Row],[SITUACAO]]=18),"ATIVO","AFASTADO")</f>
        <v>ATIVO</v>
      </c>
      <c r="K1696" s="12">
        <v>1</v>
      </c>
    </row>
    <row r="1697" spans="1:11" x14ac:dyDescent="0.25">
      <c r="A1697" s="10">
        <v>30606</v>
      </c>
      <c r="B1697" s="9" t="s">
        <v>692</v>
      </c>
      <c r="C1697" s="12" t="str">
        <f>IFERROR(VLOOKUP(TED[[#This Row],[CENTRO]],'CENTRO DE CUSTO'!B:E,4,FALSE)," ")</f>
        <v>JOÃO CLEMENTONI</v>
      </c>
      <c r="D1697" s="12">
        <v>269</v>
      </c>
      <c r="E1697" s="16">
        <v>269146</v>
      </c>
      <c r="F1697" s="10" t="s">
        <v>693</v>
      </c>
      <c r="G1697" s="10">
        <v>200</v>
      </c>
      <c r="H1697" s="11">
        <v>45337</v>
      </c>
      <c r="I1697" s="10" t="s">
        <v>634</v>
      </c>
      <c r="J1697" s="12" t="str">
        <f>IF(OR(TED[[#This Row],[SITUACAO]]=1,TED[[#This Row],[SITUACAO]]=9,TED[[#This Row],[SITUACAO]]=18),"ATIVO","AFASTADO")</f>
        <v>ATIVO</v>
      </c>
      <c r="K1697" s="12">
        <v>1</v>
      </c>
    </row>
    <row r="1698" spans="1:11" x14ac:dyDescent="0.25">
      <c r="A1698" s="10">
        <v>30969</v>
      </c>
      <c r="B1698" s="9" t="s">
        <v>833</v>
      </c>
      <c r="C1698" s="12" t="str">
        <f>IFERROR(VLOOKUP(TED[[#This Row],[CENTRO]],'CENTRO DE CUSTO'!B:E,4,FALSE)," ")</f>
        <v>CARLOS FABRI</v>
      </c>
      <c r="D1698" s="12">
        <v>269</v>
      </c>
      <c r="E1698" s="16">
        <v>269202</v>
      </c>
      <c r="F1698" s="10" t="s">
        <v>834</v>
      </c>
      <c r="G1698" s="10">
        <v>200</v>
      </c>
      <c r="H1698" s="11">
        <v>45337</v>
      </c>
      <c r="I1698" s="10" t="s">
        <v>634</v>
      </c>
      <c r="J1698" s="12" t="str">
        <f>IF(OR(TED[[#This Row],[SITUACAO]]=1,TED[[#This Row],[SITUACAO]]=9,TED[[#This Row],[SITUACAO]]=18),"ATIVO","AFASTADO")</f>
        <v>ATIVO</v>
      </c>
      <c r="K1698" s="12">
        <v>1</v>
      </c>
    </row>
    <row r="1699" spans="1:11" x14ac:dyDescent="0.25">
      <c r="A1699" s="10">
        <v>31178</v>
      </c>
      <c r="B1699" s="9" t="s">
        <v>839</v>
      </c>
      <c r="C1699" s="12" t="str">
        <f>IFERROR(VLOOKUP(TED[[#This Row],[CENTRO]],'CENTRO DE CUSTO'!B:E,4,FALSE)," ")</f>
        <v>CARLOS FABRI</v>
      </c>
      <c r="D1699" s="12">
        <v>269</v>
      </c>
      <c r="E1699" s="16">
        <v>269205</v>
      </c>
      <c r="F1699" s="10" t="s">
        <v>840</v>
      </c>
      <c r="G1699" s="10">
        <v>200</v>
      </c>
      <c r="H1699" s="11">
        <v>45341</v>
      </c>
      <c r="I1699" s="10" t="s">
        <v>634</v>
      </c>
      <c r="J1699" s="12" t="str">
        <f>IF(OR(TED[[#This Row],[SITUACAO]]=1,TED[[#This Row],[SITUACAO]]=9,TED[[#This Row],[SITUACAO]]=18),"ATIVO","AFASTADO")</f>
        <v>ATIVO</v>
      </c>
      <c r="K1699" s="12">
        <v>1</v>
      </c>
    </row>
    <row r="1700" spans="1:11" x14ac:dyDescent="0.25">
      <c r="A1700" s="10">
        <v>31015</v>
      </c>
      <c r="B1700" s="9" t="s">
        <v>667</v>
      </c>
      <c r="C1700" s="12" t="str">
        <f>IFERROR(VLOOKUP(TED[[#This Row],[CENTRO]],'CENTRO DE CUSTO'!B:E,4,FALSE)," ")</f>
        <v>JOÃO CLEMENTONI</v>
      </c>
      <c r="D1700" s="12">
        <v>269</v>
      </c>
      <c r="E1700" s="16">
        <v>269135</v>
      </c>
      <c r="F1700" s="10" t="s">
        <v>668</v>
      </c>
      <c r="G1700" s="10">
        <v>200</v>
      </c>
      <c r="H1700" s="11">
        <v>45337</v>
      </c>
      <c r="I1700" s="10" t="s">
        <v>634</v>
      </c>
      <c r="J1700" s="12" t="str">
        <f>IF(OR(TED[[#This Row],[SITUACAO]]=1,TED[[#This Row],[SITUACAO]]=9,TED[[#This Row],[SITUACAO]]=18),"ATIVO","AFASTADO")</f>
        <v>ATIVO</v>
      </c>
      <c r="K1700" s="12">
        <v>1</v>
      </c>
    </row>
    <row r="1701" spans="1:11" x14ac:dyDescent="0.25">
      <c r="A1701" s="10">
        <v>45913</v>
      </c>
      <c r="B1701" s="9" t="s">
        <v>2254</v>
      </c>
      <c r="C1701" s="12" t="str">
        <f>IFERROR(VLOOKUP(TED[[#This Row],[CENTRO]],'CENTRO DE CUSTO'!B:E,4,FALSE)," ")</f>
        <v>CARLOS FABRI</v>
      </c>
      <c r="D1701" s="12">
        <v>269</v>
      </c>
      <c r="E1701" s="16">
        <v>269196</v>
      </c>
      <c r="F1701" s="10" t="s">
        <v>818</v>
      </c>
      <c r="G1701" s="10">
        <v>200</v>
      </c>
      <c r="H1701" s="11">
        <v>46168</v>
      </c>
      <c r="I1701" s="10" t="s">
        <v>634</v>
      </c>
      <c r="J1701" s="12" t="str">
        <f>IF(OR(TED[[#This Row],[SITUACAO]]=1,TED[[#This Row],[SITUACAO]]=9,TED[[#This Row],[SITUACAO]]=18),"ATIVO","AFASTADO")</f>
        <v>ATIVO</v>
      </c>
      <c r="K1701" s="12">
        <v>1</v>
      </c>
    </row>
    <row r="1702" spans="1:11" x14ac:dyDescent="0.25">
      <c r="A1702" s="10">
        <v>32329</v>
      </c>
      <c r="B1702" s="9" t="s">
        <v>744</v>
      </c>
      <c r="C1702" s="12" t="str">
        <f>IFERROR(VLOOKUP(TED[[#This Row],[CENTRO]],'CENTRO DE CUSTO'!B:E,4,FALSE)," ")</f>
        <v>JOÃO CLEMENTONI</v>
      </c>
      <c r="D1702" s="12">
        <v>269</v>
      </c>
      <c r="E1702" s="16">
        <v>269167</v>
      </c>
      <c r="F1702" s="10" t="s">
        <v>745</v>
      </c>
      <c r="G1702" s="10">
        <v>200</v>
      </c>
      <c r="H1702" s="11">
        <v>45411</v>
      </c>
      <c r="I1702" s="10" t="s">
        <v>634</v>
      </c>
      <c r="J1702" s="12" t="str">
        <f>IF(OR(TED[[#This Row],[SITUACAO]]=1,TED[[#This Row],[SITUACAO]]=9,TED[[#This Row],[SITUACAO]]=18),"ATIVO","AFASTADO")</f>
        <v>ATIVO</v>
      </c>
      <c r="K1702" s="12">
        <v>1</v>
      </c>
    </row>
    <row r="1703" spans="1:11" x14ac:dyDescent="0.25">
      <c r="A1703" s="10">
        <v>43606</v>
      </c>
      <c r="B1703" s="9" t="s">
        <v>2094</v>
      </c>
      <c r="C1703" s="12" t="str">
        <f>IFERROR(VLOOKUP(TED[[#This Row],[CENTRO]],'CENTRO DE CUSTO'!B:E,4,FALSE)," ")</f>
        <v>CARLOS FABRI</v>
      </c>
      <c r="D1703" s="12">
        <v>269</v>
      </c>
      <c r="E1703" s="16">
        <v>269138</v>
      </c>
      <c r="F1703" s="10" t="s">
        <v>675</v>
      </c>
      <c r="G1703" s="10">
        <v>200</v>
      </c>
      <c r="H1703" s="11">
        <v>46055</v>
      </c>
      <c r="I1703" s="10" t="s">
        <v>634</v>
      </c>
      <c r="J1703" s="12" t="str">
        <f>IF(OR(TED[[#This Row],[SITUACAO]]=1,TED[[#This Row],[SITUACAO]]=9,TED[[#This Row],[SITUACAO]]=18),"ATIVO","AFASTADO")</f>
        <v>ATIVO</v>
      </c>
      <c r="K1703" s="12">
        <v>1</v>
      </c>
    </row>
    <row r="1704" spans="1:11" x14ac:dyDescent="0.25">
      <c r="A1704" s="10">
        <v>30607</v>
      </c>
      <c r="B1704" s="9" t="s">
        <v>734</v>
      </c>
      <c r="C1704" s="12" t="str">
        <f>IFERROR(VLOOKUP(TED[[#This Row],[CENTRO]],'CENTRO DE CUSTO'!B:E,4,FALSE)," ")</f>
        <v>DÉBORA GOBETTI</v>
      </c>
      <c r="D1704" s="12">
        <v>269</v>
      </c>
      <c r="E1704" s="16">
        <v>269162</v>
      </c>
      <c r="F1704" s="10" t="s">
        <v>733</v>
      </c>
      <c r="G1704" s="10">
        <v>200</v>
      </c>
      <c r="H1704" s="11">
        <v>45337</v>
      </c>
      <c r="I1704" s="10" t="s">
        <v>634</v>
      </c>
      <c r="J1704" s="12" t="str">
        <f>IF(OR(TED[[#This Row],[SITUACAO]]=1,TED[[#This Row],[SITUACAO]]=9,TED[[#This Row],[SITUACAO]]=18),"ATIVO","AFASTADO")</f>
        <v>ATIVO</v>
      </c>
      <c r="K1704" s="12">
        <v>1</v>
      </c>
    </row>
    <row r="1705" spans="1:11" x14ac:dyDescent="0.25">
      <c r="A1705" s="10">
        <v>39542</v>
      </c>
      <c r="B1705" s="9" t="s">
        <v>719</v>
      </c>
      <c r="C1705" s="12" t="str">
        <f>IFERROR(VLOOKUP(TED[[#This Row],[CENTRO]],'CENTRO DE CUSTO'!B:E,4,FALSE)," ")</f>
        <v>JOÃO CLEMENTONI</v>
      </c>
      <c r="D1705" s="12">
        <v>269</v>
      </c>
      <c r="E1705" s="16">
        <v>269157</v>
      </c>
      <c r="F1705" s="10" t="s">
        <v>720</v>
      </c>
      <c r="G1705" s="10">
        <v>200</v>
      </c>
      <c r="H1705" s="11">
        <v>45852</v>
      </c>
      <c r="I1705" s="10" t="s">
        <v>634</v>
      </c>
      <c r="J1705" s="12" t="str">
        <f>IF(OR(TED[[#This Row],[SITUACAO]]=1,TED[[#This Row],[SITUACAO]]=9,TED[[#This Row],[SITUACAO]]=18),"ATIVO","AFASTADO")</f>
        <v>ATIVO</v>
      </c>
      <c r="K1705" s="12">
        <v>1</v>
      </c>
    </row>
    <row r="1706" spans="1:11" x14ac:dyDescent="0.25">
      <c r="A1706" s="10">
        <v>31014</v>
      </c>
      <c r="B1706" s="9" t="s">
        <v>920</v>
      </c>
      <c r="C1706" s="12" t="str">
        <f>IFERROR(VLOOKUP(TED[[#This Row],[CENTRO]],'CENTRO DE CUSTO'!B:E,4,FALSE)," ")</f>
        <v>S/ SUPERVISOR</v>
      </c>
      <c r="D1706" s="12">
        <v>269</v>
      </c>
      <c r="E1706" s="16">
        <v>269249</v>
      </c>
      <c r="F1706" s="10" t="s">
        <v>921</v>
      </c>
      <c r="G1706" s="10">
        <v>200</v>
      </c>
      <c r="H1706" s="11">
        <v>45337</v>
      </c>
      <c r="I1706" s="10" t="s">
        <v>634</v>
      </c>
      <c r="J1706" s="12" t="str">
        <f>IF(OR(TED[[#This Row],[SITUACAO]]=1,TED[[#This Row],[SITUACAO]]=9,TED[[#This Row],[SITUACAO]]=18),"ATIVO","AFASTADO")</f>
        <v>ATIVO</v>
      </c>
      <c r="K1706" s="12">
        <v>1</v>
      </c>
    </row>
    <row r="1707" spans="1:11" x14ac:dyDescent="0.25">
      <c r="A1707" s="10">
        <v>32240</v>
      </c>
      <c r="B1707" s="9" t="s">
        <v>766</v>
      </c>
      <c r="C1707" s="12" t="str">
        <f>IFERROR(VLOOKUP(TED[[#This Row],[CENTRO]],'CENTRO DE CUSTO'!B:E,4,FALSE)," ")</f>
        <v>DÉBORA GOBETTI</v>
      </c>
      <c r="D1707" s="12">
        <v>269</v>
      </c>
      <c r="E1707" s="16">
        <v>269175</v>
      </c>
      <c r="F1707" s="10" t="s">
        <v>765</v>
      </c>
      <c r="G1707" s="10">
        <v>200</v>
      </c>
      <c r="H1707" s="11">
        <v>45414</v>
      </c>
      <c r="I1707" s="10" t="s">
        <v>634</v>
      </c>
      <c r="J1707" s="12" t="str">
        <f>IF(OR(TED[[#This Row],[SITUACAO]]=1,TED[[#This Row],[SITUACAO]]=9,TED[[#This Row],[SITUACAO]]=18),"ATIVO","AFASTADO")</f>
        <v>ATIVO</v>
      </c>
      <c r="K1707" s="12">
        <v>1</v>
      </c>
    </row>
    <row r="1708" spans="1:11" x14ac:dyDescent="0.25">
      <c r="A1708" s="10">
        <v>31048</v>
      </c>
      <c r="B1708" s="9" t="s">
        <v>805</v>
      </c>
      <c r="C1708" s="12" t="str">
        <f>IFERROR(VLOOKUP(TED[[#This Row],[CENTRO]],'CENTRO DE CUSTO'!B:E,4,FALSE)," ")</f>
        <v>S/ SUPERVISOR</v>
      </c>
      <c r="D1708" s="12">
        <v>269</v>
      </c>
      <c r="E1708" s="16">
        <v>269190</v>
      </c>
      <c r="F1708" s="10" t="s">
        <v>804</v>
      </c>
      <c r="G1708" s="10">
        <v>200</v>
      </c>
      <c r="H1708" s="11">
        <v>45337</v>
      </c>
      <c r="I1708" s="10" t="s">
        <v>634</v>
      </c>
      <c r="J1708" s="12" t="str">
        <f>IF(OR(TED[[#This Row],[SITUACAO]]=1,TED[[#This Row],[SITUACAO]]=9,TED[[#This Row],[SITUACAO]]=18),"ATIVO","AFASTADO")</f>
        <v>ATIVO</v>
      </c>
      <c r="K1708" s="12">
        <v>1</v>
      </c>
    </row>
    <row r="1709" spans="1:11" x14ac:dyDescent="0.25">
      <c r="A1709" s="10">
        <v>30611</v>
      </c>
      <c r="B1709" s="9" t="s">
        <v>728</v>
      </c>
      <c r="C1709" s="12" t="str">
        <f>IFERROR(VLOOKUP(TED[[#This Row],[CENTRO]],'CENTRO DE CUSTO'!B:E,4,FALSE)," ")</f>
        <v>S/ SUPERVISOR</v>
      </c>
      <c r="D1709" s="12">
        <v>269</v>
      </c>
      <c r="E1709" s="16">
        <v>269160</v>
      </c>
      <c r="F1709" s="10" t="s">
        <v>727</v>
      </c>
      <c r="G1709" s="10">
        <v>200</v>
      </c>
      <c r="H1709" s="11">
        <v>45337</v>
      </c>
      <c r="I1709" s="10" t="s">
        <v>634</v>
      </c>
      <c r="J1709" s="12" t="str">
        <f>IF(OR(TED[[#This Row],[SITUACAO]]=1,TED[[#This Row],[SITUACAO]]=9,TED[[#This Row],[SITUACAO]]=18),"ATIVO","AFASTADO")</f>
        <v>ATIVO</v>
      </c>
      <c r="K1709" s="12">
        <v>1</v>
      </c>
    </row>
    <row r="1710" spans="1:11" x14ac:dyDescent="0.25">
      <c r="A1710" s="10">
        <v>30967</v>
      </c>
      <c r="B1710" s="9" t="s">
        <v>870</v>
      </c>
      <c r="C1710" s="12" t="str">
        <f>IFERROR(VLOOKUP(TED[[#This Row],[CENTRO]],'CENTRO DE CUSTO'!B:E,4,FALSE)," ")</f>
        <v>CARLOS FABRI</v>
      </c>
      <c r="D1710" s="12">
        <v>269</v>
      </c>
      <c r="E1710" s="16">
        <v>269220</v>
      </c>
      <c r="F1710" s="10" t="s">
        <v>871</v>
      </c>
      <c r="G1710" s="10">
        <v>200</v>
      </c>
      <c r="H1710" s="11">
        <v>45337</v>
      </c>
      <c r="I1710" s="10" t="s">
        <v>634</v>
      </c>
      <c r="J1710" s="12" t="str">
        <f>IF(OR(TED[[#This Row],[SITUACAO]]=1,TED[[#This Row],[SITUACAO]]=9,TED[[#This Row],[SITUACAO]]=18),"ATIVO","AFASTADO")</f>
        <v>ATIVO</v>
      </c>
      <c r="K1710" s="12">
        <v>1</v>
      </c>
    </row>
    <row r="1711" spans="1:11" x14ac:dyDescent="0.25">
      <c r="A1711" s="10">
        <v>45545</v>
      </c>
      <c r="B1711" s="9" t="s">
        <v>2251</v>
      </c>
      <c r="C1711" s="12" t="str">
        <f>IFERROR(VLOOKUP(TED[[#This Row],[CENTRO]],'CENTRO DE CUSTO'!B:E,4,FALSE)," ")</f>
        <v>VANDERSON</v>
      </c>
      <c r="D1711" s="12">
        <v>269</v>
      </c>
      <c r="E1711" s="16">
        <v>269172</v>
      </c>
      <c r="F1711" s="10" t="s">
        <v>758</v>
      </c>
      <c r="G1711" s="10">
        <v>200</v>
      </c>
      <c r="H1711" s="11">
        <v>46153</v>
      </c>
      <c r="I1711" s="10" t="s">
        <v>634</v>
      </c>
      <c r="J1711" s="12" t="str">
        <f>IF(OR(TED[[#This Row],[SITUACAO]]=1,TED[[#This Row],[SITUACAO]]=9,TED[[#This Row],[SITUACAO]]=18),"ATIVO","AFASTADO")</f>
        <v>ATIVO</v>
      </c>
      <c r="K1711" s="12">
        <v>1</v>
      </c>
    </row>
    <row r="1712" spans="1:11" x14ac:dyDescent="0.25">
      <c r="A1712" s="10">
        <v>31051</v>
      </c>
      <c r="B1712" s="9" t="s">
        <v>757</v>
      </c>
      <c r="C1712" s="12" t="str">
        <f>IFERROR(VLOOKUP(TED[[#This Row],[CENTRO]],'CENTRO DE CUSTO'!B:E,4,FALSE)," ")</f>
        <v>VANDERSON</v>
      </c>
      <c r="D1712" s="12">
        <v>269</v>
      </c>
      <c r="E1712" s="16">
        <v>269181</v>
      </c>
      <c r="F1712" s="10" t="s">
        <v>781</v>
      </c>
      <c r="G1712" s="10">
        <v>200</v>
      </c>
      <c r="H1712" s="11">
        <v>45337</v>
      </c>
      <c r="I1712" s="10" t="s">
        <v>634</v>
      </c>
      <c r="J1712" s="12" t="str">
        <f>IF(OR(TED[[#This Row],[SITUACAO]]=1,TED[[#This Row],[SITUACAO]]=9,TED[[#This Row],[SITUACAO]]=18),"ATIVO","AFASTADO")</f>
        <v>ATIVO</v>
      </c>
      <c r="K1712" s="12">
        <v>1</v>
      </c>
    </row>
    <row r="1713" spans="1:11" x14ac:dyDescent="0.25">
      <c r="A1713" s="10">
        <v>30800</v>
      </c>
      <c r="B1713" s="9" t="s">
        <v>683</v>
      </c>
      <c r="C1713" s="12" t="str">
        <f>IFERROR(VLOOKUP(TED[[#This Row],[CENTRO]],'CENTRO DE CUSTO'!B:E,4,FALSE)," ")</f>
        <v>DÉBORA GOBETTI</v>
      </c>
      <c r="D1713" s="12">
        <v>269</v>
      </c>
      <c r="E1713" s="16">
        <v>269142</v>
      </c>
      <c r="F1713" s="10" t="s">
        <v>682</v>
      </c>
      <c r="G1713" s="10">
        <v>200</v>
      </c>
      <c r="H1713" s="11">
        <v>45337</v>
      </c>
      <c r="I1713" s="10" t="s">
        <v>634</v>
      </c>
      <c r="J1713" s="12" t="str">
        <f>IF(OR(TED[[#This Row],[SITUACAO]]=1,TED[[#This Row],[SITUACAO]]=9,TED[[#This Row],[SITUACAO]]=18),"ATIVO","AFASTADO")</f>
        <v>ATIVO</v>
      </c>
      <c r="K1713" s="12">
        <v>1</v>
      </c>
    </row>
    <row r="1714" spans="1:11" x14ac:dyDescent="0.25">
      <c r="A1714" s="10">
        <v>30971</v>
      </c>
      <c r="B1714" s="9" t="s">
        <v>803</v>
      </c>
      <c r="C1714" s="12" t="str">
        <f>IFERROR(VLOOKUP(TED[[#This Row],[CENTRO]],'CENTRO DE CUSTO'!B:E,4,FALSE)," ")</f>
        <v>S/ SUPERVISOR</v>
      </c>
      <c r="D1714" s="12">
        <v>269</v>
      </c>
      <c r="E1714" s="16">
        <v>269190</v>
      </c>
      <c r="F1714" s="10" t="s">
        <v>804</v>
      </c>
      <c r="G1714" s="10">
        <v>200</v>
      </c>
      <c r="H1714" s="11">
        <v>45337</v>
      </c>
      <c r="I1714" s="10" t="s">
        <v>634</v>
      </c>
      <c r="J1714" s="12" t="str">
        <f>IF(OR(TED[[#This Row],[SITUACAO]]=1,TED[[#This Row],[SITUACAO]]=9,TED[[#This Row],[SITUACAO]]=18),"ATIVO","AFASTADO")</f>
        <v>ATIVO</v>
      </c>
      <c r="K1714" s="12">
        <v>1</v>
      </c>
    </row>
    <row r="1715" spans="1:11" x14ac:dyDescent="0.25">
      <c r="A1715" s="10">
        <v>31001</v>
      </c>
      <c r="B1715" s="9" t="s">
        <v>793</v>
      </c>
      <c r="C1715" s="12" t="str">
        <f>IFERROR(VLOOKUP(TED[[#This Row],[CENTRO]],'CENTRO DE CUSTO'!B:E,4,FALSE)," ")</f>
        <v>JOÃO CLEMENTONI</v>
      </c>
      <c r="D1715" s="12">
        <v>269</v>
      </c>
      <c r="E1715" s="16">
        <v>269186</v>
      </c>
      <c r="F1715" s="10" t="s">
        <v>794</v>
      </c>
      <c r="G1715" s="10">
        <v>200</v>
      </c>
      <c r="H1715" s="11">
        <v>45337</v>
      </c>
      <c r="I1715" s="10" t="s">
        <v>634</v>
      </c>
      <c r="J1715" s="12" t="str">
        <f>IF(OR(TED[[#This Row],[SITUACAO]]=1,TED[[#This Row],[SITUACAO]]=9,TED[[#This Row],[SITUACAO]]=18),"ATIVO","AFASTADO")</f>
        <v>ATIVO</v>
      </c>
      <c r="K1715" s="12">
        <v>1</v>
      </c>
    </row>
    <row r="1716" spans="1:11" x14ac:dyDescent="0.25">
      <c r="A1716" s="10">
        <v>44564</v>
      </c>
      <c r="B1716" s="9" t="s">
        <v>2142</v>
      </c>
      <c r="C1716" s="12" t="str">
        <f>IFERROR(VLOOKUP(TED[[#This Row],[CENTRO]],'CENTRO DE CUSTO'!B:E,4,FALSE)," ")</f>
        <v>CARLOS FABRI</v>
      </c>
      <c r="D1716" s="12">
        <v>269</v>
      </c>
      <c r="E1716" s="16">
        <v>269209</v>
      </c>
      <c r="F1716" s="10" t="s">
        <v>849</v>
      </c>
      <c r="G1716" s="10">
        <v>200</v>
      </c>
      <c r="H1716" s="11">
        <v>46097</v>
      </c>
      <c r="I1716" s="10" t="s">
        <v>634</v>
      </c>
      <c r="J1716" s="12" t="str">
        <f>IF(OR(TED[[#This Row],[SITUACAO]]=1,TED[[#This Row],[SITUACAO]]=9,TED[[#This Row],[SITUACAO]]=18),"ATIVO","AFASTADO")</f>
        <v>ATIVO</v>
      </c>
      <c r="K1716" s="12">
        <v>1</v>
      </c>
    </row>
    <row r="1717" spans="1:11" x14ac:dyDescent="0.25">
      <c r="A1717" s="10">
        <v>47435</v>
      </c>
      <c r="B1717" s="9" t="s">
        <v>2367</v>
      </c>
      <c r="C1717" s="12" t="str">
        <f>IFERROR(VLOOKUP(TED[[#This Row],[CENTRO]],'CENTRO DE CUSTO'!B:E,4,FALSE)," ")</f>
        <v>S/ SUPERVISOR</v>
      </c>
      <c r="D1717" s="12">
        <v>269</v>
      </c>
      <c r="E1717" s="16">
        <v>269239</v>
      </c>
      <c r="F1717" s="10" t="s">
        <v>908</v>
      </c>
      <c r="G1717" s="10">
        <v>220</v>
      </c>
      <c r="H1717" s="11">
        <v>46204</v>
      </c>
      <c r="I1717" s="10" t="s">
        <v>634</v>
      </c>
      <c r="J1717" s="12" t="str">
        <f>IF(OR(TED[[#This Row],[SITUACAO]]=1,TED[[#This Row],[SITUACAO]]=9,TED[[#This Row],[SITUACAO]]=18),"ATIVO","AFASTADO")</f>
        <v>ATIVO</v>
      </c>
      <c r="K1717" s="12">
        <v>1</v>
      </c>
    </row>
    <row r="1718" spans="1:11" x14ac:dyDescent="0.25">
      <c r="A1718" s="10">
        <v>30608</v>
      </c>
      <c r="B1718" s="9" t="s">
        <v>779</v>
      </c>
      <c r="C1718" s="12" t="str">
        <f>IFERROR(VLOOKUP(TED[[#This Row],[CENTRO]],'CENTRO DE CUSTO'!B:E,4,FALSE)," ")</f>
        <v>VANDERSON</v>
      </c>
      <c r="D1718" s="12">
        <v>269</v>
      </c>
      <c r="E1718" s="16">
        <v>269180</v>
      </c>
      <c r="F1718" s="10" t="s">
        <v>778</v>
      </c>
      <c r="G1718" s="10">
        <v>200</v>
      </c>
      <c r="H1718" s="11">
        <v>45337</v>
      </c>
      <c r="I1718" s="10" t="s">
        <v>634</v>
      </c>
      <c r="J1718" s="12" t="str">
        <f>IF(OR(TED[[#This Row],[SITUACAO]]=1,TED[[#This Row],[SITUACAO]]=9,TED[[#This Row],[SITUACAO]]=18),"ATIVO","AFASTADO")</f>
        <v>ATIVO</v>
      </c>
      <c r="K1718" s="12">
        <v>1</v>
      </c>
    </row>
    <row r="1719" spans="1:11" x14ac:dyDescent="0.25">
      <c r="A1719" s="10">
        <v>30605</v>
      </c>
      <c r="B1719" s="9" t="s">
        <v>702</v>
      </c>
      <c r="C1719" s="12" t="str">
        <f>IFERROR(VLOOKUP(TED[[#This Row],[CENTRO]],'CENTRO DE CUSTO'!B:E,4,FALSE)," ")</f>
        <v>S/ SUPERVISOR</v>
      </c>
      <c r="D1719" s="12">
        <v>269</v>
      </c>
      <c r="E1719" s="16">
        <v>269150</v>
      </c>
      <c r="F1719" s="10" t="s">
        <v>703</v>
      </c>
      <c r="G1719" s="10">
        <v>200</v>
      </c>
      <c r="H1719" s="11">
        <v>45337</v>
      </c>
      <c r="I1719" s="10" t="s">
        <v>634</v>
      </c>
      <c r="J1719" s="12" t="str">
        <f>IF(OR(TED[[#This Row],[SITUACAO]]=1,TED[[#This Row],[SITUACAO]]=9,TED[[#This Row],[SITUACAO]]=18),"ATIVO","AFASTADO")</f>
        <v>ATIVO</v>
      </c>
      <c r="K1719" s="12">
        <v>1</v>
      </c>
    </row>
    <row r="1720" spans="1:11" x14ac:dyDescent="0.25">
      <c r="A1720" s="10">
        <v>30610</v>
      </c>
      <c r="B1720" s="9" t="s">
        <v>721</v>
      </c>
      <c r="C1720" s="12" t="str">
        <f>IFERROR(VLOOKUP(TED[[#This Row],[CENTRO]],'CENTRO DE CUSTO'!B:E,4,FALSE)," ")</f>
        <v>JOÃO CLEMENTONI</v>
      </c>
      <c r="D1720" s="12">
        <v>269</v>
      </c>
      <c r="E1720" s="16">
        <v>269157</v>
      </c>
      <c r="F1720" s="10" t="s">
        <v>720</v>
      </c>
      <c r="G1720" s="10">
        <v>200</v>
      </c>
      <c r="H1720" s="11">
        <v>45337</v>
      </c>
      <c r="I1720" s="10" t="s">
        <v>634</v>
      </c>
      <c r="J1720" s="12" t="str">
        <f>IF(OR(TED[[#This Row],[SITUACAO]]=1,TED[[#This Row],[SITUACAO]]=9,TED[[#This Row],[SITUACAO]]=18),"ATIVO","AFASTADO")</f>
        <v>ATIVO</v>
      </c>
      <c r="K1720" s="12">
        <v>1</v>
      </c>
    </row>
    <row r="1721" spans="1:11" x14ac:dyDescent="0.25">
      <c r="A1721" s="10">
        <v>30603</v>
      </c>
      <c r="B1721" s="9" t="s">
        <v>677</v>
      </c>
      <c r="C1721" s="12" t="str">
        <f>IFERROR(VLOOKUP(TED[[#This Row],[CENTRO]],'CENTRO DE CUSTO'!B:E,4,FALSE)," ")</f>
        <v>JOÃO CLEMENTONI</v>
      </c>
      <c r="D1721" s="12">
        <v>269</v>
      </c>
      <c r="E1721" s="16">
        <v>269140</v>
      </c>
      <c r="F1721" s="10" t="s">
        <v>678</v>
      </c>
      <c r="G1721" s="10">
        <v>200</v>
      </c>
      <c r="H1721" s="11">
        <v>45337</v>
      </c>
      <c r="I1721" s="10" t="s">
        <v>634</v>
      </c>
      <c r="J1721" s="12" t="str">
        <f>IF(OR(TED[[#This Row],[SITUACAO]]=1,TED[[#This Row],[SITUACAO]]=9,TED[[#This Row],[SITUACAO]]=18),"ATIVO","AFASTADO")</f>
        <v>ATIVO</v>
      </c>
      <c r="K1721" s="12">
        <v>1</v>
      </c>
    </row>
    <row r="1722" spans="1:11" x14ac:dyDescent="0.25">
      <c r="A1722" s="10">
        <v>30931</v>
      </c>
      <c r="B1722" s="9" t="s">
        <v>843</v>
      </c>
      <c r="C1722" s="12" t="str">
        <f>IFERROR(VLOOKUP(TED[[#This Row],[CENTRO]],'CENTRO DE CUSTO'!B:E,4,FALSE)," ")</f>
        <v>CARLOS FABRI</v>
      </c>
      <c r="D1722" s="12">
        <v>269</v>
      </c>
      <c r="E1722" s="16">
        <v>269206</v>
      </c>
      <c r="F1722" s="10" t="s">
        <v>842</v>
      </c>
      <c r="G1722" s="10">
        <v>200</v>
      </c>
      <c r="H1722" s="11">
        <v>45337</v>
      </c>
      <c r="I1722" s="10" t="s">
        <v>634</v>
      </c>
      <c r="J1722" s="12" t="str">
        <f>IF(OR(TED[[#This Row],[SITUACAO]]=1,TED[[#This Row],[SITUACAO]]=9,TED[[#This Row],[SITUACAO]]=18),"ATIVO","AFASTADO")</f>
        <v>ATIVO</v>
      </c>
      <c r="K1722" s="12">
        <v>1</v>
      </c>
    </row>
    <row r="1723" spans="1:11" x14ac:dyDescent="0.25">
      <c r="A1723" s="10">
        <v>31049</v>
      </c>
      <c r="B1723" s="9" t="s">
        <v>855</v>
      </c>
      <c r="C1723" s="12" t="str">
        <f>IFERROR(VLOOKUP(TED[[#This Row],[CENTRO]],'CENTRO DE CUSTO'!B:E,4,FALSE)," ")</f>
        <v>S/ SUPERVISOR</v>
      </c>
      <c r="D1723" s="12">
        <v>269</v>
      </c>
      <c r="E1723" s="16">
        <v>269212</v>
      </c>
      <c r="F1723" s="10" t="s">
        <v>856</v>
      </c>
      <c r="G1723" s="10">
        <v>200</v>
      </c>
      <c r="H1723" s="11">
        <v>45337</v>
      </c>
      <c r="I1723" s="10" t="s">
        <v>634</v>
      </c>
      <c r="J1723" s="12" t="str">
        <f>IF(OR(TED[[#This Row],[SITUACAO]]=1,TED[[#This Row],[SITUACAO]]=9,TED[[#This Row],[SITUACAO]]=18),"ATIVO","AFASTADO")</f>
        <v>ATIVO</v>
      </c>
      <c r="K1723" s="12">
        <v>1</v>
      </c>
    </row>
    <row r="1724" spans="1:11" x14ac:dyDescent="0.25">
      <c r="A1724" s="10">
        <v>33391</v>
      </c>
      <c r="B1724" s="9" t="s">
        <v>857</v>
      </c>
      <c r="C1724" s="12" t="str">
        <f>IFERROR(VLOOKUP(TED[[#This Row],[CENTRO]],'CENTRO DE CUSTO'!B:E,4,FALSE)," ")</f>
        <v>CARLOS FABRI</v>
      </c>
      <c r="D1724" s="12">
        <v>269</v>
      </c>
      <c r="E1724" s="16">
        <v>269213</v>
      </c>
      <c r="F1724" s="10" t="s">
        <v>858</v>
      </c>
      <c r="G1724" s="10">
        <v>200</v>
      </c>
      <c r="H1724" s="11">
        <v>45505</v>
      </c>
      <c r="I1724" s="10" t="s">
        <v>634</v>
      </c>
      <c r="J1724" s="12" t="str">
        <f>IF(OR(TED[[#This Row],[SITUACAO]]=1,TED[[#This Row],[SITUACAO]]=9,TED[[#This Row],[SITUACAO]]=18),"ATIVO","AFASTADO")</f>
        <v>ATIVO</v>
      </c>
      <c r="K1724" s="12">
        <v>1</v>
      </c>
    </row>
    <row r="1725" spans="1:11" x14ac:dyDescent="0.25">
      <c r="A1725" s="10">
        <v>32330</v>
      </c>
      <c r="B1725" s="9" t="s">
        <v>895</v>
      </c>
      <c r="C1725" s="12" t="str">
        <f>IFERROR(VLOOKUP(TED[[#This Row],[CENTRO]],'CENTRO DE CUSTO'!B:E,4,FALSE)," ")</f>
        <v>VANDERSON</v>
      </c>
      <c r="D1725" s="12">
        <v>269</v>
      </c>
      <c r="E1725" s="16">
        <v>269233</v>
      </c>
      <c r="F1725" s="10" t="s">
        <v>896</v>
      </c>
      <c r="G1725" s="10">
        <v>200</v>
      </c>
      <c r="H1725" s="11">
        <v>45414</v>
      </c>
      <c r="I1725" s="10" t="s">
        <v>634</v>
      </c>
      <c r="J1725" s="12" t="str">
        <f>IF(OR(TED[[#This Row],[SITUACAO]]=1,TED[[#This Row],[SITUACAO]]=9,TED[[#This Row],[SITUACAO]]=18),"ATIVO","AFASTADO")</f>
        <v>ATIVO</v>
      </c>
      <c r="K1725" s="12">
        <v>1</v>
      </c>
    </row>
    <row r="1726" spans="1:11" x14ac:dyDescent="0.25">
      <c r="A1726" s="10">
        <v>30794</v>
      </c>
      <c r="B1726" s="9" t="s">
        <v>905</v>
      </c>
      <c r="C1726" s="12" t="str">
        <f>IFERROR(VLOOKUP(TED[[#This Row],[CENTRO]],'CENTRO DE CUSTO'!B:E,4,FALSE)," ")</f>
        <v>DÉBORA GOBETTI</v>
      </c>
      <c r="D1726" s="12">
        <v>269</v>
      </c>
      <c r="E1726" s="16">
        <v>269238</v>
      </c>
      <c r="F1726" s="10" t="s">
        <v>906</v>
      </c>
      <c r="G1726" s="10">
        <v>200</v>
      </c>
      <c r="H1726" s="11">
        <v>45337</v>
      </c>
      <c r="I1726" s="10" t="s">
        <v>634</v>
      </c>
      <c r="J1726" s="12" t="str">
        <f>IF(OR(TED[[#This Row],[SITUACAO]]=1,TED[[#This Row],[SITUACAO]]=9,TED[[#This Row],[SITUACAO]]=18),"ATIVO","AFASTADO")</f>
        <v>ATIVO</v>
      </c>
      <c r="K1726" s="12">
        <v>1</v>
      </c>
    </row>
    <row r="1727" spans="1:11" x14ac:dyDescent="0.25">
      <c r="A1727" s="10">
        <v>39849</v>
      </c>
      <c r="B1727" s="9" t="s">
        <v>638</v>
      </c>
      <c r="C1727" s="12" t="str">
        <f>IFERROR(VLOOKUP(TED[[#This Row],[CENTRO]],'CENTRO DE CUSTO'!B:E,4,FALSE)," ")</f>
        <v>JOÃO CLEMENTONI</v>
      </c>
      <c r="D1727" s="12">
        <v>269</v>
      </c>
      <c r="E1727" s="16">
        <v>269151</v>
      </c>
      <c r="F1727" s="10" t="s">
        <v>705</v>
      </c>
      <c r="G1727" s="10">
        <v>200</v>
      </c>
      <c r="H1727" s="11">
        <v>45874</v>
      </c>
      <c r="I1727" s="10" t="s">
        <v>634</v>
      </c>
      <c r="J1727" s="12" t="str">
        <f>IF(OR(TED[[#This Row],[SITUACAO]]=1,TED[[#This Row],[SITUACAO]]=9,TED[[#This Row],[SITUACAO]]=18),"ATIVO","AFASTADO")</f>
        <v>ATIVO</v>
      </c>
      <c r="K1727" s="12">
        <v>1</v>
      </c>
    </row>
    <row r="1728" spans="1:11" x14ac:dyDescent="0.25">
      <c r="A1728" s="10">
        <v>30961</v>
      </c>
      <c r="B1728" s="9" t="s">
        <v>847</v>
      </c>
      <c r="C1728" s="12" t="str">
        <f>IFERROR(VLOOKUP(TED[[#This Row],[CENTRO]],'CENTRO DE CUSTO'!B:E,4,FALSE)," ")</f>
        <v>CARLOS FABRI</v>
      </c>
      <c r="D1728" s="12">
        <v>269</v>
      </c>
      <c r="E1728" s="16">
        <v>269208</v>
      </c>
      <c r="F1728" s="10" t="s">
        <v>848</v>
      </c>
      <c r="G1728" s="10">
        <v>200</v>
      </c>
      <c r="H1728" s="11">
        <v>45337</v>
      </c>
      <c r="I1728" s="10" t="s">
        <v>634</v>
      </c>
      <c r="J1728" s="12" t="str">
        <f>IF(OR(TED[[#This Row],[SITUACAO]]=1,TED[[#This Row],[SITUACAO]]=9,TED[[#This Row],[SITUACAO]]=18),"ATIVO","AFASTADO")</f>
        <v>ATIVO</v>
      </c>
      <c r="K1728" s="12">
        <v>1</v>
      </c>
    </row>
    <row r="1729" spans="1:11" x14ac:dyDescent="0.25">
      <c r="A1729" s="10">
        <v>31110</v>
      </c>
      <c r="B1729" s="9" t="s">
        <v>739</v>
      </c>
      <c r="C1729" s="12" t="str">
        <f>IFERROR(VLOOKUP(TED[[#This Row],[CENTRO]],'CENTRO DE CUSTO'!B:E,4,FALSE)," ")</f>
        <v>CARLOS FABRI</v>
      </c>
      <c r="D1729" s="12">
        <v>269</v>
      </c>
      <c r="E1729" s="16">
        <v>269165</v>
      </c>
      <c r="F1729" s="10" t="s">
        <v>740</v>
      </c>
      <c r="G1729" s="10">
        <v>200</v>
      </c>
      <c r="H1729" s="11">
        <v>45337</v>
      </c>
      <c r="I1729" s="10" t="s">
        <v>634</v>
      </c>
      <c r="J1729" s="12" t="str">
        <f>IF(OR(TED[[#This Row],[SITUACAO]]=1,TED[[#This Row],[SITUACAO]]=9,TED[[#This Row],[SITUACAO]]=18),"ATIVO","AFASTADO")</f>
        <v>ATIVO</v>
      </c>
      <c r="K1729" s="12">
        <v>1</v>
      </c>
    </row>
    <row r="1730" spans="1:11" x14ac:dyDescent="0.25">
      <c r="A1730" s="10">
        <v>30940</v>
      </c>
      <c r="B1730" s="9" t="s">
        <v>846</v>
      </c>
      <c r="C1730" s="12" t="str">
        <f>IFERROR(VLOOKUP(TED[[#This Row],[CENTRO]],'CENTRO DE CUSTO'!B:E,4,FALSE)," ")</f>
        <v>CARLOS FABRI</v>
      </c>
      <c r="D1730" s="12">
        <v>269</v>
      </c>
      <c r="E1730" s="16">
        <v>269207</v>
      </c>
      <c r="F1730" s="10" t="s">
        <v>845</v>
      </c>
      <c r="G1730" s="10">
        <v>200</v>
      </c>
      <c r="H1730" s="11">
        <v>45337</v>
      </c>
      <c r="I1730" s="10" t="s">
        <v>634</v>
      </c>
      <c r="J1730" s="12" t="str">
        <f>IF(OR(TED[[#This Row],[SITUACAO]]=1,TED[[#This Row],[SITUACAO]]=9,TED[[#This Row],[SITUACAO]]=18),"ATIVO","AFASTADO")</f>
        <v>ATIVO</v>
      </c>
      <c r="K1730" s="12">
        <v>1</v>
      </c>
    </row>
    <row r="1731" spans="1:11" x14ac:dyDescent="0.25">
      <c r="A1731" s="10">
        <v>32316</v>
      </c>
      <c r="B1731" s="9" t="s">
        <v>770</v>
      </c>
      <c r="C1731" s="12" t="str">
        <f>IFERROR(VLOOKUP(TED[[#This Row],[CENTRO]],'CENTRO DE CUSTO'!B:E,4,FALSE)," ")</f>
        <v>S/ SUPERVISOR</v>
      </c>
      <c r="D1731" s="12">
        <v>269</v>
      </c>
      <c r="E1731" s="16">
        <v>269177</v>
      </c>
      <c r="F1731" s="10" t="s">
        <v>771</v>
      </c>
      <c r="G1731" s="10">
        <v>200</v>
      </c>
      <c r="H1731" s="11">
        <v>45414</v>
      </c>
      <c r="I1731" s="10" t="s">
        <v>634</v>
      </c>
      <c r="J1731" s="12" t="str">
        <f>IF(OR(TED[[#This Row],[SITUACAO]]=1,TED[[#This Row],[SITUACAO]]=9,TED[[#This Row],[SITUACAO]]=18),"ATIVO","AFASTADO")</f>
        <v>ATIVO</v>
      </c>
      <c r="K1731" s="12">
        <v>1</v>
      </c>
    </row>
    <row r="1732" spans="1:11" x14ac:dyDescent="0.25">
      <c r="A1732" s="10">
        <v>38784</v>
      </c>
      <c r="B1732" s="9" t="s">
        <v>669</v>
      </c>
      <c r="C1732" s="12" t="str">
        <f>IFERROR(VLOOKUP(TED[[#This Row],[CENTRO]],'CENTRO DE CUSTO'!B:E,4,FALSE)," ")</f>
        <v>VANDERSON</v>
      </c>
      <c r="D1732" s="12">
        <v>269</v>
      </c>
      <c r="E1732" s="16">
        <v>269136</v>
      </c>
      <c r="F1732" s="10" t="s">
        <v>670</v>
      </c>
      <c r="G1732" s="10">
        <v>200</v>
      </c>
      <c r="H1732" s="11">
        <v>45793</v>
      </c>
      <c r="I1732" s="10" t="s">
        <v>634</v>
      </c>
      <c r="J1732" s="12" t="str">
        <f>IF(OR(TED[[#This Row],[SITUACAO]]=1,TED[[#This Row],[SITUACAO]]=9,TED[[#This Row],[SITUACAO]]=18),"ATIVO","AFASTADO")</f>
        <v>ATIVO</v>
      </c>
      <c r="K1732" s="12">
        <v>1</v>
      </c>
    </row>
    <row r="1733" spans="1:11" x14ac:dyDescent="0.25">
      <c r="A1733" s="10">
        <v>30945</v>
      </c>
      <c r="B1733" s="9" t="s">
        <v>821</v>
      </c>
      <c r="C1733" s="12" t="str">
        <f>IFERROR(VLOOKUP(TED[[#This Row],[CENTRO]],'CENTRO DE CUSTO'!B:E,4,FALSE)," ")</f>
        <v>DÉBORA GOBETTI</v>
      </c>
      <c r="D1733" s="12">
        <v>269</v>
      </c>
      <c r="E1733" s="16">
        <v>269155</v>
      </c>
      <c r="F1733" s="10" t="s">
        <v>715</v>
      </c>
      <c r="G1733" s="10">
        <v>200</v>
      </c>
      <c r="H1733" s="11">
        <v>45337</v>
      </c>
      <c r="I1733" s="10" t="s">
        <v>634</v>
      </c>
      <c r="J1733" s="12" t="str">
        <f>IF(OR(TED[[#This Row],[SITUACAO]]=1,TED[[#This Row],[SITUACAO]]=9,TED[[#This Row],[SITUACAO]]=18),"ATIVO","AFASTADO")</f>
        <v>ATIVO</v>
      </c>
      <c r="K1733" s="12">
        <v>1</v>
      </c>
    </row>
    <row r="1734" spans="1:11" x14ac:dyDescent="0.25">
      <c r="A1734" s="10">
        <v>38449</v>
      </c>
      <c r="B1734" s="9" t="s">
        <v>652</v>
      </c>
      <c r="C1734" s="12" t="str">
        <f>IFERROR(VLOOKUP(TED[[#This Row],[CENTRO]],'CENTRO DE CUSTO'!B:E,4,FALSE)," ")</f>
        <v>DÉBORA GOBETTI</v>
      </c>
      <c r="D1734" s="12">
        <v>269</v>
      </c>
      <c r="E1734" s="16">
        <v>269129</v>
      </c>
      <c r="F1734" s="10" t="s">
        <v>653</v>
      </c>
      <c r="G1734" s="10">
        <v>200</v>
      </c>
      <c r="H1734" s="11">
        <v>45771</v>
      </c>
      <c r="I1734" s="10" t="s">
        <v>634</v>
      </c>
      <c r="J1734" s="12" t="str">
        <f>IF(OR(TED[[#This Row],[SITUACAO]]=1,TED[[#This Row],[SITUACAO]]=9,TED[[#This Row],[SITUACAO]]=18),"ATIVO","AFASTADO")</f>
        <v>ATIVO</v>
      </c>
      <c r="K1734" s="12">
        <v>1</v>
      </c>
    </row>
    <row r="1735" spans="1:11" x14ac:dyDescent="0.25">
      <c r="A1735" s="10">
        <v>33793</v>
      </c>
      <c r="B1735" s="9" t="s">
        <v>707</v>
      </c>
      <c r="C1735" s="12" t="str">
        <f>IFERROR(VLOOKUP(TED[[#This Row],[CENTRO]],'CENTRO DE CUSTO'!B:E,4,FALSE)," ")</f>
        <v>DÉBORA GOBETTI</v>
      </c>
      <c r="D1735" s="12">
        <v>269</v>
      </c>
      <c r="E1735" s="16">
        <v>269152</v>
      </c>
      <c r="F1735" s="10" t="s">
        <v>706</v>
      </c>
      <c r="G1735" s="10">
        <v>200</v>
      </c>
      <c r="H1735" s="11">
        <v>45545</v>
      </c>
      <c r="I1735" s="10" t="s">
        <v>634</v>
      </c>
      <c r="J1735" s="12" t="str">
        <f>IF(OR(TED[[#This Row],[SITUACAO]]=1,TED[[#This Row],[SITUACAO]]=9,TED[[#This Row],[SITUACAO]]=18),"ATIVO","AFASTADO")</f>
        <v>ATIVO</v>
      </c>
      <c r="K1735" s="12">
        <v>1</v>
      </c>
    </row>
    <row r="1736" spans="1:11" x14ac:dyDescent="0.25">
      <c r="A1736" s="10">
        <v>38863</v>
      </c>
      <c r="B1736" s="9" t="s">
        <v>809</v>
      </c>
      <c r="C1736" s="12" t="str">
        <f>IFERROR(VLOOKUP(TED[[#This Row],[CENTRO]],'CENTRO DE CUSTO'!B:E,4,FALSE)," ")</f>
        <v>JOÃO CLEMENTONI</v>
      </c>
      <c r="D1736" s="12">
        <v>269</v>
      </c>
      <c r="E1736" s="16">
        <v>269192</v>
      </c>
      <c r="F1736" s="10" t="s">
        <v>810</v>
      </c>
      <c r="G1736" s="10">
        <v>100</v>
      </c>
      <c r="H1736" s="11">
        <v>45800</v>
      </c>
      <c r="I1736" s="10" t="s">
        <v>634</v>
      </c>
      <c r="J1736" s="12" t="str">
        <f>IF(OR(TED[[#This Row],[SITUACAO]]=1,TED[[#This Row],[SITUACAO]]=9,TED[[#This Row],[SITUACAO]]=18),"ATIVO","AFASTADO")</f>
        <v>ATIVO</v>
      </c>
      <c r="K1736" s="12">
        <v>1</v>
      </c>
    </row>
    <row r="1737" spans="1:11" x14ac:dyDescent="0.25">
      <c r="A1737" s="10">
        <v>30680</v>
      </c>
      <c r="B1737" s="9" t="s">
        <v>649</v>
      </c>
      <c r="C1737" s="12" t="str">
        <f>IFERROR(VLOOKUP(TED[[#This Row],[CENTRO]],'CENTRO DE CUSTO'!B:E,4,FALSE)," ")</f>
        <v>S/ SUPERVISOR</v>
      </c>
      <c r="D1737" s="12">
        <v>269</v>
      </c>
      <c r="E1737" s="16">
        <v>269127</v>
      </c>
      <c r="F1737" s="10" t="s">
        <v>648</v>
      </c>
      <c r="G1737" s="10">
        <v>200</v>
      </c>
      <c r="H1737" s="11">
        <v>45337</v>
      </c>
      <c r="I1737" s="10" t="s">
        <v>634</v>
      </c>
      <c r="J1737" s="12" t="str">
        <f>IF(OR(TED[[#This Row],[SITUACAO]]=1,TED[[#This Row],[SITUACAO]]=9,TED[[#This Row],[SITUACAO]]=18),"ATIVO","AFASTADO")</f>
        <v>ATIVO</v>
      </c>
      <c r="K1737" s="12">
        <v>1</v>
      </c>
    </row>
    <row r="1738" spans="1:11" x14ac:dyDescent="0.25">
      <c r="A1738" s="10">
        <v>35036</v>
      </c>
      <c r="B1738" s="9" t="s">
        <v>788</v>
      </c>
      <c r="C1738" s="12" t="str">
        <f>IFERROR(VLOOKUP(TED[[#This Row],[CENTRO]],'CENTRO DE CUSTO'!B:E,4,FALSE)," ")</f>
        <v>VANDERSON</v>
      </c>
      <c r="D1738" s="12">
        <v>269</v>
      </c>
      <c r="E1738" s="16">
        <v>269171</v>
      </c>
      <c r="F1738" s="10" t="s">
        <v>756</v>
      </c>
      <c r="G1738" s="10">
        <v>200</v>
      </c>
      <c r="H1738" s="11">
        <v>45677</v>
      </c>
      <c r="I1738" s="10" t="s">
        <v>634</v>
      </c>
      <c r="J1738" s="12" t="str">
        <f>IF(OR(TED[[#This Row],[SITUACAO]]=1,TED[[#This Row],[SITUACAO]]=9,TED[[#This Row],[SITUACAO]]=18),"ATIVO","AFASTADO")</f>
        <v>ATIVO</v>
      </c>
      <c r="K1738" s="12">
        <v>1</v>
      </c>
    </row>
    <row r="1739" spans="1:11" x14ac:dyDescent="0.25">
      <c r="A1739" s="10">
        <v>30827</v>
      </c>
      <c r="B1739" s="9" t="s">
        <v>674</v>
      </c>
      <c r="C1739" s="12" t="str">
        <f>IFERROR(VLOOKUP(TED[[#This Row],[CENTRO]],'CENTRO DE CUSTO'!B:E,4,FALSE)," ")</f>
        <v>CARLOS FABRI</v>
      </c>
      <c r="D1739" s="12">
        <v>269</v>
      </c>
      <c r="E1739" s="16">
        <v>269138</v>
      </c>
      <c r="F1739" s="10" t="s">
        <v>675</v>
      </c>
      <c r="G1739" s="10">
        <v>200</v>
      </c>
      <c r="H1739" s="11">
        <v>45337</v>
      </c>
      <c r="I1739" s="10" t="s">
        <v>634</v>
      </c>
      <c r="J1739" s="12" t="str">
        <f>IF(OR(TED[[#This Row],[SITUACAO]]=1,TED[[#This Row],[SITUACAO]]=9,TED[[#This Row],[SITUACAO]]=18),"ATIVO","AFASTADO")</f>
        <v>ATIVO</v>
      </c>
      <c r="K1739" s="12">
        <v>1</v>
      </c>
    </row>
    <row r="1740" spans="1:11" x14ac:dyDescent="0.25">
      <c r="A1740" s="10">
        <v>31070</v>
      </c>
      <c r="B1740" s="9" t="s">
        <v>671</v>
      </c>
      <c r="C1740" s="12" t="str">
        <f>IFERROR(VLOOKUP(TED[[#This Row],[CENTRO]],'CENTRO DE CUSTO'!B:E,4,FALSE)," ")</f>
        <v>VANDERSON</v>
      </c>
      <c r="D1740" s="12">
        <v>269</v>
      </c>
      <c r="E1740" s="16">
        <v>269136</v>
      </c>
      <c r="F1740" s="10" t="s">
        <v>670</v>
      </c>
      <c r="G1740" s="10">
        <v>200</v>
      </c>
      <c r="H1740" s="11">
        <v>45337</v>
      </c>
      <c r="I1740" s="10" t="s">
        <v>634</v>
      </c>
      <c r="J1740" s="12" t="str">
        <f>IF(OR(TED[[#This Row],[SITUACAO]]=1,TED[[#This Row],[SITUACAO]]=9,TED[[#This Row],[SITUACAO]]=18),"ATIVO","AFASTADO")</f>
        <v>AFASTADO</v>
      </c>
      <c r="K1740" s="12">
        <v>6</v>
      </c>
    </row>
    <row r="1741" spans="1:11" x14ac:dyDescent="0.25">
      <c r="A1741" s="10">
        <v>35750</v>
      </c>
      <c r="B1741" s="9" t="s">
        <v>1772</v>
      </c>
      <c r="C1741" s="12" t="str">
        <f>IFERROR(VLOOKUP(TED[[#This Row],[CENTRO]],'CENTRO DE CUSTO'!B:E,4,FALSE)," ")</f>
        <v>FABIANO</v>
      </c>
      <c r="D1741" s="12">
        <v>279</v>
      </c>
      <c r="E1741" s="16">
        <v>279000</v>
      </c>
      <c r="F1741" s="10" t="s">
        <v>1966</v>
      </c>
      <c r="G1741" s="10">
        <v>220</v>
      </c>
      <c r="H1741" s="11">
        <v>45689</v>
      </c>
      <c r="I1741" s="10" t="s">
        <v>958</v>
      </c>
      <c r="J1741" s="12" t="str">
        <f>IF(OR(TED[[#This Row],[SITUACAO]]=1,TED[[#This Row],[SITUACAO]]=9,TED[[#This Row],[SITUACAO]]=18),"ATIVO","AFASTADO")</f>
        <v>ATIVO</v>
      </c>
      <c r="K1741" s="12">
        <v>1</v>
      </c>
    </row>
    <row r="1742" spans="1:11" x14ac:dyDescent="0.25">
      <c r="A1742" s="10">
        <v>46021</v>
      </c>
      <c r="B1742" s="9" t="s">
        <v>2368</v>
      </c>
      <c r="C1742" s="12" t="str">
        <f>IFERROR(VLOOKUP(TED[[#This Row],[CENTRO]],'CENTRO DE CUSTO'!B:E,4,FALSE)," ")</f>
        <v>FABIANO</v>
      </c>
      <c r="D1742" s="12">
        <v>279</v>
      </c>
      <c r="E1742" s="16">
        <v>279000</v>
      </c>
      <c r="F1742" s="10" t="s">
        <v>1966</v>
      </c>
      <c r="G1742" s="10">
        <v>220</v>
      </c>
      <c r="H1742" s="11">
        <v>46176</v>
      </c>
      <c r="I1742" s="10" t="s">
        <v>958</v>
      </c>
      <c r="J1742" s="12" t="str">
        <f>IF(OR(TED[[#This Row],[SITUACAO]]=1,TED[[#This Row],[SITUACAO]]=9,TED[[#This Row],[SITUACAO]]=18),"ATIVO","AFASTADO")</f>
        <v>ATIVO</v>
      </c>
      <c r="K1742" s="12">
        <v>1</v>
      </c>
    </row>
    <row r="1743" spans="1:11" x14ac:dyDescent="0.25">
      <c r="A1743" s="10">
        <v>42021</v>
      </c>
      <c r="B1743" s="9" t="s">
        <v>1779</v>
      </c>
      <c r="C1743" s="12" t="str">
        <f>IFERROR(VLOOKUP(TED[[#This Row],[CENTRO]],'CENTRO DE CUSTO'!B:E,4,FALSE)," ")</f>
        <v>FABIANO</v>
      </c>
      <c r="D1743" s="12">
        <v>279</v>
      </c>
      <c r="E1743" s="16">
        <v>279001</v>
      </c>
      <c r="F1743" s="10" t="s">
        <v>1967</v>
      </c>
      <c r="G1743" s="10">
        <v>220</v>
      </c>
      <c r="H1743" s="11">
        <v>45967</v>
      </c>
      <c r="I1743" s="10" t="s">
        <v>958</v>
      </c>
      <c r="J1743" s="12" t="str">
        <f>IF(OR(TED[[#This Row],[SITUACAO]]=1,TED[[#This Row],[SITUACAO]]=9,TED[[#This Row],[SITUACAO]]=18),"ATIVO","AFASTADO")</f>
        <v>ATIVO</v>
      </c>
      <c r="K1743" s="12">
        <v>1</v>
      </c>
    </row>
    <row r="1744" spans="1:11" x14ac:dyDescent="0.25">
      <c r="A1744" s="10">
        <v>39364</v>
      </c>
      <c r="B1744" s="9" t="s">
        <v>1787</v>
      </c>
      <c r="C1744" s="12" t="str">
        <f>IFERROR(VLOOKUP(TED[[#This Row],[CENTRO]],'CENTRO DE CUSTO'!B:E,4,FALSE)," ")</f>
        <v>FABIANO</v>
      </c>
      <c r="D1744" s="12">
        <v>279</v>
      </c>
      <c r="E1744" s="16">
        <v>279001</v>
      </c>
      <c r="F1744" s="10" t="s">
        <v>1967</v>
      </c>
      <c r="G1744" s="10">
        <v>220</v>
      </c>
      <c r="H1744" s="11">
        <v>45843</v>
      </c>
      <c r="I1744" s="10" t="s">
        <v>934</v>
      </c>
      <c r="J1744" s="12" t="str">
        <f>IF(OR(TED[[#This Row],[SITUACAO]]=1,TED[[#This Row],[SITUACAO]]=9,TED[[#This Row],[SITUACAO]]=18),"ATIVO","AFASTADO")</f>
        <v>ATIVO</v>
      </c>
      <c r="K1744" s="12">
        <v>1</v>
      </c>
    </row>
    <row r="1745" spans="1:11" x14ac:dyDescent="0.25">
      <c r="A1745" s="10">
        <v>44619</v>
      </c>
      <c r="B1745" s="9" t="s">
        <v>2143</v>
      </c>
      <c r="C1745" s="12" t="str">
        <f>IFERROR(VLOOKUP(TED[[#This Row],[CENTRO]],'CENTRO DE CUSTO'!B:E,4,FALSE)," ")</f>
        <v>FABIANO</v>
      </c>
      <c r="D1745" s="12">
        <v>279</v>
      </c>
      <c r="E1745" s="16">
        <v>279000</v>
      </c>
      <c r="F1745" s="10" t="s">
        <v>1966</v>
      </c>
      <c r="G1745" s="10">
        <v>220</v>
      </c>
      <c r="H1745" s="11">
        <v>46099</v>
      </c>
      <c r="I1745" s="10" t="s">
        <v>958</v>
      </c>
      <c r="J1745" s="12" t="str">
        <f>IF(OR(TED[[#This Row],[SITUACAO]]=1,TED[[#This Row],[SITUACAO]]=9,TED[[#This Row],[SITUACAO]]=18),"ATIVO","AFASTADO")</f>
        <v>ATIVO</v>
      </c>
      <c r="K1745" s="12">
        <v>1</v>
      </c>
    </row>
    <row r="1746" spans="1:11" x14ac:dyDescent="0.25">
      <c r="A1746" s="10">
        <v>46129</v>
      </c>
      <c r="B1746" s="9" t="s">
        <v>2369</v>
      </c>
      <c r="C1746" s="12" t="str">
        <f>IFERROR(VLOOKUP(TED[[#This Row],[CENTRO]],'CENTRO DE CUSTO'!B:E,4,FALSE)," ")</f>
        <v>FABIANO</v>
      </c>
      <c r="D1746" s="12">
        <v>279</v>
      </c>
      <c r="E1746" s="16">
        <v>279000</v>
      </c>
      <c r="F1746" s="10" t="s">
        <v>1966</v>
      </c>
      <c r="G1746" s="10">
        <v>220</v>
      </c>
      <c r="H1746" s="11">
        <v>46183</v>
      </c>
      <c r="I1746" s="10" t="s">
        <v>958</v>
      </c>
      <c r="J1746" s="12" t="str">
        <f>IF(OR(TED[[#This Row],[SITUACAO]]=1,TED[[#This Row],[SITUACAO]]=9,TED[[#This Row],[SITUACAO]]=18),"ATIVO","AFASTADO")</f>
        <v>ATIVO</v>
      </c>
      <c r="K1746" s="12">
        <v>1</v>
      </c>
    </row>
    <row r="1747" spans="1:11" x14ac:dyDescent="0.25">
      <c r="A1747" s="10">
        <v>37587</v>
      </c>
      <c r="B1747" s="9" t="s">
        <v>1773</v>
      </c>
      <c r="C1747" s="12" t="str">
        <f>IFERROR(VLOOKUP(TED[[#This Row],[CENTRO]],'CENTRO DE CUSTO'!B:E,4,FALSE)," ")</f>
        <v>FABIANO</v>
      </c>
      <c r="D1747" s="12">
        <v>279</v>
      </c>
      <c r="E1747" s="16">
        <v>279000</v>
      </c>
      <c r="F1747" s="10" t="s">
        <v>1966</v>
      </c>
      <c r="G1747" s="10">
        <v>220</v>
      </c>
      <c r="H1747" s="11">
        <v>45727</v>
      </c>
      <c r="I1747" s="10" t="s">
        <v>958</v>
      </c>
      <c r="J1747" s="12" t="str">
        <f>IF(OR(TED[[#This Row],[SITUACAO]]=1,TED[[#This Row],[SITUACAO]]=9,TED[[#This Row],[SITUACAO]]=18),"ATIVO","AFASTADO")</f>
        <v>AFASTADO</v>
      </c>
      <c r="K1747" s="12">
        <v>3</v>
      </c>
    </row>
    <row r="1748" spans="1:11" x14ac:dyDescent="0.25">
      <c r="A1748" s="10">
        <v>43904</v>
      </c>
      <c r="B1748" s="9" t="s">
        <v>2102</v>
      </c>
      <c r="C1748" s="12" t="str">
        <f>IFERROR(VLOOKUP(TED[[#This Row],[CENTRO]],'CENTRO DE CUSTO'!B:E,4,FALSE)," ")</f>
        <v>FABIANO</v>
      </c>
      <c r="D1748" s="12">
        <v>279</v>
      </c>
      <c r="E1748" s="16">
        <v>279000</v>
      </c>
      <c r="F1748" s="10" t="s">
        <v>1966</v>
      </c>
      <c r="G1748" s="10">
        <v>220</v>
      </c>
      <c r="H1748" s="11">
        <v>46064</v>
      </c>
      <c r="I1748" s="10" t="s">
        <v>958</v>
      </c>
      <c r="J1748" s="12" t="str">
        <f>IF(OR(TED[[#This Row],[SITUACAO]]=1,TED[[#This Row],[SITUACAO]]=9,TED[[#This Row],[SITUACAO]]=18),"ATIVO","AFASTADO")</f>
        <v>ATIVO</v>
      </c>
      <c r="K1748" s="12">
        <v>1</v>
      </c>
    </row>
    <row r="1749" spans="1:11" x14ac:dyDescent="0.25">
      <c r="A1749" s="10">
        <v>44637</v>
      </c>
      <c r="B1749" s="9" t="s">
        <v>2161</v>
      </c>
      <c r="C1749" s="12" t="str">
        <f>IFERROR(VLOOKUP(TED[[#This Row],[CENTRO]],'CENTRO DE CUSTO'!B:E,4,FALSE)," ")</f>
        <v>FABIANO</v>
      </c>
      <c r="D1749" s="12">
        <v>279</v>
      </c>
      <c r="E1749" s="16">
        <v>279001</v>
      </c>
      <c r="F1749" s="10" t="s">
        <v>1967</v>
      </c>
      <c r="G1749" s="10">
        <v>220</v>
      </c>
      <c r="H1749" s="11">
        <v>46100</v>
      </c>
      <c r="I1749" s="10" t="s">
        <v>958</v>
      </c>
      <c r="J1749" s="12" t="str">
        <f>IF(OR(TED[[#This Row],[SITUACAO]]=1,TED[[#This Row],[SITUACAO]]=9,TED[[#This Row],[SITUACAO]]=18),"ATIVO","AFASTADO")</f>
        <v>ATIVO</v>
      </c>
      <c r="K1749" s="12">
        <v>1</v>
      </c>
    </row>
    <row r="1750" spans="1:11" x14ac:dyDescent="0.25">
      <c r="A1750" s="10">
        <v>43062</v>
      </c>
      <c r="B1750" s="9" t="s">
        <v>1771</v>
      </c>
      <c r="C1750" s="12" t="str">
        <f>IFERROR(VLOOKUP(TED[[#This Row],[CENTRO]],'CENTRO DE CUSTO'!B:E,4,FALSE)," ")</f>
        <v>FABIANO</v>
      </c>
      <c r="D1750" s="12">
        <v>279</v>
      </c>
      <c r="E1750" s="16">
        <v>279000</v>
      </c>
      <c r="F1750" s="10" t="s">
        <v>1966</v>
      </c>
      <c r="G1750" s="10">
        <v>220</v>
      </c>
      <c r="H1750" s="11">
        <v>46004</v>
      </c>
      <c r="I1750" s="10" t="s">
        <v>958</v>
      </c>
      <c r="J1750" s="12" t="str">
        <f>IF(OR(TED[[#This Row],[SITUACAO]]=1,TED[[#This Row],[SITUACAO]]=9,TED[[#This Row],[SITUACAO]]=18),"ATIVO","AFASTADO")</f>
        <v>ATIVO</v>
      </c>
      <c r="K1750" s="12">
        <v>1</v>
      </c>
    </row>
    <row r="1751" spans="1:11" x14ac:dyDescent="0.25">
      <c r="A1751" s="10">
        <v>45025</v>
      </c>
      <c r="B1751" s="9" t="s">
        <v>2195</v>
      </c>
      <c r="C1751" s="12" t="str">
        <f>IFERROR(VLOOKUP(TED[[#This Row],[CENTRO]],'CENTRO DE CUSTO'!B:E,4,FALSE)," ")</f>
        <v>FABIANO</v>
      </c>
      <c r="D1751" s="12">
        <v>279</v>
      </c>
      <c r="E1751" s="16">
        <v>279000</v>
      </c>
      <c r="F1751" s="10" t="s">
        <v>1966</v>
      </c>
      <c r="G1751" s="10">
        <v>220</v>
      </c>
      <c r="H1751" s="11">
        <v>46121</v>
      </c>
      <c r="I1751" s="10" t="s">
        <v>958</v>
      </c>
      <c r="J1751" s="12" t="str">
        <f>IF(OR(TED[[#This Row],[SITUACAO]]=1,TED[[#This Row],[SITUACAO]]=9,TED[[#This Row],[SITUACAO]]=18),"ATIVO","AFASTADO")</f>
        <v>ATIVO</v>
      </c>
      <c r="K1751" s="12">
        <v>1</v>
      </c>
    </row>
    <row r="1752" spans="1:11" x14ac:dyDescent="0.25">
      <c r="A1752" s="10">
        <v>44520</v>
      </c>
      <c r="B1752" s="9" t="s">
        <v>2146</v>
      </c>
      <c r="C1752" s="12" t="str">
        <f>IFERROR(VLOOKUP(TED[[#This Row],[CENTRO]],'CENTRO DE CUSTO'!B:E,4,FALSE)," ")</f>
        <v>FABIANO</v>
      </c>
      <c r="D1752" s="12">
        <v>279</v>
      </c>
      <c r="E1752" s="16">
        <v>279000</v>
      </c>
      <c r="F1752" s="10" t="s">
        <v>1966</v>
      </c>
      <c r="G1752" s="10">
        <v>220</v>
      </c>
      <c r="H1752" s="11">
        <v>46094</v>
      </c>
      <c r="I1752" s="10" t="s">
        <v>947</v>
      </c>
      <c r="J1752" s="12" t="str">
        <f>IF(OR(TED[[#This Row],[SITUACAO]]=1,TED[[#This Row],[SITUACAO]]=9,TED[[#This Row],[SITUACAO]]=18),"ATIVO","AFASTADO")</f>
        <v>ATIVO</v>
      </c>
      <c r="K1752" s="12">
        <v>1</v>
      </c>
    </row>
    <row r="1753" spans="1:11" x14ac:dyDescent="0.25">
      <c r="A1753" s="10">
        <v>34383</v>
      </c>
      <c r="B1753" s="9" t="s">
        <v>1775</v>
      </c>
      <c r="C1753" s="12" t="str">
        <f>IFERROR(VLOOKUP(TED[[#This Row],[CENTRO]],'CENTRO DE CUSTO'!B:E,4,FALSE)," ")</f>
        <v>FABIANO</v>
      </c>
      <c r="D1753" s="12">
        <v>279</v>
      </c>
      <c r="E1753" s="16">
        <v>279000</v>
      </c>
      <c r="F1753" s="10" t="s">
        <v>1966</v>
      </c>
      <c r="G1753" s="10">
        <v>220</v>
      </c>
      <c r="H1753" s="11">
        <v>45584</v>
      </c>
      <c r="I1753" s="10" t="s">
        <v>958</v>
      </c>
      <c r="J1753" s="12" t="str">
        <f>IF(OR(TED[[#This Row],[SITUACAO]]=1,TED[[#This Row],[SITUACAO]]=9,TED[[#This Row],[SITUACAO]]=18),"ATIVO","AFASTADO")</f>
        <v>ATIVO</v>
      </c>
      <c r="K1753" s="12">
        <v>1</v>
      </c>
    </row>
    <row r="1754" spans="1:11" x14ac:dyDescent="0.25">
      <c r="A1754" s="10">
        <v>44578</v>
      </c>
      <c r="B1754" s="9" t="s">
        <v>2145</v>
      </c>
      <c r="C1754" s="12" t="str">
        <f>IFERROR(VLOOKUP(TED[[#This Row],[CENTRO]],'CENTRO DE CUSTO'!B:E,4,FALSE)," ")</f>
        <v>FABIANO</v>
      </c>
      <c r="D1754" s="12">
        <v>279</v>
      </c>
      <c r="E1754" s="16">
        <v>279000</v>
      </c>
      <c r="F1754" s="10" t="s">
        <v>1966</v>
      </c>
      <c r="G1754" s="10">
        <v>220</v>
      </c>
      <c r="H1754" s="11">
        <v>46098</v>
      </c>
      <c r="I1754" s="10" t="s">
        <v>958</v>
      </c>
      <c r="J1754" s="12" t="str">
        <f>IF(OR(TED[[#This Row],[SITUACAO]]=1,TED[[#This Row],[SITUACAO]]=9,TED[[#This Row],[SITUACAO]]=18),"ATIVO","AFASTADO")</f>
        <v>AFASTADO</v>
      </c>
      <c r="K1754" s="12">
        <v>12</v>
      </c>
    </row>
    <row r="1755" spans="1:11" x14ac:dyDescent="0.25">
      <c r="A1755" s="10">
        <v>34523</v>
      </c>
      <c r="B1755" s="9" t="s">
        <v>1778</v>
      </c>
      <c r="C1755" s="12" t="str">
        <f>IFERROR(VLOOKUP(TED[[#This Row],[CENTRO]],'CENTRO DE CUSTO'!B:E,4,FALSE)," ")</f>
        <v>FABIANO</v>
      </c>
      <c r="D1755" s="12">
        <v>279</v>
      </c>
      <c r="E1755" s="16">
        <v>279000</v>
      </c>
      <c r="F1755" s="10" t="s">
        <v>1966</v>
      </c>
      <c r="G1755" s="10">
        <v>220</v>
      </c>
      <c r="H1755" s="11">
        <v>45597</v>
      </c>
      <c r="I1755" s="10" t="s">
        <v>934</v>
      </c>
      <c r="J1755" s="12" t="str">
        <f>IF(OR(TED[[#This Row],[SITUACAO]]=1,TED[[#This Row],[SITUACAO]]=9,TED[[#This Row],[SITUACAO]]=18),"ATIVO","AFASTADO")</f>
        <v>ATIVO</v>
      </c>
      <c r="K1755" s="12">
        <v>1</v>
      </c>
    </row>
    <row r="1756" spans="1:11" x14ac:dyDescent="0.25">
      <c r="A1756" s="10">
        <v>37608</v>
      </c>
      <c r="B1756" s="9" t="s">
        <v>1784</v>
      </c>
      <c r="C1756" s="12" t="str">
        <f>IFERROR(VLOOKUP(TED[[#This Row],[CENTRO]],'CENTRO DE CUSTO'!B:E,4,FALSE)," ")</f>
        <v>FABIANO</v>
      </c>
      <c r="D1756" s="12">
        <v>279</v>
      </c>
      <c r="E1756" s="16">
        <v>279001</v>
      </c>
      <c r="F1756" s="10" t="s">
        <v>1967</v>
      </c>
      <c r="G1756" s="10">
        <v>220</v>
      </c>
      <c r="H1756" s="11">
        <v>45728</v>
      </c>
      <c r="I1756" s="10" t="s">
        <v>958</v>
      </c>
      <c r="J1756" s="12" t="str">
        <f>IF(OR(TED[[#This Row],[SITUACAO]]=1,TED[[#This Row],[SITUACAO]]=9,TED[[#This Row],[SITUACAO]]=18),"ATIVO","AFASTADO")</f>
        <v>ATIVO</v>
      </c>
      <c r="K1756" s="12">
        <v>1</v>
      </c>
    </row>
    <row r="1757" spans="1:11" x14ac:dyDescent="0.25">
      <c r="A1757" s="10">
        <v>45525</v>
      </c>
      <c r="B1757" s="9" t="s">
        <v>2257</v>
      </c>
      <c r="C1757" s="12" t="str">
        <f>IFERROR(VLOOKUP(TED[[#This Row],[CENTRO]],'CENTRO DE CUSTO'!B:E,4,FALSE)," ")</f>
        <v>FABIANO</v>
      </c>
      <c r="D1757" s="12">
        <v>279</v>
      </c>
      <c r="E1757" s="16">
        <v>279000</v>
      </c>
      <c r="F1757" s="10" t="s">
        <v>1966</v>
      </c>
      <c r="G1757" s="10">
        <v>220</v>
      </c>
      <c r="H1757" s="11">
        <v>46150</v>
      </c>
      <c r="I1757" s="10" t="s">
        <v>958</v>
      </c>
      <c r="J1757" s="12" t="str">
        <f>IF(OR(TED[[#This Row],[SITUACAO]]=1,TED[[#This Row],[SITUACAO]]=9,TED[[#This Row],[SITUACAO]]=18),"ATIVO","AFASTADO")</f>
        <v>ATIVO</v>
      </c>
      <c r="K1757" s="12">
        <v>1</v>
      </c>
    </row>
    <row r="1758" spans="1:11" x14ac:dyDescent="0.25">
      <c r="A1758" s="10">
        <v>46009</v>
      </c>
      <c r="B1758" s="9" t="s">
        <v>2370</v>
      </c>
      <c r="C1758" s="12" t="str">
        <f>IFERROR(VLOOKUP(TED[[#This Row],[CENTRO]],'CENTRO DE CUSTO'!B:E,4,FALSE)," ")</f>
        <v>FABIANO</v>
      </c>
      <c r="D1758" s="12">
        <v>279</v>
      </c>
      <c r="E1758" s="16">
        <v>279000</v>
      </c>
      <c r="F1758" s="10" t="s">
        <v>1966</v>
      </c>
      <c r="G1758" s="10">
        <v>220</v>
      </c>
      <c r="H1758" s="11">
        <v>46175</v>
      </c>
      <c r="I1758" s="10" t="s">
        <v>958</v>
      </c>
      <c r="J1758" s="12" t="str">
        <f>IF(OR(TED[[#This Row],[SITUACAO]]=1,TED[[#This Row],[SITUACAO]]=9,TED[[#This Row],[SITUACAO]]=18),"ATIVO","AFASTADO")</f>
        <v>ATIVO</v>
      </c>
      <c r="K1758" s="12">
        <v>1</v>
      </c>
    </row>
    <row r="1759" spans="1:11" x14ac:dyDescent="0.25">
      <c r="A1759" s="10">
        <v>37130</v>
      </c>
      <c r="B1759" s="9" t="s">
        <v>1769</v>
      </c>
      <c r="C1759" s="12" t="str">
        <f>IFERROR(VLOOKUP(TED[[#This Row],[CENTRO]],'CENTRO DE CUSTO'!B:E,4,FALSE)," ")</f>
        <v>FABIANO</v>
      </c>
      <c r="D1759" s="12">
        <v>279</v>
      </c>
      <c r="E1759" s="16">
        <v>279000</v>
      </c>
      <c r="F1759" s="10" t="s">
        <v>1966</v>
      </c>
      <c r="G1759" s="10">
        <v>220</v>
      </c>
      <c r="H1759" s="11">
        <v>45705</v>
      </c>
      <c r="I1759" s="10" t="s">
        <v>612</v>
      </c>
      <c r="J1759" s="12" t="str">
        <f>IF(OR(TED[[#This Row],[SITUACAO]]=1,TED[[#This Row],[SITUACAO]]=9,TED[[#This Row],[SITUACAO]]=18),"ATIVO","AFASTADO")</f>
        <v>ATIVO</v>
      </c>
      <c r="K1759" s="12">
        <v>1</v>
      </c>
    </row>
    <row r="1760" spans="1:11" x14ac:dyDescent="0.25">
      <c r="A1760" s="10">
        <v>37884</v>
      </c>
      <c r="B1760" s="9" t="s">
        <v>1788</v>
      </c>
      <c r="C1760" s="12" t="str">
        <f>IFERROR(VLOOKUP(TED[[#This Row],[CENTRO]],'CENTRO DE CUSTO'!B:E,4,FALSE)," ")</f>
        <v>FABIANO</v>
      </c>
      <c r="D1760" s="12">
        <v>279</v>
      </c>
      <c r="E1760" s="16">
        <v>279001</v>
      </c>
      <c r="F1760" s="10" t="s">
        <v>1967</v>
      </c>
      <c r="G1760" s="10">
        <v>220</v>
      </c>
      <c r="H1760" s="11">
        <v>45738</v>
      </c>
      <c r="I1760" s="10" t="s">
        <v>934</v>
      </c>
      <c r="J1760" s="12" t="str">
        <f>IF(OR(TED[[#This Row],[SITUACAO]]=1,TED[[#This Row],[SITUACAO]]=9,TED[[#This Row],[SITUACAO]]=18),"ATIVO","AFASTADO")</f>
        <v>ATIVO</v>
      </c>
      <c r="K1760" s="12">
        <v>1</v>
      </c>
    </row>
    <row r="1761" spans="1:11" x14ac:dyDescent="0.25">
      <c r="A1761" s="10">
        <v>44455</v>
      </c>
      <c r="B1761" s="9" t="s">
        <v>2126</v>
      </c>
      <c r="C1761" s="12" t="str">
        <f>IFERROR(VLOOKUP(TED[[#This Row],[CENTRO]],'CENTRO DE CUSTO'!B:E,4,FALSE)," ")</f>
        <v>FABIANO</v>
      </c>
      <c r="D1761" s="12">
        <v>279</v>
      </c>
      <c r="E1761" s="16">
        <v>279001</v>
      </c>
      <c r="F1761" s="10" t="s">
        <v>1967</v>
      </c>
      <c r="G1761" s="10">
        <v>220</v>
      </c>
      <c r="H1761" s="11">
        <v>46091</v>
      </c>
      <c r="I1761" s="10" t="s">
        <v>934</v>
      </c>
      <c r="J1761" s="12" t="str">
        <f>IF(OR(TED[[#This Row],[SITUACAO]]=1,TED[[#This Row],[SITUACAO]]=9,TED[[#This Row],[SITUACAO]]=18),"ATIVO","AFASTADO")</f>
        <v>ATIVO</v>
      </c>
      <c r="K1761" s="12">
        <v>1</v>
      </c>
    </row>
    <row r="1762" spans="1:11" x14ac:dyDescent="0.25">
      <c r="A1762" s="10">
        <v>44329</v>
      </c>
      <c r="B1762" s="9" t="s">
        <v>2110</v>
      </c>
      <c r="C1762" s="12" t="str">
        <f>IFERROR(VLOOKUP(TED[[#This Row],[CENTRO]],'CENTRO DE CUSTO'!B:E,4,FALSE)," ")</f>
        <v>FABIANO</v>
      </c>
      <c r="D1762" s="12">
        <v>279</v>
      </c>
      <c r="E1762" s="16">
        <v>279001</v>
      </c>
      <c r="F1762" s="10" t="s">
        <v>1967</v>
      </c>
      <c r="G1762" s="10">
        <v>220</v>
      </c>
      <c r="H1762" s="11">
        <v>46084</v>
      </c>
      <c r="I1762" s="10" t="s">
        <v>958</v>
      </c>
      <c r="J1762" s="12" t="str">
        <f>IF(OR(TED[[#This Row],[SITUACAO]]=1,TED[[#This Row],[SITUACAO]]=9,TED[[#This Row],[SITUACAO]]=18),"ATIVO","AFASTADO")</f>
        <v>ATIVO</v>
      </c>
      <c r="K1762" s="12">
        <v>1</v>
      </c>
    </row>
    <row r="1763" spans="1:11" x14ac:dyDescent="0.25">
      <c r="A1763" s="10">
        <v>44651</v>
      </c>
      <c r="B1763" s="9" t="s">
        <v>2160</v>
      </c>
      <c r="C1763" s="12" t="str">
        <f>IFERROR(VLOOKUP(TED[[#This Row],[CENTRO]],'CENTRO DE CUSTO'!B:E,4,FALSE)," ")</f>
        <v>FABIANO</v>
      </c>
      <c r="D1763" s="12">
        <v>279</v>
      </c>
      <c r="E1763" s="16">
        <v>279000</v>
      </c>
      <c r="F1763" s="10" t="s">
        <v>1966</v>
      </c>
      <c r="G1763" s="10">
        <v>220</v>
      </c>
      <c r="H1763" s="11">
        <v>46100</v>
      </c>
      <c r="I1763" s="10" t="s">
        <v>958</v>
      </c>
      <c r="J1763" s="12" t="str">
        <f>IF(OR(TED[[#This Row],[SITUACAO]]=1,TED[[#This Row],[SITUACAO]]=9,TED[[#This Row],[SITUACAO]]=18),"ATIVO","AFASTADO")</f>
        <v>ATIVO</v>
      </c>
      <c r="K1763" s="12">
        <v>1</v>
      </c>
    </row>
    <row r="1764" spans="1:11" x14ac:dyDescent="0.25">
      <c r="A1764" s="10">
        <v>43523</v>
      </c>
      <c r="B1764" s="9" t="s">
        <v>2101</v>
      </c>
      <c r="C1764" s="12" t="str">
        <f>IFERROR(VLOOKUP(TED[[#This Row],[CENTRO]],'CENTRO DE CUSTO'!B:E,4,FALSE)," ")</f>
        <v>FABIANO</v>
      </c>
      <c r="D1764" s="12">
        <v>279</v>
      </c>
      <c r="E1764" s="16">
        <v>279000</v>
      </c>
      <c r="F1764" s="10" t="s">
        <v>1966</v>
      </c>
      <c r="G1764" s="10">
        <v>220</v>
      </c>
      <c r="H1764" s="11">
        <v>46051</v>
      </c>
      <c r="I1764" s="10" t="s">
        <v>958</v>
      </c>
      <c r="J1764" s="12" t="str">
        <f>IF(OR(TED[[#This Row],[SITUACAO]]=1,TED[[#This Row],[SITUACAO]]=9,TED[[#This Row],[SITUACAO]]=18),"ATIVO","AFASTADO")</f>
        <v>ATIVO</v>
      </c>
      <c r="K1764" s="12">
        <v>1</v>
      </c>
    </row>
    <row r="1765" spans="1:11" x14ac:dyDescent="0.25">
      <c r="A1765" s="10">
        <v>44309</v>
      </c>
      <c r="B1765" s="9" t="s">
        <v>2112</v>
      </c>
      <c r="C1765" s="12" t="str">
        <f>IFERROR(VLOOKUP(TED[[#This Row],[CENTRO]],'CENTRO DE CUSTO'!B:E,4,FALSE)," ")</f>
        <v>FABIANO</v>
      </c>
      <c r="D1765" s="12">
        <v>279</v>
      </c>
      <c r="E1765" s="16">
        <v>279000</v>
      </c>
      <c r="F1765" s="10" t="s">
        <v>1966</v>
      </c>
      <c r="G1765" s="10">
        <v>220</v>
      </c>
      <c r="H1765" s="11">
        <v>46081</v>
      </c>
      <c r="I1765" s="10" t="s">
        <v>958</v>
      </c>
      <c r="J1765" s="12" t="str">
        <f>IF(OR(TED[[#This Row],[SITUACAO]]=1,TED[[#This Row],[SITUACAO]]=9,TED[[#This Row],[SITUACAO]]=18),"ATIVO","AFASTADO")</f>
        <v>ATIVO</v>
      </c>
      <c r="K1765" s="12">
        <v>1</v>
      </c>
    </row>
    <row r="1766" spans="1:11" x14ac:dyDescent="0.25">
      <c r="A1766" s="10">
        <v>43949</v>
      </c>
      <c r="B1766" s="9" t="s">
        <v>2104</v>
      </c>
      <c r="C1766" s="12" t="str">
        <f>IFERROR(VLOOKUP(TED[[#This Row],[CENTRO]],'CENTRO DE CUSTO'!B:E,4,FALSE)," ")</f>
        <v>FABIANO</v>
      </c>
      <c r="D1766" s="12">
        <v>279</v>
      </c>
      <c r="E1766" s="16">
        <v>279000</v>
      </c>
      <c r="F1766" s="10" t="s">
        <v>1966</v>
      </c>
      <c r="G1766" s="10">
        <v>220</v>
      </c>
      <c r="H1766" s="11">
        <v>46066</v>
      </c>
      <c r="I1766" s="10" t="s">
        <v>934</v>
      </c>
      <c r="J1766" s="12" t="str">
        <f>IF(OR(TED[[#This Row],[SITUACAO]]=1,TED[[#This Row],[SITUACAO]]=9,TED[[#This Row],[SITUACAO]]=18),"ATIVO","AFASTADO")</f>
        <v>ATIVO</v>
      </c>
      <c r="K1766" s="12">
        <v>1</v>
      </c>
    </row>
    <row r="1767" spans="1:11" x14ac:dyDescent="0.25">
      <c r="A1767" s="10">
        <v>34305</v>
      </c>
      <c r="B1767" s="9" t="s">
        <v>985</v>
      </c>
      <c r="C1767" s="12" t="str">
        <f>IFERROR(VLOOKUP(TED[[#This Row],[CENTRO]],'CENTRO DE CUSTO'!B:E,4,FALSE)," ")</f>
        <v>FABIANO</v>
      </c>
      <c r="D1767" s="12">
        <v>279</v>
      </c>
      <c r="E1767" s="16">
        <v>279001</v>
      </c>
      <c r="F1767" s="10" t="s">
        <v>1967</v>
      </c>
      <c r="G1767" s="10">
        <v>220</v>
      </c>
      <c r="H1767" s="11">
        <v>45583</v>
      </c>
      <c r="I1767" s="10" t="s">
        <v>934</v>
      </c>
      <c r="J1767" s="12" t="str">
        <f>IF(OR(TED[[#This Row],[SITUACAO]]=1,TED[[#This Row],[SITUACAO]]=9,TED[[#This Row],[SITUACAO]]=18),"ATIVO","AFASTADO")</f>
        <v>ATIVO</v>
      </c>
      <c r="K1767" s="12">
        <v>9</v>
      </c>
    </row>
    <row r="1768" spans="1:11" x14ac:dyDescent="0.25">
      <c r="A1768" s="10">
        <v>44328</v>
      </c>
      <c r="B1768" s="9" t="s">
        <v>2198</v>
      </c>
      <c r="C1768" s="12" t="str">
        <f>IFERROR(VLOOKUP(TED[[#This Row],[CENTRO]],'CENTRO DE CUSTO'!B:E,4,FALSE)," ")</f>
        <v>FABIANO</v>
      </c>
      <c r="D1768" s="12">
        <v>279</v>
      </c>
      <c r="E1768" s="16">
        <v>279001</v>
      </c>
      <c r="F1768" s="10" t="s">
        <v>1967</v>
      </c>
      <c r="G1768" s="10">
        <v>220</v>
      </c>
      <c r="H1768" s="11">
        <v>46084</v>
      </c>
      <c r="I1768" s="10" t="s">
        <v>958</v>
      </c>
      <c r="J1768" s="12" t="str">
        <f>IF(OR(TED[[#This Row],[SITUACAO]]=1,TED[[#This Row],[SITUACAO]]=9,TED[[#This Row],[SITUACAO]]=18),"ATIVO","AFASTADO")</f>
        <v>ATIVO</v>
      </c>
      <c r="K1768" s="12">
        <v>1</v>
      </c>
    </row>
    <row r="1769" spans="1:11" x14ac:dyDescent="0.25">
      <c r="A1769" s="10">
        <v>46155</v>
      </c>
      <c r="B1769" s="9" t="s">
        <v>2371</v>
      </c>
      <c r="C1769" s="12" t="str">
        <f>IFERROR(VLOOKUP(TED[[#This Row],[CENTRO]],'CENTRO DE CUSTO'!B:E,4,FALSE)," ")</f>
        <v>FABIANO</v>
      </c>
      <c r="D1769" s="12">
        <v>279</v>
      </c>
      <c r="E1769" s="16">
        <v>279000</v>
      </c>
      <c r="F1769" s="10" t="s">
        <v>1966</v>
      </c>
      <c r="G1769" s="10">
        <v>220</v>
      </c>
      <c r="H1769" s="11">
        <v>46185</v>
      </c>
      <c r="I1769" s="10" t="s">
        <v>958</v>
      </c>
      <c r="J1769" s="12" t="str">
        <f>IF(OR(TED[[#This Row],[SITUACAO]]=1,TED[[#This Row],[SITUACAO]]=9,TED[[#This Row],[SITUACAO]]=18),"ATIVO","AFASTADO")</f>
        <v>ATIVO</v>
      </c>
      <c r="K1769" s="12">
        <v>1</v>
      </c>
    </row>
    <row r="1770" spans="1:11" x14ac:dyDescent="0.25">
      <c r="A1770" s="10">
        <v>45765</v>
      </c>
      <c r="B1770" s="9" t="s">
        <v>2259</v>
      </c>
      <c r="C1770" s="12" t="str">
        <f>IFERROR(VLOOKUP(TED[[#This Row],[CENTRO]],'CENTRO DE CUSTO'!B:E,4,FALSE)," ")</f>
        <v>FABIANO</v>
      </c>
      <c r="D1770" s="12">
        <v>279</v>
      </c>
      <c r="E1770" s="16">
        <v>279001</v>
      </c>
      <c r="F1770" s="10" t="s">
        <v>1967</v>
      </c>
      <c r="G1770" s="10">
        <v>220</v>
      </c>
      <c r="H1770" s="11">
        <v>46163</v>
      </c>
      <c r="I1770" s="10" t="s">
        <v>958</v>
      </c>
      <c r="J1770" s="12" t="str">
        <f>IF(OR(TED[[#This Row],[SITUACAO]]=1,TED[[#This Row],[SITUACAO]]=9,TED[[#This Row],[SITUACAO]]=18),"ATIVO","AFASTADO")</f>
        <v>ATIVO</v>
      </c>
      <c r="K1770" s="12">
        <v>1</v>
      </c>
    </row>
    <row r="1771" spans="1:11" x14ac:dyDescent="0.25">
      <c r="A1771" s="10">
        <v>42306</v>
      </c>
      <c r="B1771" s="9" t="s">
        <v>1786</v>
      </c>
      <c r="C1771" s="12" t="str">
        <f>IFERROR(VLOOKUP(TED[[#This Row],[CENTRO]],'CENTRO DE CUSTO'!B:E,4,FALSE)," ")</f>
        <v>FABIANO</v>
      </c>
      <c r="D1771" s="12">
        <v>279</v>
      </c>
      <c r="E1771" s="16">
        <v>279001</v>
      </c>
      <c r="F1771" s="10" t="s">
        <v>1967</v>
      </c>
      <c r="G1771" s="10">
        <v>220</v>
      </c>
      <c r="H1771" s="11">
        <v>45979</v>
      </c>
      <c r="I1771" s="10" t="s">
        <v>934</v>
      </c>
      <c r="J1771" s="12" t="str">
        <f>IF(OR(TED[[#This Row],[SITUACAO]]=1,TED[[#This Row],[SITUACAO]]=9,TED[[#This Row],[SITUACAO]]=18),"ATIVO","AFASTADO")</f>
        <v>ATIVO</v>
      </c>
      <c r="K1771" s="12">
        <v>1</v>
      </c>
    </row>
    <row r="1772" spans="1:11" x14ac:dyDescent="0.25">
      <c r="A1772" s="10">
        <v>39696</v>
      </c>
      <c r="B1772" s="9" t="s">
        <v>1774</v>
      </c>
      <c r="C1772" s="12" t="str">
        <f>IFERROR(VLOOKUP(TED[[#This Row],[CENTRO]],'CENTRO DE CUSTO'!B:E,4,FALSE)," ")</f>
        <v>FABIANO</v>
      </c>
      <c r="D1772" s="12">
        <v>279</v>
      </c>
      <c r="E1772" s="16">
        <v>279000</v>
      </c>
      <c r="F1772" s="10" t="s">
        <v>1966</v>
      </c>
      <c r="G1772" s="10">
        <v>220</v>
      </c>
      <c r="H1772" s="11">
        <v>45861</v>
      </c>
      <c r="I1772" s="10" t="s">
        <v>958</v>
      </c>
      <c r="J1772" s="12" t="str">
        <f>IF(OR(TED[[#This Row],[SITUACAO]]=1,TED[[#This Row],[SITUACAO]]=9,TED[[#This Row],[SITUACAO]]=18),"ATIVO","AFASTADO")</f>
        <v>ATIVO</v>
      </c>
      <c r="K1772" s="12">
        <v>1</v>
      </c>
    </row>
    <row r="1773" spans="1:11" x14ac:dyDescent="0.25">
      <c r="A1773" s="10">
        <v>44290</v>
      </c>
      <c r="B1773" s="9" t="s">
        <v>2111</v>
      </c>
      <c r="C1773" s="12" t="str">
        <f>IFERROR(VLOOKUP(TED[[#This Row],[CENTRO]],'CENTRO DE CUSTO'!B:E,4,FALSE)," ")</f>
        <v>FABIANO</v>
      </c>
      <c r="D1773" s="12">
        <v>279</v>
      </c>
      <c r="E1773" s="16">
        <v>279000</v>
      </c>
      <c r="F1773" s="10" t="s">
        <v>1966</v>
      </c>
      <c r="G1773" s="10">
        <v>220</v>
      </c>
      <c r="H1773" s="11">
        <v>46081</v>
      </c>
      <c r="I1773" s="10" t="s">
        <v>958</v>
      </c>
      <c r="J1773" s="12" t="str">
        <f>IF(OR(TED[[#This Row],[SITUACAO]]=1,TED[[#This Row],[SITUACAO]]=9,TED[[#This Row],[SITUACAO]]=18),"ATIVO","AFASTADO")</f>
        <v>ATIVO</v>
      </c>
      <c r="K1773" s="12">
        <v>1</v>
      </c>
    </row>
    <row r="1774" spans="1:11" x14ac:dyDescent="0.25">
      <c r="A1774" s="10">
        <v>38700</v>
      </c>
      <c r="B1774" s="9" t="s">
        <v>1781</v>
      </c>
      <c r="C1774" s="12" t="str">
        <f>IFERROR(VLOOKUP(TED[[#This Row],[CENTRO]],'CENTRO DE CUSTO'!B:E,4,FALSE)," ")</f>
        <v>FABIANO</v>
      </c>
      <c r="D1774" s="12">
        <v>279</v>
      </c>
      <c r="E1774" s="16">
        <v>279001</v>
      </c>
      <c r="F1774" s="10" t="s">
        <v>1967</v>
      </c>
      <c r="G1774" s="10">
        <v>220</v>
      </c>
      <c r="H1774" s="11">
        <v>45787</v>
      </c>
      <c r="I1774" s="10" t="s">
        <v>958</v>
      </c>
      <c r="J1774" s="12" t="str">
        <f>IF(OR(TED[[#This Row],[SITUACAO]]=1,TED[[#This Row],[SITUACAO]]=9,TED[[#This Row],[SITUACAO]]=18),"ATIVO","AFASTADO")</f>
        <v>ATIVO</v>
      </c>
      <c r="K1774" s="12">
        <v>1</v>
      </c>
    </row>
    <row r="1775" spans="1:11" x14ac:dyDescent="0.25">
      <c r="A1775" s="10">
        <v>44541</v>
      </c>
      <c r="B1775" s="9" t="s">
        <v>2147</v>
      </c>
      <c r="C1775" s="12" t="str">
        <f>IFERROR(VLOOKUP(TED[[#This Row],[CENTRO]],'CENTRO DE CUSTO'!B:E,4,FALSE)," ")</f>
        <v>FABIANO</v>
      </c>
      <c r="D1775" s="12">
        <v>279</v>
      </c>
      <c r="E1775" s="16">
        <v>279000</v>
      </c>
      <c r="F1775" s="10" t="s">
        <v>1966</v>
      </c>
      <c r="G1775" s="10">
        <v>220</v>
      </c>
      <c r="H1775" s="11">
        <v>46094</v>
      </c>
      <c r="I1775" s="10" t="s">
        <v>934</v>
      </c>
      <c r="J1775" s="12" t="str">
        <f>IF(OR(TED[[#This Row],[SITUACAO]]=1,TED[[#This Row],[SITUACAO]]=9,TED[[#This Row],[SITUACAO]]=18),"ATIVO","AFASTADO")</f>
        <v>ATIVO</v>
      </c>
      <c r="K1775" s="12">
        <v>1</v>
      </c>
    </row>
    <row r="1776" spans="1:11" x14ac:dyDescent="0.25">
      <c r="A1776" s="10">
        <v>44937</v>
      </c>
      <c r="B1776" s="9" t="s">
        <v>2193</v>
      </c>
      <c r="C1776" s="12" t="str">
        <f>IFERROR(VLOOKUP(TED[[#This Row],[CENTRO]],'CENTRO DE CUSTO'!B:E,4,FALSE)," ")</f>
        <v>FABIANO</v>
      </c>
      <c r="D1776" s="12">
        <v>279</v>
      </c>
      <c r="E1776" s="16">
        <v>279000</v>
      </c>
      <c r="F1776" s="10" t="s">
        <v>1966</v>
      </c>
      <c r="G1776" s="10">
        <v>220</v>
      </c>
      <c r="H1776" s="11">
        <v>46114</v>
      </c>
      <c r="I1776" s="10" t="s">
        <v>958</v>
      </c>
      <c r="J1776" s="12" t="str">
        <f>IF(OR(TED[[#This Row],[SITUACAO]]=1,TED[[#This Row],[SITUACAO]]=9,TED[[#This Row],[SITUACAO]]=18),"ATIVO","AFASTADO")</f>
        <v>ATIVO</v>
      </c>
      <c r="K1776" s="12">
        <v>1</v>
      </c>
    </row>
    <row r="1777" spans="1:11" x14ac:dyDescent="0.25">
      <c r="A1777" s="10">
        <v>44636</v>
      </c>
      <c r="B1777" s="9" t="s">
        <v>2162</v>
      </c>
      <c r="C1777" s="12" t="str">
        <f>IFERROR(VLOOKUP(TED[[#This Row],[CENTRO]],'CENTRO DE CUSTO'!B:E,4,FALSE)," ")</f>
        <v>FABIANO</v>
      </c>
      <c r="D1777" s="12">
        <v>279</v>
      </c>
      <c r="E1777" s="16">
        <v>279001</v>
      </c>
      <c r="F1777" s="10" t="s">
        <v>1967</v>
      </c>
      <c r="G1777" s="10">
        <v>220</v>
      </c>
      <c r="H1777" s="11">
        <v>46100</v>
      </c>
      <c r="I1777" s="10" t="s">
        <v>958</v>
      </c>
      <c r="J1777" s="12" t="str">
        <f>IF(OR(TED[[#This Row],[SITUACAO]]=1,TED[[#This Row],[SITUACAO]]=9,TED[[#This Row],[SITUACAO]]=18),"ATIVO","AFASTADO")</f>
        <v>ATIVO</v>
      </c>
      <c r="K1777" s="12">
        <v>1</v>
      </c>
    </row>
    <row r="1778" spans="1:11" x14ac:dyDescent="0.25">
      <c r="A1778" s="10">
        <v>44493</v>
      </c>
      <c r="B1778" s="9" t="s">
        <v>2148</v>
      </c>
      <c r="C1778" s="12" t="str">
        <f>IFERROR(VLOOKUP(TED[[#This Row],[CENTRO]],'CENTRO DE CUSTO'!B:E,4,FALSE)," ")</f>
        <v>FABIANO</v>
      </c>
      <c r="D1778" s="12">
        <v>279</v>
      </c>
      <c r="E1778" s="16">
        <v>279001</v>
      </c>
      <c r="F1778" s="10" t="s">
        <v>1967</v>
      </c>
      <c r="G1778" s="10">
        <v>220</v>
      </c>
      <c r="H1778" s="11">
        <v>46093</v>
      </c>
      <c r="I1778" s="10" t="s">
        <v>934</v>
      </c>
      <c r="J1778" s="12" t="str">
        <f>IF(OR(TED[[#This Row],[SITUACAO]]=1,TED[[#This Row],[SITUACAO]]=9,TED[[#This Row],[SITUACAO]]=18),"ATIVO","AFASTADO")</f>
        <v>ATIVO</v>
      </c>
      <c r="K1778" s="12">
        <v>1</v>
      </c>
    </row>
    <row r="1779" spans="1:11" x14ac:dyDescent="0.25">
      <c r="A1779" s="10">
        <v>45106</v>
      </c>
      <c r="B1779" s="9" t="s">
        <v>2197</v>
      </c>
      <c r="C1779" s="12" t="str">
        <f>IFERROR(VLOOKUP(TED[[#This Row],[CENTRO]],'CENTRO DE CUSTO'!B:E,4,FALSE)," ")</f>
        <v>FABIANO</v>
      </c>
      <c r="D1779" s="12">
        <v>279</v>
      </c>
      <c r="E1779" s="16">
        <v>279000</v>
      </c>
      <c r="F1779" s="10" t="s">
        <v>1966</v>
      </c>
      <c r="G1779" s="10">
        <v>220</v>
      </c>
      <c r="H1779" s="11">
        <v>46127</v>
      </c>
      <c r="I1779" s="10" t="s">
        <v>934</v>
      </c>
      <c r="J1779" s="12" t="str">
        <f>IF(OR(TED[[#This Row],[SITUACAO]]=1,TED[[#This Row],[SITUACAO]]=9,TED[[#This Row],[SITUACAO]]=18),"ATIVO","AFASTADO")</f>
        <v>ATIVO</v>
      </c>
      <c r="K1779" s="12">
        <v>1</v>
      </c>
    </row>
    <row r="1780" spans="1:11" x14ac:dyDescent="0.25">
      <c r="A1780" s="10">
        <v>45121</v>
      </c>
      <c r="B1780" s="9" t="s">
        <v>2196</v>
      </c>
      <c r="C1780" s="12" t="str">
        <f>IFERROR(VLOOKUP(TED[[#This Row],[CENTRO]],'CENTRO DE CUSTO'!B:E,4,FALSE)," ")</f>
        <v>FABIANO</v>
      </c>
      <c r="D1780" s="12">
        <v>279</v>
      </c>
      <c r="E1780" s="16">
        <v>279000</v>
      </c>
      <c r="F1780" s="10" t="s">
        <v>1966</v>
      </c>
      <c r="G1780" s="10">
        <v>220</v>
      </c>
      <c r="H1780" s="11">
        <v>46128</v>
      </c>
      <c r="I1780" s="10" t="s">
        <v>934</v>
      </c>
      <c r="J1780" s="12" t="str">
        <f>IF(OR(TED[[#This Row],[SITUACAO]]=1,TED[[#This Row],[SITUACAO]]=9,TED[[#This Row],[SITUACAO]]=18),"ATIVO","AFASTADO")</f>
        <v>ATIVO</v>
      </c>
      <c r="K1780" s="12">
        <v>1</v>
      </c>
    </row>
    <row r="1781" spans="1:11" x14ac:dyDescent="0.25">
      <c r="A1781" s="10">
        <v>34458</v>
      </c>
      <c r="B1781" s="9" t="s">
        <v>1785</v>
      </c>
      <c r="C1781" s="12" t="str">
        <f>IFERROR(VLOOKUP(TED[[#This Row],[CENTRO]],'CENTRO DE CUSTO'!B:E,4,FALSE)," ")</f>
        <v>FABIANO</v>
      </c>
      <c r="D1781" s="12">
        <v>279</v>
      </c>
      <c r="E1781" s="16">
        <v>279001</v>
      </c>
      <c r="F1781" s="10" t="s">
        <v>1967</v>
      </c>
      <c r="G1781" s="10">
        <v>220</v>
      </c>
      <c r="H1781" s="11">
        <v>45589</v>
      </c>
      <c r="I1781" s="10" t="s">
        <v>958</v>
      </c>
      <c r="J1781" s="12" t="str">
        <f>IF(OR(TED[[#This Row],[SITUACAO]]=1,TED[[#This Row],[SITUACAO]]=9,TED[[#This Row],[SITUACAO]]=18),"ATIVO","AFASTADO")</f>
        <v>ATIVO</v>
      </c>
      <c r="K1781" s="12">
        <v>1</v>
      </c>
    </row>
    <row r="1782" spans="1:11" x14ac:dyDescent="0.25">
      <c r="A1782" s="10">
        <v>37503</v>
      </c>
      <c r="B1782" s="9" t="s">
        <v>1776</v>
      </c>
      <c r="C1782" s="12" t="str">
        <f>IFERROR(VLOOKUP(TED[[#This Row],[CENTRO]],'CENTRO DE CUSTO'!B:E,4,FALSE)," ")</f>
        <v>FABIANO</v>
      </c>
      <c r="D1782" s="12">
        <v>279</v>
      </c>
      <c r="E1782" s="16">
        <v>279000</v>
      </c>
      <c r="F1782" s="10" t="s">
        <v>1966</v>
      </c>
      <c r="G1782" s="10">
        <v>220</v>
      </c>
      <c r="H1782" s="11">
        <v>45722</v>
      </c>
      <c r="I1782" s="10" t="s">
        <v>934</v>
      </c>
      <c r="J1782" s="12" t="str">
        <f>IF(OR(TED[[#This Row],[SITUACAO]]=1,TED[[#This Row],[SITUACAO]]=9,TED[[#This Row],[SITUACAO]]=18),"ATIVO","AFASTADO")</f>
        <v>ATIVO</v>
      </c>
      <c r="K1782" s="12">
        <v>1</v>
      </c>
    </row>
    <row r="1783" spans="1:11" x14ac:dyDescent="0.25">
      <c r="A1783" s="10">
        <v>35234</v>
      </c>
      <c r="B1783" s="9" t="s">
        <v>1783</v>
      </c>
      <c r="C1783" s="12" t="str">
        <f>IFERROR(VLOOKUP(TED[[#This Row],[CENTRO]],'CENTRO DE CUSTO'!B:E,4,FALSE)," ")</f>
        <v>FABIANO</v>
      </c>
      <c r="D1783" s="12">
        <v>279</v>
      </c>
      <c r="E1783" s="16">
        <v>279001</v>
      </c>
      <c r="F1783" s="10" t="s">
        <v>1967</v>
      </c>
      <c r="G1783" s="10">
        <v>220</v>
      </c>
      <c r="H1783" s="11">
        <v>45681</v>
      </c>
      <c r="I1783" s="10" t="s">
        <v>958</v>
      </c>
      <c r="J1783" s="12" t="str">
        <f>IF(OR(TED[[#This Row],[SITUACAO]]=1,TED[[#This Row],[SITUACAO]]=9,TED[[#This Row],[SITUACAO]]=18),"ATIVO","AFASTADO")</f>
        <v>ATIVO</v>
      </c>
      <c r="K1783" s="12">
        <v>1</v>
      </c>
    </row>
    <row r="1784" spans="1:11" x14ac:dyDescent="0.25">
      <c r="A1784" s="10">
        <v>34348</v>
      </c>
      <c r="B1784" s="9" t="s">
        <v>1777</v>
      </c>
      <c r="C1784" s="12" t="str">
        <f>IFERROR(VLOOKUP(TED[[#This Row],[CENTRO]],'CENTRO DE CUSTO'!B:E,4,FALSE)," ")</f>
        <v>FABIANO</v>
      </c>
      <c r="D1784" s="12">
        <v>279</v>
      </c>
      <c r="E1784" s="16">
        <v>279000</v>
      </c>
      <c r="F1784" s="10" t="s">
        <v>1966</v>
      </c>
      <c r="G1784" s="10">
        <v>220</v>
      </c>
      <c r="H1784" s="11">
        <v>45587</v>
      </c>
      <c r="I1784" s="10" t="s">
        <v>934</v>
      </c>
      <c r="J1784" s="12" t="str">
        <f>IF(OR(TED[[#This Row],[SITUACAO]]=1,TED[[#This Row],[SITUACAO]]=9,TED[[#This Row],[SITUACAO]]=18),"ATIVO","AFASTADO")</f>
        <v>ATIVO</v>
      </c>
      <c r="K1784" s="12">
        <v>1</v>
      </c>
    </row>
    <row r="1785" spans="1:11" x14ac:dyDescent="0.25">
      <c r="A1785" s="10">
        <v>35157</v>
      </c>
      <c r="B1785" s="9" t="s">
        <v>1782</v>
      </c>
      <c r="C1785" s="12" t="str">
        <f>IFERROR(VLOOKUP(TED[[#This Row],[CENTRO]],'CENTRO DE CUSTO'!B:E,4,FALSE)," ")</f>
        <v>FABIANO</v>
      </c>
      <c r="D1785" s="12">
        <v>279</v>
      </c>
      <c r="E1785" s="16">
        <v>279001</v>
      </c>
      <c r="F1785" s="10" t="s">
        <v>1967</v>
      </c>
      <c r="G1785" s="10">
        <v>220</v>
      </c>
      <c r="H1785" s="11">
        <v>45675</v>
      </c>
      <c r="I1785" s="10" t="s">
        <v>958</v>
      </c>
      <c r="J1785" s="12" t="str">
        <f>IF(OR(TED[[#This Row],[SITUACAO]]=1,TED[[#This Row],[SITUACAO]]=9,TED[[#This Row],[SITUACAO]]=18),"ATIVO","AFASTADO")</f>
        <v>ATIVO</v>
      </c>
      <c r="K1785" s="12">
        <v>1</v>
      </c>
    </row>
    <row r="1786" spans="1:11" x14ac:dyDescent="0.25">
      <c r="A1786" s="10">
        <v>43920</v>
      </c>
      <c r="B1786" s="9" t="s">
        <v>2103</v>
      </c>
      <c r="C1786" s="12" t="str">
        <f>IFERROR(VLOOKUP(TED[[#This Row],[CENTRO]],'CENTRO DE CUSTO'!B:E,4,FALSE)," ")</f>
        <v>FABIANO</v>
      </c>
      <c r="D1786" s="12">
        <v>279</v>
      </c>
      <c r="E1786" s="16">
        <v>279000</v>
      </c>
      <c r="F1786" s="10" t="s">
        <v>1966</v>
      </c>
      <c r="G1786" s="10">
        <v>220</v>
      </c>
      <c r="H1786" s="11">
        <v>46064</v>
      </c>
      <c r="I1786" s="10" t="s">
        <v>958</v>
      </c>
      <c r="J1786" s="12" t="str">
        <f>IF(OR(TED[[#This Row],[SITUACAO]]=1,TED[[#This Row],[SITUACAO]]=9,TED[[#This Row],[SITUACAO]]=18),"ATIVO","AFASTADO")</f>
        <v>ATIVO</v>
      </c>
      <c r="K1786" s="12">
        <v>1</v>
      </c>
    </row>
    <row r="1787" spans="1:11" x14ac:dyDescent="0.25">
      <c r="A1787" s="10">
        <v>43191</v>
      </c>
      <c r="B1787" s="9" t="s">
        <v>1770</v>
      </c>
      <c r="C1787" s="12" t="str">
        <f>IFERROR(VLOOKUP(TED[[#This Row],[CENTRO]],'CENTRO DE CUSTO'!B:E,4,FALSE)," ")</f>
        <v>FABIANO</v>
      </c>
      <c r="D1787" s="12">
        <v>279</v>
      </c>
      <c r="E1787" s="16">
        <v>279000</v>
      </c>
      <c r="F1787" s="10" t="s">
        <v>1966</v>
      </c>
      <c r="G1787" s="10">
        <v>220</v>
      </c>
      <c r="H1787" s="11">
        <v>46029</v>
      </c>
      <c r="I1787" s="10" t="s">
        <v>958</v>
      </c>
      <c r="J1787" s="12" t="str">
        <f>IF(OR(TED[[#This Row],[SITUACAO]]=1,TED[[#This Row],[SITUACAO]]=9,TED[[#This Row],[SITUACAO]]=18),"ATIVO","AFASTADO")</f>
        <v>ATIVO</v>
      </c>
      <c r="K1787" s="12">
        <v>1</v>
      </c>
    </row>
    <row r="1788" spans="1:11" x14ac:dyDescent="0.25">
      <c r="A1788" s="10">
        <v>44618</v>
      </c>
      <c r="B1788" s="9" t="s">
        <v>2144</v>
      </c>
      <c r="C1788" s="12" t="str">
        <f>IFERROR(VLOOKUP(TED[[#This Row],[CENTRO]],'CENTRO DE CUSTO'!B:E,4,FALSE)," ")</f>
        <v>FABIANO</v>
      </c>
      <c r="D1788" s="12">
        <v>279</v>
      </c>
      <c r="E1788" s="16">
        <v>279001</v>
      </c>
      <c r="F1788" s="10" t="s">
        <v>1967</v>
      </c>
      <c r="G1788" s="10">
        <v>220</v>
      </c>
      <c r="H1788" s="11">
        <v>46099</v>
      </c>
      <c r="I1788" s="10" t="s">
        <v>958</v>
      </c>
      <c r="J1788" s="12" t="str">
        <f>IF(OR(TED[[#This Row],[SITUACAO]]=1,TED[[#This Row],[SITUACAO]]=9,TED[[#This Row],[SITUACAO]]=18),"ATIVO","AFASTADO")</f>
        <v>ATIVO</v>
      </c>
      <c r="K1788" s="12">
        <v>1</v>
      </c>
    </row>
    <row r="1789" spans="1:11" x14ac:dyDescent="0.25">
      <c r="A1789" s="10">
        <v>46810</v>
      </c>
      <c r="B1789" s="9" t="s">
        <v>2372</v>
      </c>
      <c r="C1789" s="12" t="str">
        <f>IFERROR(VLOOKUP(TED[[#This Row],[CENTRO]],'CENTRO DE CUSTO'!B:E,4,FALSE)," ")</f>
        <v>FABIANO</v>
      </c>
      <c r="D1789" s="12">
        <v>279</v>
      </c>
      <c r="E1789" s="16">
        <v>279001</v>
      </c>
      <c r="F1789" s="10" t="s">
        <v>1967</v>
      </c>
      <c r="G1789" s="10">
        <v>220</v>
      </c>
      <c r="H1789" s="11">
        <v>46193</v>
      </c>
      <c r="I1789" s="10" t="s">
        <v>958</v>
      </c>
      <c r="J1789" s="12" t="str">
        <f>IF(OR(TED[[#This Row],[SITUACAO]]=1,TED[[#This Row],[SITUACAO]]=9,TED[[#This Row],[SITUACAO]]=18),"ATIVO","AFASTADO")</f>
        <v>ATIVO</v>
      </c>
      <c r="K1789" s="12">
        <v>1</v>
      </c>
    </row>
    <row r="1790" spans="1:11" x14ac:dyDescent="0.25">
      <c r="A1790" s="10">
        <v>45701</v>
      </c>
      <c r="B1790" s="9" t="s">
        <v>2258</v>
      </c>
      <c r="C1790" s="12" t="str">
        <f>IFERROR(VLOOKUP(TED[[#This Row],[CENTRO]],'CENTRO DE CUSTO'!B:E,4,FALSE)," ")</f>
        <v>FABIANO</v>
      </c>
      <c r="D1790" s="12">
        <v>279</v>
      </c>
      <c r="E1790" s="16">
        <v>279000</v>
      </c>
      <c r="F1790" s="10" t="s">
        <v>1966</v>
      </c>
      <c r="G1790" s="10">
        <v>220</v>
      </c>
      <c r="H1790" s="11">
        <v>46161</v>
      </c>
      <c r="I1790" s="10" t="s">
        <v>958</v>
      </c>
      <c r="J1790" s="12" t="str">
        <f>IF(OR(TED[[#This Row],[SITUACAO]]=1,TED[[#This Row],[SITUACAO]]=9,TED[[#This Row],[SITUACAO]]=18),"ATIVO","AFASTADO")</f>
        <v>ATIVO</v>
      </c>
      <c r="K1790" s="12">
        <v>1</v>
      </c>
    </row>
    <row r="1791" spans="1:11" x14ac:dyDescent="0.25">
      <c r="A1791" s="10">
        <v>44476</v>
      </c>
      <c r="B1791" s="9" t="s">
        <v>2125</v>
      </c>
      <c r="C1791" s="12" t="str">
        <f>IFERROR(VLOOKUP(TED[[#This Row],[CENTRO]],'CENTRO DE CUSTO'!B:E,4,FALSE)," ")</f>
        <v>FABIANO</v>
      </c>
      <c r="D1791" s="12">
        <v>279</v>
      </c>
      <c r="E1791" s="16">
        <v>279000</v>
      </c>
      <c r="F1791" s="10" t="s">
        <v>1966</v>
      </c>
      <c r="G1791" s="10">
        <v>220</v>
      </c>
      <c r="H1791" s="11">
        <v>46092</v>
      </c>
      <c r="I1791" s="10" t="s">
        <v>958</v>
      </c>
      <c r="J1791" s="12" t="str">
        <f>IF(OR(TED[[#This Row],[SITUACAO]]=1,TED[[#This Row],[SITUACAO]]=9,TED[[#This Row],[SITUACAO]]=18),"ATIVO","AFASTADO")</f>
        <v>ATIVO</v>
      </c>
      <c r="K1791" s="12">
        <v>1</v>
      </c>
    </row>
    <row r="1792" spans="1:11" x14ac:dyDescent="0.25">
      <c r="A1792" s="10">
        <v>45028</v>
      </c>
      <c r="B1792" s="9" t="s">
        <v>2194</v>
      </c>
      <c r="C1792" s="12" t="str">
        <f>IFERROR(VLOOKUP(TED[[#This Row],[CENTRO]],'CENTRO DE CUSTO'!B:E,4,FALSE)," ")</f>
        <v>FABIANO</v>
      </c>
      <c r="D1792" s="12">
        <v>279</v>
      </c>
      <c r="E1792" s="16">
        <v>279000</v>
      </c>
      <c r="F1792" s="10" t="s">
        <v>1966</v>
      </c>
      <c r="G1792" s="10">
        <v>220</v>
      </c>
      <c r="H1792" s="11">
        <v>46121</v>
      </c>
      <c r="I1792" s="10" t="s">
        <v>958</v>
      </c>
      <c r="J1792" s="12" t="str">
        <f>IF(OR(TED[[#This Row],[SITUACAO]]=1,TED[[#This Row],[SITUACAO]]=9,TED[[#This Row],[SITUACAO]]=18),"ATIVO","AFASTADO")</f>
        <v>ATIVO</v>
      </c>
      <c r="K1792" s="12">
        <v>1</v>
      </c>
    </row>
    <row r="1793" spans="1:11" x14ac:dyDescent="0.25">
      <c r="A1793" s="10">
        <v>42023</v>
      </c>
      <c r="B1793" s="9" t="s">
        <v>1780</v>
      </c>
      <c r="C1793" s="12" t="str">
        <f>IFERROR(VLOOKUP(TED[[#This Row],[CENTRO]],'CENTRO DE CUSTO'!B:E,4,FALSE)," ")</f>
        <v>FABIANO</v>
      </c>
      <c r="D1793" s="12">
        <v>279</v>
      </c>
      <c r="E1793" s="16">
        <v>279001</v>
      </c>
      <c r="F1793" s="10" t="s">
        <v>1967</v>
      </c>
      <c r="G1793" s="10">
        <v>220</v>
      </c>
      <c r="H1793" s="11">
        <v>45967</v>
      </c>
      <c r="I1793" s="10" t="s">
        <v>958</v>
      </c>
      <c r="J1793" s="12" t="str">
        <f>IF(OR(TED[[#This Row],[SITUACAO]]=1,TED[[#This Row],[SITUACAO]]=9,TED[[#This Row],[SITUACAO]]=18),"ATIVO","AFASTADO")</f>
        <v>ATIVO</v>
      </c>
      <c r="K1793" s="12">
        <v>1</v>
      </c>
    </row>
    <row r="1794" spans="1:11" x14ac:dyDescent="0.25">
      <c r="A1794" s="10">
        <v>44870</v>
      </c>
      <c r="B1794" s="9" t="s">
        <v>2201</v>
      </c>
      <c r="C1794" s="12" t="str">
        <f>IFERROR(VLOOKUP(TED[[#This Row],[CENTRO]],'CENTRO DE CUSTO'!B:E,4,FALSE)," ")</f>
        <v>FERNANDO SANTOS</v>
      </c>
      <c r="D1794" s="12">
        <v>286</v>
      </c>
      <c r="E1794" s="16">
        <v>286016</v>
      </c>
      <c r="F1794" s="10" t="s">
        <v>1983</v>
      </c>
      <c r="G1794" s="10">
        <v>200</v>
      </c>
      <c r="H1794" s="11">
        <v>46118</v>
      </c>
      <c r="I1794" s="10" t="s">
        <v>21</v>
      </c>
      <c r="J1794" s="12" t="str">
        <f>IF(OR(TED[[#This Row],[SITUACAO]]=1,TED[[#This Row],[SITUACAO]]=9,TED[[#This Row],[SITUACAO]]=18),"ATIVO","AFASTADO")</f>
        <v>ATIVO</v>
      </c>
      <c r="K1794" s="12">
        <v>1</v>
      </c>
    </row>
    <row r="1795" spans="1:11" x14ac:dyDescent="0.25">
      <c r="A1795" s="10">
        <v>40212</v>
      </c>
      <c r="B1795" s="9" t="s">
        <v>1820</v>
      </c>
      <c r="C1795" s="12" t="str">
        <f>IFERROR(VLOOKUP(TED[[#This Row],[CENTRO]],'CENTRO DE CUSTO'!B:E,4,FALSE)," ")</f>
        <v>PAULO HENRIQUE</v>
      </c>
      <c r="D1795" s="12">
        <v>286</v>
      </c>
      <c r="E1795" s="16">
        <v>286006</v>
      </c>
      <c r="F1795" s="10" t="s">
        <v>1973</v>
      </c>
      <c r="G1795" s="10">
        <v>200</v>
      </c>
      <c r="H1795" s="11">
        <v>45901</v>
      </c>
      <c r="I1795" s="10" t="s">
        <v>942</v>
      </c>
      <c r="J1795" s="12" t="str">
        <f>IF(OR(TED[[#This Row],[SITUACAO]]=1,TED[[#This Row],[SITUACAO]]=9,TED[[#This Row],[SITUACAO]]=18),"ATIVO","AFASTADO")</f>
        <v>ATIVO</v>
      </c>
      <c r="K1795" s="12">
        <v>1</v>
      </c>
    </row>
    <row r="1796" spans="1:11" x14ac:dyDescent="0.25">
      <c r="A1796" s="10">
        <v>42973</v>
      </c>
      <c r="B1796" s="9" t="s">
        <v>1793</v>
      </c>
      <c r="C1796" s="12" t="str">
        <f>IFERROR(VLOOKUP(TED[[#This Row],[CENTRO]],'CENTRO DE CUSTO'!B:E,4,FALSE)," ")</f>
        <v>FERNANDO SANTOS</v>
      </c>
      <c r="D1796" s="12">
        <v>286</v>
      </c>
      <c r="E1796" s="16">
        <v>286001</v>
      </c>
      <c r="F1796" s="10" t="s">
        <v>1969</v>
      </c>
      <c r="G1796" s="10">
        <v>200</v>
      </c>
      <c r="H1796" s="11">
        <v>46006</v>
      </c>
      <c r="I1796" s="10" t="s">
        <v>1996</v>
      </c>
      <c r="J1796" s="12" t="str">
        <f>IF(OR(TED[[#This Row],[SITUACAO]]=1,TED[[#This Row],[SITUACAO]]=9,TED[[#This Row],[SITUACAO]]=18),"ATIVO","AFASTADO")</f>
        <v>ATIVO</v>
      </c>
      <c r="K1796" s="12">
        <v>1</v>
      </c>
    </row>
    <row r="1797" spans="1:11" x14ac:dyDescent="0.25">
      <c r="A1797" s="10">
        <v>40179</v>
      </c>
      <c r="B1797" s="9" t="s">
        <v>1878</v>
      </c>
      <c r="C1797" s="12" t="str">
        <f>IFERROR(VLOOKUP(TED[[#This Row],[CENTRO]],'CENTRO DE CUSTO'!B:E,4,FALSE)," ")</f>
        <v>FERNANDO SANTOS</v>
      </c>
      <c r="D1797" s="12">
        <v>286</v>
      </c>
      <c r="E1797" s="16">
        <v>286016</v>
      </c>
      <c r="F1797" s="10" t="s">
        <v>1983</v>
      </c>
      <c r="G1797" s="10">
        <v>200</v>
      </c>
      <c r="H1797" s="11">
        <v>45901</v>
      </c>
      <c r="I1797" s="10" t="s">
        <v>21</v>
      </c>
      <c r="J1797" s="12" t="str">
        <f>IF(OR(TED[[#This Row],[SITUACAO]]=1,TED[[#This Row],[SITUACAO]]=9,TED[[#This Row],[SITUACAO]]=18),"ATIVO","AFASTADO")</f>
        <v>ATIVO</v>
      </c>
      <c r="K1797" s="12">
        <v>1</v>
      </c>
    </row>
    <row r="1798" spans="1:11" x14ac:dyDescent="0.25">
      <c r="A1798" s="10">
        <v>40192</v>
      </c>
      <c r="B1798" s="9" t="s">
        <v>1858</v>
      </c>
      <c r="C1798" s="12" t="str">
        <f>IFERROR(VLOOKUP(TED[[#This Row],[CENTRO]],'CENTRO DE CUSTO'!B:E,4,FALSE)," ")</f>
        <v>PAULO HENRIQUE</v>
      </c>
      <c r="D1798" s="12">
        <v>286</v>
      </c>
      <c r="E1798" s="16">
        <v>286009</v>
      </c>
      <c r="F1798" s="10" t="s">
        <v>1976</v>
      </c>
      <c r="G1798" s="10">
        <v>200</v>
      </c>
      <c r="H1798" s="11">
        <v>45901</v>
      </c>
      <c r="I1798" s="10" t="s">
        <v>1</v>
      </c>
      <c r="J1798" s="12" t="str">
        <f>IF(OR(TED[[#This Row],[SITUACAO]]=1,TED[[#This Row],[SITUACAO]]=9,TED[[#This Row],[SITUACAO]]=18),"ATIVO","AFASTADO")</f>
        <v>ATIVO</v>
      </c>
      <c r="K1798" s="12">
        <v>1</v>
      </c>
    </row>
    <row r="1799" spans="1:11" x14ac:dyDescent="0.25">
      <c r="A1799" s="10">
        <v>40104</v>
      </c>
      <c r="B1799" s="9" t="s">
        <v>1797</v>
      </c>
      <c r="C1799" s="12" t="str">
        <f>IFERROR(VLOOKUP(TED[[#This Row],[CENTRO]],'CENTRO DE CUSTO'!B:E,4,FALSE)," ")</f>
        <v>PAULO HENRIQUE</v>
      </c>
      <c r="D1799" s="12">
        <v>286</v>
      </c>
      <c r="E1799" s="16">
        <v>286009</v>
      </c>
      <c r="F1799" s="10" t="s">
        <v>1976</v>
      </c>
      <c r="G1799" s="10">
        <v>200</v>
      </c>
      <c r="H1799" s="11">
        <v>45901</v>
      </c>
      <c r="I1799" s="10" t="s">
        <v>21</v>
      </c>
      <c r="J1799" s="12" t="str">
        <f>IF(OR(TED[[#This Row],[SITUACAO]]=1,TED[[#This Row],[SITUACAO]]=9,TED[[#This Row],[SITUACAO]]=18),"ATIVO","AFASTADO")</f>
        <v>ATIVO</v>
      </c>
      <c r="K1799" s="12">
        <v>1</v>
      </c>
    </row>
    <row r="1800" spans="1:11" x14ac:dyDescent="0.25">
      <c r="A1800" s="10">
        <v>40048</v>
      </c>
      <c r="B1800" s="9" t="s">
        <v>1844</v>
      </c>
      <c r="C1800" s="12" t="str">
        <f>IFERROR(VLOOKUP(TED[[#This Row],[CENTRO]],'CENTRO DE CUSTO'!B:E,4,FALSE)," ")</f>
        <v>PAULO HENRIQUE</v>
      </c>
      <c r="D1800" s="12">
        <v>286</v>
      </c>
      <c r="E1800" s="16">
        <v>286006</v>
      </c>
      <c r="F1800" s="10" t="s">
        <v>1973</v>
      </c>
      <c r="G1800" s="10">
        <v>200</v>
      </c>
      <c r="H1800" s="11">
        <v>45901</v>
      </c>
      <c r="I1800" s="10" t="s">
        <v>1</v>
      </c>
      <c r="J1800" s="12" t="str">
        <f>IF(OR(TED[[#This Row],[SITUACAO]]=1,TED[[#This Row],[SITUACAO]]=9,TED[[#This Row],[SITUACAO]]=18),"ATIVO","AFASTADO")</f>
        <v>ATIVO</v>
      </c>
      <c r="K1800" s="12">
        <v>1</v>
      </c>
    </row>
    <row r="1801" spans="1:11" x14ac:dyDescent="0.25">
      <c r="A1801" s="10">
        <v>40054</v>
      </c>
      <c r="B1801" s="9" t="s">
        <v>1807</v>
      </c>
      <c r="C1801" s="12" t="str">
        <f>IFERROR(VLOOKUP(TED[[#This Row],[CENTRO]],'CENTRO DE CUSTO'!B:E,4,FALSE)," ")</f>
        <v>FERNANDO SANTOS</v>
      </c>
      <c r="D1801" s="12">
        <v>286</v>
      </c>
      <c r="E1801" s="16">
        <v>286001</v>
      </c>
      <c r="F1801" s="10" t="s">
        <v>1969</v>
      </c>
      <c r="G1801" s="10">
        <v>150</v>
      </c>
      <c r="H1801" s="11">
        <v>45901</v>
      </c>
      <c r="I1801" s="10" t="s">
        <v>1</v>
      </c>
      <c r="J1801" s="12" t="str">
        <f>IF(OR(TED[[#This Row],[SITUACAO]]=1,TED[[#This Row],[SITUACAO]]=9,TED[[#This Row],[SITUACAO]]=18),"ATIVO","AFASTADO")</f>
        <v>ATIVO</v>
      </c>
      <c r="K1801" s="12">
        <v>1</v>
      </c>
    </row>
    <row r="1802" spans="1:11" x14ac:dyDescent="0.25">
      <c r="A1802" s="10">
        <v>40241</v>
      </c>
      <c r="B1802" s="9" t="s">
        <v>1837</v>
      </c>
      <c r="C1802" s="12" t="str">
        <f>IFERROR(VLOOKUP(TED[[#This Row],[CENTRO]],'CENTRO DE CUSTO'!B:E,4,FALSE)," ")</f>
        <v>PAULO HENRIQUE</v>
      </c>
      <c r="D1802" s="12">
        <v>286</v>
      </c>
      <c r="E1802" s="16">
        <v>286006</v>
      </c>
      <c r="F1802" s="10" t="s">
        <v>1973</v>
      </c>
      <c r="G1802" s="10">
        <v>200</v>
      </c>
      <c r="H1802" s="11">
        <v>45901</v>
      </c>
      <c r="I1802" s="10" t="s">
        <v>1996</v>
      </c>
      <c r="J1802" s="12" t="str">
        <f>IF(OR(TED[[#This Row],[SITUACAO]]=1,TED[[#This Row],[SITUACAO]]=9,TED[[#This Row],[SITUACAO]]=18),"ATIVO","AFASTADO")</f>
        <v>ATIVO</v>
      </c>
      <c r="K1802" s="12">
        <v>1</v>
      </c>
    </row>
    <row r="1803" spans="1:11" x14ac:dyDescent="0.25">
      <c r="A1803" s="10">
        <v>40152</v>
      </c>
      <c r="B1803" s="9" t="s">
        <v>1005</v>
      </c>
      <c r="C1803" s="12" t="str">
        <f>IFERROR(VLOOKUP(TED[[#This Row],[CENTRO]],'CENTRO DE CUSTO'!B:E,4,FALSE)," ")</f>
        <v>PAULO TORRES</v>
      </c>
      <c r="D1803" s="12">
        <v>286</v>
      </c>
      <c r="E1803" s="16">
        <v>286019</v>
      </c>
      <c r="F1803" s="10" t="s">
        <v>1986</v>
      </c>
      <c r="G1803" s="10">
        <v>150</v>
      </c>
      <c r="H1803" s="11">
        <v>45901</v>
      </c>
      <c r="I1803" s="10" t="s">
        <v>1</v>
      </c>
      <c r="J1803" s="12" t="str">
        <f>IF(OR(TED[[#This Row],[SITUACAO]]=1,TED[[#This Row],[SITUACAO]]=9,TED[[#This Row],[SITUACAO]]=18),"ATIVO","AFASTADO")</f>
        <v>AFASTADO</v>
      </c>
      <c r="K1803" s="12">
        <v>6</v>
      </c>
    </row>
    <row r="1804" spans="1:11" x14ac:dyDescent="0.25">
      <c r="A1804" s="10">
        <v>40168</v>
      </c>
      <c r="B1804" s="9" t="s">
        <v>1859</v>
      </c>
      <c r="C1804" s="12" t="str">
        <f>IFERROR(VLOOKUP(TED[[#This Row],[CENTRO]],'CENTRO DE CUSTO'!B:E,4,FALSE)," ")</f>
        <v>PAULO HENRIQUE</v>
      </c>
      <c r="D1804" s="12">
        <v>286</v>
      </c>
      <c r="E1804" s="16">
        <v>286009</v>
      </c>
      <c r="F1804" s="10" t="s">
        <v>1976</v>
      </c>
      <c r="G1804" s="10">
        <v>200</v>
      </c>
      <c r="H1804" s="11">
        <v>45901</v>
      </c>
      <c r="I1804" s="10" t="s">
        <v>1</v>
      </c>
      <c r="J1804" s="12" t="str">
        <f>IF(OR(TED[[#This Row],[SITUACAO]]=1,TED[[#This Row],[SITUACAO]]=9,TED[[#This Row],[SITUACAO]]=18),"ATIVO","AFASTADO")</f>
        <v>ATIVO</v>
      </c>
      <c r="K1804" s="12">
        <v>1</v>
      </c>
    </row>
    <row r="1805" spans="1:11" x14ac:dyDescent="0.25">
      <c r="A1805" s="10">
        <v>40166</v>
      </c>
      <c r="B1805" s="9" t="s">
        <v>1845</v>
      </c>
      <c r="C1805" s="12" t="str">
        <f>IFERROR(VLOOKUP(TED[[#This Row],[CENTRO]],'CENTRO DE CUSTO'!B:E,4,FALSE)," ")</f>
        <v>PAULO HENRIQUE</v>
      </c>
      <c r="D1805" s="12">
        <v>286</v>
      </c>
      <c r="E1805" s="16">
        <v>286007</v>
      </c>
      <c r="F1805" s="10" t="s">
        <v>1974</v>
      </c>
      <c r="G1805" s="10">
        <v>200</v>
      </c>
      <c r="H1805" s="11">
        <v>45901</v>
      </c>
      <c r="I1805" s="10" t="s">
        <v>942</v>
      </c>
      <c r="J1805" s="12" t="str">
        <f>IF(OR(TED[[#This Row],[SITUACAO]]=1,TED[[#This Row],[SITUACAO]]=9,TED[[#This Row],[SITUACAO]]=18),"ATIVO","AFASTADO")</f>
        <v>ATIVO</v>
      </c>
      <c r="K1805" s="12">
        <v>1</v>
      </c>
    </row>
    <row r="1806" spans="1:11" x14ac:dyDescent="0.25">
      <c r="A1806" s="10">
        <v>40157</v>
      </c>
      <c r="B1806" s="9" t="s">
        <v>1867</v>
      </c>
      <c r="C1806" s="12" t="str">
        <f>IFERROR(VLOOKUP(TED[[#This Row],[CENTRO]],'CENTRO DE CUSTO'!B:E,4,FALSE)," ")</f>
        <v>PAULO HENRIQUE</v>
      </c>
      <c r="D1806" s="12">
        <v>286</v>
      </c>
      <c r="E1806" s="16">
        <v>286012</v>
      </c>
      <c r="F1806" s="10" t="s">
        <v>1979</v>
      </c>
      <c r="G1806" s="10">
        <v>200</v>
      </c>
      <c r="H1806" s="11">
        <v>45901</v>
      </c>
      <c r="I1806" s="10" t="s">
        <v>1</v>
      </c>
      <c r="J1806" s="12" t="str">
        <f>IF(OR(TED[[#This Row],[SITUACAO]]=1,TED[[#This Row],[SITUACAO]]=9,TED[[#This Row],[SITUACAO]]=18),"ATIVO","AFASTADO")</f>
        <v>ATIVO</v>
      </c>
      <c r="K1806" s="12">
        <v>1</v>
      </c>
    </row>
    <row r="1807" spans="1:11" x14ac:dyDescent="0.25">
      <c r="A1807" s="10">
        <v>41667</v>
      </c>
      <c r="B1807" s="9" t="s">
        <v>1874</v>
      </c>
      <c r="C1807" s="12" t="str">
        <f>IFERROR(VLOOKUP(TED[[#This Row],[CENTRO]],'CENTRO DE CUSTO'!B:E,4,FALSE)," ")</f>
        <v>FERNANDO SANTOS</v>
      </c>
      <c r="D1807" s="12">
        <v>286</v>
      </c>
      <c r="E1807" s="16">
        <v>286014</v>
      </c>
      <c r="F1807" s="10" t="s">
        <v>1981</v>
      </c>
      <c r="G1807" s="10">
        <v>200</v>
      </c>
      <c r="H1807" s="11">
        <v>45943</v>
      </c>
      <c r="I1807" s="10" t="s">
        <v>21</v>
      </c>
      <c r="J1807" s="12" t="str">
        <f>IF(OR(TED[[#This Row],[SITUACAO]]=1,TED[[#This Row],[SITUACAO]]=9,TED[[#This Row],[SITUACAO]]=18),"ATIVO","AFASTADO")</f>
        <v>ATIVO</v>
      </c>
      <c r="K1807" s="12">
        <v>1</v>
      </c>
    </row>
    <row r="1808" spans="1:11" x14ac:dyDescent="0.25">
      <c r="A1808" s="10">
        <v>40136</v>
      </c>
      <c r="B1808" s="9" t="s">
        <v>1866</v>
      </c>
      <c r="C1808" s="12" t="str">
        <f>IFERROR(VLOOKUP(TED[[#This Row],[CENTRO]],'CENTRO DE CUSTO'!B:E,4,FALSE)," ")</f>
        <v>PAULO HENRIQUE</v>
      </c>
      <c r="D1808" s="12">
        <v>286</v>
      </c>
      <c r="E1808" s="16">
        <v>286012</v>
      </c>
      <c r="F1808" s="10" t="s">
        <v>1979</v>
      </c>
      <c r="G1808" s="10">
        <v>200</v>
      </c>
      <c r="H1808" s="11">
        <v>45901</v>
      </c>
      <c r="I1808" s="10" t="s">
        <v>21</v>
      </c>
      <c r="J1808" s="12" t="str">
        <f>IF(OR(TED[[#This Row],[SITUACAO]]=1,TED[[#This Row],[SITUACAO]]=9,TED[[#This Row],[SITUACAO]]=18),"ATIVO","AFASTADO")</f>
        <v>ATIVO</v>
      </c>
      <c r="K1808" s="12">
        <v>1</v>
      </c>
    </row>
    <row r="1809" spans="1:11" x14ac:dyDescent="0.25">
      <c r="A1809" s="10">
        <v>40161</v>
      </c>
      <c r="B1809" s="9" t="s">
        <v>1796</v>
      </c>
      <c r="C1809" s="12" t="str">
        <f>IFERROR(VLOOKUP(TED[[#This Row],[CENTRO]],'CENTRO DE CUSTO'!B:E,4,FALSE)," ")</f>
        <v>FERNANDO SANTOS</v>
      </c>
      <c r="D1809" s="12">
        <v>286</v>
      </c>
      <c r="E1809" s="16">
        <v>286001</v>
      </c>
      <c r="F1809" s="10" t="s">
        <v>1969</v>
      </c>
      <c r="G1809" s="10">
        <v>200</v>
      </c>
      <c r="H1809" s="11">
        <v>45901</v>
      </c>
      <c r="I1809" s="10" t="s">
        <v>21</v>
      </c>
      <c r="J1809" s="12" t="str">
        <f>IF(OR(TED[[#This Row],[SITUACAO]]=1,TED[[#This Row],[SITUACAO]]=9,TED[[#This Row],[SITUACAO]]=18),"ATIVO","AFASTADO")</f>
        <v>ATIVO</v>
      </c>
      <c r="K1809" s="12">
        <v>1</v>
      </c>
    </row>
    <row r="1810" spans="1:11" x14ac:dyDescent="0.25">
      <c r="A1810" s="10">
        <v>40137</v>
      </c>
      <c r="B1810" s="9" t="s">
        <v>1812</v>
      </c>
      <c r="C1810" s="12" t="str">
        <f>IFERROR(VLOOKUP(TED[[#This Row],[CENTRO]],'CENTRO DE CUSTO'!B:E,4,FALSE)," ")</f>
        <v>PAULO HENRIQUE</v>
      </c>
      <c r="D1810" s="12">
        <v>286</v>
      </c>
      <c r="E1810" s="16">
        <v>286003</v>
      </c>
      <c r="F1810" s="10" t="s">
        <v>1971</v>
      </c>
      <c r="G1810" s="10">
        <v>200</v>
      </c>
      <c r="H1810" s="11">
        <v>45901</v>
      </c>
      <c r="I1810" s="10" t="s">
        <v>1</v>
      </c>
      <c r="J1810" s="12" t="str">
        <f>IF(OR(TED[[#This Row],[SITUACAO]]=1,TED[[#This Row],[SITUACAO]]=9,TED[[#This Row],[SITUACAO]]=18),"ATIVO","AFASTADO")</f>
        <v>ATIVO</v>
      </c>
      <c r="K1810" s="12">
        <v>1</v>
      </c>
    </row>
    <row r="1811" spans="1:11" x14ac:dyDescent="0.25">
      <c r="A1811" s="10">
        <v>40049</v>
      </c>
      <c r="B1811" s="9" t="s">
        <v>1803</v>
      </c>
      <c r="C1811" s="12" t="str">
        <f>IFERROR(VLOOKUP(TED[[#This Row],[CENTRO]],'CENTRO DE CUSTO'!B:E,4,FALSE)," ")</f>
        <v>FERNANDO SANTOS</v>
      </c>
      <c r="D1811" s="12">
        <v>286</v>
      </c>
      <c r="E1811" s="16">
        <v>286001</v>
      </c>
      <c r="F1811" s="10" t="s">
        <v>1969</v>
      </c>
      <c r="G1811" s="10">
        <v>200</v>
      </c>
      <c r="H1811" s="11">
        <v>45901</v>
      </c>
      <c r="I1811" s="10" t="s">
        <v>21</v>
      </c>
      <c r="J1811" s="12" t="str">
        <f>IF(OR(TED[[#This Row],[SITUACAO]]=1,TED[[#This Row],[SITUACAO]]=9,TED[[#This Row],[SITUACAO]]=18),"ATIVO","AFASTADO")</f>
        <v>ATIVO</v>
      </c>
      <c r="K1811" s="12">
        <v>1</v>
      </c>
    </row>
    <row r="1812" spans="1:11" x14ac:dyDescent="0.25">
      <c r="A1812" s="10">
        <v>40224</v>
      </c>
      <c r="B1812" s="9" t="s">
        <v>1840</v>
      </c>
      <c r="C1812" s="12" t="str">
        <f>IFERROR(VLOOKUP(TED[[#This Row],[CENTRO]],'CENTRO DE CUSTO'!B:E,4,FALSE)," ")</f>
        <v>PAULO HENRIQUE</v>
      </c>
      <c r="D1812" s="12">
        <v>286</v>
      </c>
      <c r="E1812" s="16">
        <v>286006</v>
      </c>
      <c r="F1812" s="10" t="s">
        <v>1973</v>
      </c>
      <c r="G1812" s="10">
        <v>200</v>
      </c>
      <c r="H1812" s="11">
        <v>45901</v>
      </c>
      <c r="I1812" s="10" t="s">
        <v>1</v>
      </c>
      <c r="J1812" s="12" t="str">
        <f>IF(OR(TED[[#This Row],[SITUACAO]]=1,TED[[#This Row],[SITUACAO]]=9,TED[[#This Row],[SITUACAO]]=18),"ATIVO","AFASTADO")</f>
        <v>ATIVO</v>
      </c>
      <c r="K1812" s="12">
        <v>1</v>
      </c>
    </row>
    <row r="1813" spans="1:11" x14ac:dyDescent="0.25">
      <c r="A1813" s="10">
        <v>41682</v>
      </c>
      <c r="B1813" s="9" t="s">
        <v>1877</v>
      </c>
      <c r="C1813" s="12" t="str">
        <f>IFERROR(VLOOKUP(TED[[#This Row],[CENTRO]],'CENTRO DE CUSTO'!B:E,4,FALSE)," ")</f>
        <v>FERNANDO SANTOS</v>
      </c>
      <c r="D1813" s="12">
        <v>286</v>
      </c>
      <c r="E1813" s="16">
        <v>286016</v>
      </c>
      <c r="F1813" s="10" t="s">
        <v>1983</v>
      </c>
      <c r="G1813" s="10">
        <v>200</v>
      </c>
      <c r="H1813" s="11">
        <v>45944</v>
      </c>
      <c r="I1813" s="10" t="s">
        <v>21</v>
      </c>
      <c r="J1813" s="12" t="str">
        <f>IF(OR(TED[[#This Row],[SITUACAO]]=1,TED[[#This Row],[SITUACAO]]=9,TED[[#This Row],[SITUACAO]]=18),"ATIVO","AFASTADO")</f>
        <v>ATIVO</v>
      </c>
      <c r="K1813" s="12">
        <v>1</v>
      </c>
    </row>
    <row r="1814" spans="1:11" x14ac:dyDescent="0.25">
      <c r="A1814" s="10">
        <v>40173</v>
      </c>
      <c r="B1814" s="9" t="s">
        <v>1822</v>
      </c>
      <c r="C1814" s="12" t="str">
        <f>IFERROR(VLOOKUP(TED[[#This Row],[CENTRO]],'CENTRO DE CUSTO'!B:E,4,FALSE)," ")</f>
        <v>PAULO HENRIQUE</v>
      </c>
      <c r="D1814" s="12">
        <v>286</v>
      </c>
      <c r="E1814" s="16">
        <v>286006</v>
      </c>
      <c r="F1814" s="10" t="s">
        <v>1973</v>
      </c>
      <c r="G1814" s="10">
        <v>200</v>
      </c>
      <c r="H1814" s="11">
        <v>45901</v>
      </c>
      <c r="I1814" s="10" t="s">
        <v>942</v>
      </c>
      <c r="J1814" s="12" t="str">
        <f>IF(OR(TED[[#This Row],[SITUACAO]]=1,TED[[#This Row],[SITUACAO]]=9,TED[[#This Row],[SITUACAO]]=18),"ATIVO","AFASTADO")</f>
        <v>ATIVO</v>
      </c>
      <c r="K1814" s="12">
        <v>1</v>
      </c>
    </row>
    <row r="1815" spans="1:11" x14ac:dyDescent="0.25">
      <c r="A1815" s="10">
        <v>40198</v>
      </c>
      <c r="B1815" s="9" t="s">
        <v>1849</v>
      </c>
      <c r="C1815" s="12" t="str">
        <f>IFERROR(VLOOKUP(TED[[#This Row],[CENTRO]],'CENTRO DE CUSTO'!B:E,4,FALSE)," ")</f>
        <v>PAULO HENRIQUE</v>
      </c>
      <c r="D1815" s="12">
        <v>286</v>
      </c>
      <c r="E1815" s="16">
        <v>286008</v>
      </c>
      <c r="F1815" s="10" t="s">
        <v>1975</v>
      </c>
      <c r="G1815" s="10">
        <v>200</v>
      </c>
      <c r="H1815" s="11">
        <v>45901</v>
      </c>
      <c r="I1815" s="10" t="s">
        <v>942</v>
      </c>
      <c r="J1815" s="12" t="str">
        <f>IF(OR(TED[[#This Row],[SITUACAO]]=1,TED[[#This Row],[SITUACAO]]=9,TED[[#This Row],[SITUACAO]]=18),"ATIVO","AFASTADO")</f>
        <v>ATIVO</v>
      </c>
      <c r="K1815" s="12">
        <v>1</v>
      </c>
    </row>
    <row r="1816" spans="1:11" x14ac:dyDescent="0.25">
      <c r="A1816" s="10">
        <v>40175</v>
      </c>
      <c r="B1816" s="9" t="s">
        <v>1880</v>
      </c>
      <c r="C1816" s="12" t="str">
        <f>IFERROR(VLOOKUP(TED[[#This Row],[CENTRO]],'CENTRO DE CUSTO'!B:E,4,FALSE)," ")</f>
        <v>FERNANDO SANTOS</v>
      </c>
      <c r="D1816" s="12">
        <v>286</v>
      </c>
      <c r="E1816" s="16">
        <v>286016</v>
      </c>
      <c r="F1816" s="10" t="s">
        <v>1983</v>
      </c>
      <c r="G1816" s="10">
        <v>220</v>
      </c>
      <c r="H1816" s="11">
        <v>45901</v>
      </c>
      <c r="I1816" s="10" t="s">
        <v>1</v>
      </c>
      <c r="J1816" s="12" t="str">
        <f>IF(OR(TED[[#This Row],[SITUACAO]]=1,TED[[#This Row],[SITUACAO]]=9,TED[[#This Row],[SITUACAO]]=18),"ATIVO","AFASTADO")</f>
        <v>ATIVO</v>
      </c>
      <c r="K1816" s="12">
        <v>1</v>
      </c>
    </row>
    <row r="1817" spans="1:11" x14ac:dyDescent="0.25">
      <c r="A1817" s="10">
        <v>40216</v>
      </c>
      <c r="B1817" s="9" t="s">
        <v>1838</v>
      </c>
      <c r="C1817" s="12" t="str">
        <f>IFERROR(VLOOKUP(TED[[#This Row],[CENTRO]],'CENTRO DE CUSTO'!B:E,4,FALSE)," ")</f>
        <v>PAULO HENRIQUE</v>
      </c>
      <c r="D1817" s="12">
        <v>286</v>
      </c>
      <c r="E1817" s="16">
        <v>286006</v>
      </c>
      <c r="F1817" s="10" t="s">
        <v>1973</v>
      </c>
      <c r="G1817" s="10">
        <v>200</v>
      </c>
      <c r="H1817" s="11">
        <v>45901</v>
      </c>
      <c r="I1817" s="10" t="s">
        <v>21</v>
      </c>
      <c r="J1817" s="12" t="str">
        <f>IF(OR(TED[[#This Row],[SITUACAO]]=1,TED[[#This Row],[SITUACAO]]=9,TED[[#This Row],[SITUACAO]]=18),"ATIVO","AFASTADO")</f>
        <v>ATIVO</v>
      </c>
      <c r="K1817" s="12">
        <v>1</v>
      </c>
    </row>
    <row r="1818" spans="1:11" x14ac:dyDescent="0.25">
      <c r="A1818" s="10">
        <v>40089</v>
      </c>
      <c r="B1818" s="9" t="s">
        <v>1804</v>
      </c>
      <c r="C1818" s="12" t="str">
        <f>IFERROR(VLOOKUP(TED[[#This Row],[CENTRO]],'CENTRO DE CUSTO'!B:E,4,FALSE)," ")</f>
        <v>FERNANDO SANTOS</v>
      </c>
      <c r="D1818" s="12">
        <v>286</v>
      </c>
      <c r="E1818" s="16">
        <v>286001</v>
      </c>
      <c r="F1818" s="10" t="s">
        <v>1969</v>
      </c>
      <c r="G1818" s="10">
        <v>200</v>
      </c>
      <c r="H1818" s="11">
        <v>45901</v>
      </c>
      <c r="I1818" s="10" t="s">
        <v>1</v>
      </c>
      <c r="J1818" s="12" t="str">
        <f>IF(OR(TED[[#This Row],[SITUACAO]]=1,TED[[#This Row],[SITUACAO]]=9,TED[[#This Row],[SITUACAO]]=18),"ATIVO","AFASTADO")</f>
        <v>ATIVO</v>
      </c>
      <c r="K1818" s="12">
        <v>1</v>
      </c>
    </row>
    <row r="1819" spans="1:11" x14ac:dyDescent="0.25">
      <c r="A1819" s="10">
        <v>46004</v>
      </c>
      <c r="B1819" s="9" t="s">
        <v>2373</v>
      </c>
      <c r="C1819" s="12" t="str">
        <f>IFERROR(VLOOKUP(TED[[#This Row],[CENTRO]],'CENTRO DE CUSTO'!B:E,4,FALSE)," ")</f>
        <v>FERNANDO SANTOS</v>
      </c>
      <c r="D1819" s="12">
        <v>286</v>
      </c>
      <c r="E1819" s="16">
        <v>286001</v>
      </c>
      <c r="F1819" s="10" t="s">
        <v>1969</v>
      </c>
      <c r="G1819" s="10">
        <v>200</v>
      </c>
      <c r="H1819" s="11">
        <v>46175</v>
      </c>
      <c r="I1819" s="10" t="s">
        <v>21</v>
      </c>
      <c r="J1819" s="12" t="str">
        <f>IF(OR(TED[[#This Row],[SITUACAO]]=1,TED[[#This Row],[SITUACAO]]=9,TED[[#This Row],[SITUACAO]]=18),"ATIVO","AFASTADO")</f>
        <v>ATIVO</v>
      </c>
      <c r="K1819" s="12">
        <v>1</v>
      </c>
    </row>
    <row r="1820" spans="1:11" x14ac:dyDescent="0.25">
      <c r="A1820" s="10">
        <v>40712</v>
      </c>
      <c r="B1820" s="9" t="s">
        <v>1897</v>
      </c>
      <c r="C1820" s="12" t="str">
        <f>IFERROR(VLOOKUP(TED[[#This Row],[CENTRO]],'CENTRO DE CUSTO'!B:E,4,FALSE)," ")</f>
        <v>PAULO HENRIQUE</v>
      </c>
      <c r="D1820" s="12">
        <v>286</v>
      </c>
      <c r="E1820" s="16">
        <v>286006</v>
      </c>
      <c r="F1820" s="10" t="s">
        <v>1973</v>
      </c>
      <c r="G1820" s="10">
        <v>200</v>
      </c>
      <c r="H1820" s="11">
        <v>45912</v>
      </c>
      <c r="I1820" s="10" t="s">
        <v>942</v>
      </c>
      <c r="J1820" s="12" t="str">
        <f>IF(OR(TED[[#This Row],[SITUACAO]]=1,TED[[#This Row],[SITUACAO]]=9,TED[[#This Row],[SITUACAO]]=18),"ATIVO","AFASTADO")</f>
        <v>ATIVO</v>
      </c>
      <c r="K1820" s="12">
        <v>1</v>
      </c>
    </row>
    <row r="1821" spans="1:11" x14ac:dyDescent="0.25">
      <c r="A1821" s="10">
        <v>40156</v>
      </c>
      <c r="B1821" s="9" t="s">
        <v>1854</v>
      </c>
      <c r="C1821" s="12" t="str">
        <f>IFERROR(VLOOKUP(TED[[#This Row],[CENTRO]],'CENTRO DE CUSTO'!B:E,4,FALSE)," ")</f>
        <v>PAULO HENRIQUE</v>
      </c>
      <c r="D1821" s="12">
        <v>286</v>
      </c>
      <c r="E1821" s="16">
        <v>286009</v>
      </c>
      <c r="F1821" s="10" t="s">
        <v>1976</v>
      </c>
      <c r="G1821" s="10">
        <v>150</v>
      </c>
      <c r="H1821" s="11">
        <v>45901</v>
      </c>
      <c r="I1821" s="10" t="s">
        <v>21</v>
      </c>
      <c r="J1821" s="12" t="str">
        <f>IF(OR(TED[[#This Row],[SITUACAO]]=1,TED[[#This Row],[SITUACAO]]=9,TED[[#This Row],[SITUACAO]]=18),"ATIVO","AFASTADO")</f>
        <v>ATIVO</v>
      </c>
      <c r="K1821" s="12">
        <v>1</v>
      </c>
    </row>
    <row r="1822" spans="1:11" x14ac:dyDescent="0.25">
      <c r="A1822" s="10">
        <v>40047</v>
      </c>
      <c r="B1822" s="9" t="s">
        <v>1893</v>
      </c>
      <c r="C1822" s="12" t="str">
        <f>IFERROR(VLOOKUP(TED[[#This Row],[CENTRO]],'CENTRO DE CUSTO'!B:E,4,FALSE)," ")</f>
        <v>PAULO HENRIQUE</v>
      </c>
      <c r="D1822" s="12">
        <v>286</v>
      </c>
      <c r="E1822" s="16">
        <v>286018</v>
      </c>
      <c r="F1822" s="10" t="s">
        <v>1985</v>
      </c>
      <c r="G1822" s="10">
        <v>200</v>
      </c>
      <c r="H1822" s="11">
        <v>45901</v>
      </c>
      <c r="I1822" s="10" t="s">
        <v>1</v>
      </c>
      <c r="J1822" s="12" t="str">
        <f>IF(OR(TED[[#This Row],[SITUACAO]]=1,TED[[#This Row],[SITUACAO]]=9,TED[[#This Row],[SITUACAO]]=18),"ATIVO","AFASTADO")</f>
        <v>ATIVO</v>
      </c>
      <c r="K1822" s="12">
        <v>1</v>
      </c>
    </row>
    <row r="1823" spans="1:11" x14ac:dyDescent="0.25">
      <c r="A1823" s="10">
        <v>40127</v>
      </c>
      <c r="B1823" s="9" t="s">
        <v>1809</v>
      </c>
      <c r="C1823" s="12" t="str">
        <f>IFERROR(VLOOKUP(TED[[#This Row],[CENTRO]],'CENTRO DE CUSTO'!B:E,4,FALSE)," ")</f>
        <v>PAULO HENRIQUE</v>
      </c>
      <c r="D1823" s="12">
        <v>286</v>
      </c>
      <c r="E1823" s="16">
        <v>286002</v>
      </c>
      <c r="F1823" s="10" t="s">
        <v>1970</v>
      </c>
      <c r="G1823" s="10">
        <v>200</v>
      </c>
      <c r="H1823" s="11">
        <v>45901</v>
      </c>
      <c r="I1823" s="10" t="s">
        <v>942</v>
      </c>
      <c r="J1823" s="12" t="str">
        <f>IF(OR(TED[[#This Row],[SITUACAO]]=1,TED[[#This Row],[SITUACAO]]=9,TED[[#This Row],[SITUACAO]]=18),"ATIVO","AFASTADO")</f>
        <v>ATIVO</v>
      </c>
      <c r="K1823" s="12">
        <v>1</v>
      </c>
    </row>
    <row r="1824" spans="1:11" x14ac:dyDescent="0.25">
      <c r="A1824" s="10">
        <v>46062</v>
      </c>
      <c r="B1824" s="9" t="s">
        <v>2374</v>
      </c>
      <c r="C1824" s="12" t="str">
        <f>IFERROR(VLOOKUP(TED[[#This Row],[CENTRO]],'CENTRO DE CUSTO'!B:E,4,FALSE)," ")</f>
        <v>PAULO HENRIQUE</v>
      </c>
      <c r="D1824" s="12">
        <v>286</v>
      </c>
      <c r="E1824" s="16">
        <v>286012</v>
      </c>
      <c r="F1824" s="10" t="s">
        <v>1979</v>
      </c>
      <c r="G1824" s="10">
        <v>220</v>
      </c>
      <c r="H1824" s="11">
        <v>46181</v>
      </c>
      <c r="I1824" s="10" t="s">
        <v>1</v>
      </c>
      <c r="J1824" s="12" t="str">
        <f>IF(OR(TED[[#This Row],[SITUACAO]]=1,TED[[#This Row],[SITUACAO]]=9,TED[[#This Row],[SITUACAO]]=18),"ATIVO","AFASTADO")</f>
        <v>ATIVO</v>
      </c>
      <c r="K1824" s="12">
        <v>1</v>
      </c>
    </row>
    <row r="1825" spans="1:11" x14ac:dyDescent="0.25">
      <c r="A1825" s="10">
        <v>42024</v>
      </c>
      <c r="B1825" s="9" t="s">
        <v>1863</v>
      </c>
      <c r="C1825" s="12" t="str">
        <f>IFERROR(VLOOKUP(TED[[#This Row],[CENTRO]],'CENTRO DE CUSTO'!B:E,4,FALSE)," ")</f>
        <v>PAULO HENRIQUE</v>
      </c>
      <c r="D1825" s="12">
        <v>286</v>
      </c>
      <c r="E1825" s="16">
        <v>286012</v>
      </c>
      <c r="F1825" s="10" t="s">
        <v>1979</v>
      </c>
      <c r="G1825" s="10">
        <v>150</v>
      </c>
      <c r="H1825" s="11">
        <v>45967</v>
      </c>
      <c r="I1825" s="10" t="s">
        <v>1996</v>
      </c>
      <c r="J1825" s="12" t="str">
        <f>IF(OR(TED[[#This Row],[SITUACAO]]=1,TED[[#This Row],[SITUACAO]]=9,TED[[#This Row],[SITUACAO]]=18),"ATIVO","AFASTADO")</f>
        <v>ATIVO</v>
      </c>
      <c r="K1825" s="12">
        <v>1</v>
      </c>
    </row>
    <row r="1826" spans="1:11" x14ac:dyDescent="0.25">
      <c r="A1826" s="10">
        <v>40170</v>
      </c>
      <c r="B1826" s="9" t="s">
        <v>1823</v>
      </c>
      <c r="C1826" s="12" t="str">
        <f>IFERROR(VLOOKUP(TED[[#This Row],[CENTRO]],'CENTRO DE CUSTO'!B:E,4,FALSE)," ")</f>
        <v>PAULO HENRIQUE</v>
      </c>
      <c r="D1826" s="12">
        <v>286</v>
      </c>
      <c r="E1826" s="16">
        <v>286018</v>
      </c>
      <c r="F1826" s="10" t="s">
        <v>1985</v>
      </c>
      <c r="G1826" s="10">
        <v>200</v>
      </c>
      <c r="H1826" s="11">
        <v>45901</v>
      </c>
      <c r="I1826" s="10" t="s">
        <v>21</v>
      </c>
      <c r="J1826" s="12" t="str">
        <f>IF(OR(TED[[#This Row],[SITUACAO]]=1,TED[[#This Row],[SITUACAO]]=9,TED[[#This Row],[SITUACAO]]=18),"ATIVO","AFASTADO")</f>
        <v>ATIVO</v>
      </c>
      <c r="K1826" s="12">
        <v>1</v>
      </c>
    </row>
    <row r="1827" spans="1:11" x14ac:dyDescent="0.25">
      <c r="A1827" s="10">
        <v>40291</v>
      </c>
      <c r="B1827" s="9" t="s">
        <v>1882</v>
      </c>
      <c r="C1827" s="12" t="str">
        <f>IFERROR(VLOOKUP(TED[[#This Row],[CENTRO]],'CENTRO DE CUSTO'!B:E,4,FALSE)," ")</f>
        <v>FERNANDO SANTOS</v>
      </c>
      <c r="D1827" s="12">
        <v>286</v>
      </c>
      <c r="E1827" s="16">
        <v>286016</v>
      </c>
      <c r="F1827" s="10" t="s">
        <v>1983</v>
      </c>
      <c r="G1827" s="10">
        <v>220</v>
      </c>
      <c r="H1827" s="11">
        <v>45901</v>
      </c>
      <c r="I1827" s="10" t="s">
        <v>1</v>
      </c>
      <c r="J1827" s="12" t="str">
        <f>IF(OR(TED[[#This Row],[SITUACAO]]=1,TED[[#This Row],[SITUACAO]]=9,TED[[#This Row],[SITUACAO]]=18),"ATIVO","AFASTADO")</f>
        <v>ATIVO</v>
      </c>
      <c r="K1827" s="12">
        <v>1</v>
      </c>
    </row>
    <row r="1828" spans="1:11" x14ac:dyDescent="0.25">
      <c r="A1828" s="10">
        <v>40169</v>
      </c>
      <c r="B1828" s="9" t="s">
        <v>1794</v>
      </c>
      <c r="C1828" s="12" t="str">
        <f>IFERROR(VLOOKUP(TED[[#This Row],[CENTRO]],'CENTRO DE CUSTO'!B:E,4,FALSE)," ")</f>
        <v>FERNANDO SANTOS</v>
      </c>
      <c r="D1828" s="12">
        <v>286</v>
      </c>
      <c r="E1828" s="16">
        <v>286001</v>
      </c>
      <c r="F1828" s="10" t="s">
        <v>1969</v>
      </c>
      <c r="G1828" s="10">
        <v>200</v>
      </c>
      <c r="H1828" s="11">
        <v>45901</v>
      </c>
      <c r="I1828" s="10" t="s">
        <v>1</v>
      </c>
      <c r="J1828" s="12" t="str">
        <f>IF(OR(TED[[#This Row],[SITUACAO]]=1,TED[[#This Row],[SITUACAO]]=9,TED[[#This Row],[SITUACAO]]=18),"ATIVO","AFASTADO")</f>
        <v>ATIVO</v>
      </c>
      <c r="K1828" s="12">
        <v>1</v>
      </c>
    </row>
    <row r="1829" spans="1:11" x14ac:dyDescent="0.25">
      <c r="A1829" s="10">
        <v>40290</v>
      </c>
      <c r="B1829" s="9" t="s">
        <v>1798</v>
      </c>
      <c r="C1829" s="12" t="str">
        <f>IFERROR(VLOOKUP(TED[[#This Row],[CENTRO]],'CENTRO DE CUSTO'!B:E,4,FALSE)," ")</f>
        <v>PAULO HENRIQUE</v>
      </c>
      <c r="D1829" s="12">
        <v>286</v>
      </c>
      <c r="E1829" s="16">
        <v>286006</v>
      </c>
      <c r="F1829" s="10" t="s">
        <v>1973</v>
      </c>
      <c r="G1829" s="10">
        <v>200</v>
      </c>
      <c r="H1829" s="11">
        <v>45901</v>
      </c>
      <c r="I1829" s="10" t="s">
        <v>21</v>
      </c>
      <c r="J1829" s="12" t="str">
        <f>IF(OR(TED[[#This Row],[SITUACAO]]=1,TED[[#This Row],[SITUACAO]]=9,TED[[#This Row],[SITUACAO]]=18),"ATIVO","AFASTADO")</f>
        <v>ATIVO</v>
      </c>
      <c r="K1829" s="12">
        <v>1</v>
      </c>
    </row>
    <row r="1830" spans="1:11" x14ac:dyDescent="0.25">
      <c r="A1830" s="10">
        <v>40217</v>
      </c>
      <c r="B1830" s="9" t="s">
        <v>1857</v>
      </c>
      <c r="C1830" s="12" t="str">
        <f>IFERROR(VLOOKUP(TED[[#This Row],[CENTRO]],'CENTRO DE CUSTO'!B:E,4,FALSE)," ")</f>
        <v>PAULO HENRIQUE</v>
      </c>
      <c r="D1830" s="12">
        <v>286</v>
      </c>
      <c r="E1830" s="16">
        <v>286009</v>
      </c>
      <c r="F1830" s="10" t="s">
        <v>1976</v>
      </c>
      <c r="G1830" s="10">
        <v>200</v>
      </c>
      <c r="H1830" s="11">
        <v>45901</v>
      </c>
      <c r="I1830" s="10" t="s">
        <v>1</v>
      </c>
      <c r="J1830" s="12" t="str">
        <f>IF(OR(TED[[#This Row],[SITUACAO]]=1,TED[[#This Row],[SITUACAO]]=9,TED[[#This Row],[SITUACAO]]=18),"ATIVO","AFASTADO")</f>
        <v>ATIVO</v>
      </c>
      <c r="K1830" s="12">
        <v>1</v>
      </c>
    </row>
    <row r="1831" spans="1:11" x14ac:dyDescent="0.25">
      <c r="A1831" s="10">
        <v>40101</v>
      </c>
      <c r="B1831" s="9" t="s">
        <v>1875</v>
      </c>
      <c r="C1831" s="12" t="str">
        <f>IFERROR(VLOOKUP(TED[[#This Row],[CENTRO]],'CENTRO DE CUSTO'!B:E,4,FALSE)," ")</f>
        <v>FERNANDO SANTOS</v>
      </c>
      <c r="D1831" s="12">
        <v>286</v>
      </c>
      <c r="E1831" s="16">
        <v>286014</v>
      </c>
      <c r="F1831" s="10" t="s">
        <v>1981</v>
      </c>
      <c r="G1831" s="10">
        <v>200</v>
      </c>
      <c r="H1831" s="11">
        <v>45901</v>
      </c>
      <c r="I1831" s="10" t="s">
        <v>21</v>
      </c>
      <c r="J1831" s="12" t="str">
        <f>IF(OR(TED[[#This Row],[SITUACAO]]=1,TED[[#This Row],[SITUACAO]]=9,TED[[#This Row],[SITUACAO]]=18),"ATIVO","AFASTADO")</f>
        <v>ATIVO</v>
      </c>
      <c r="K1831" s="12">
        <v>1</v>
      </c>
    </row>
    <row r="1832" spans="1:11" x14ac:dyDescent="0.25">
      <c r="A1832" s="10">
        <v>40285</v>
      </c>
      <c r="B1832" s="9" t="s">
        <v>1855</v>
      </c>
      <c r="C1832" s="12" t="str">
        <f>IFERROR(VLOOKUP(TED[[#This Row],[CENTRO]],'CENTRO DE CUSTO'!B:E,4,FALSE)," ")</f>
        <v>FERNANDO SANTOS</v>
      </c>
      <c r="D1832" s="12">
        <v>286</v>
      </c>
      <c r="E1832" s="16">
        <v>286001</v>
      </c>
      <c r="F1832" s="10" t="s">
        <v>1969</v>
      </c>
      <c r="G1832" s="10">
        <v>200</v>
      </c>
      <c r="H1832" s="11">
        <v>45901</v>
      </c>
      <c r="I1832" s="10" t="s">
        <v>21</v>
      </c>
      <c r="J1832" s="12" t="str">
        <f>IF(OR(TED[[#This Row],[SITUACAO]]=1,TED[[#This Row],[SITUACAO]]=9,TED[[#This Row],[SITUACAO]]=18),"ATIVO","AFASTADO")</f>
        <v>ATIVO</v>
      </c>
      <c r="K1832" s="12">
        <v>1</v>
      </c>
    </row>
    <row r="1833" spans="1:11" x14ac:dyDescent="0.25">
      <c r="A1833" s="10">
        <v>40077</v>
      </c>
      <c r="B1833" s="9" t="s">
        <v>1843</v>
      </c>
      <c r="C1833" s="12" t="str">
        <f>IFERROR(VLOOKUP(TED[[#This Row],[CENTRO]],'CENTRO DE CUSTO'!B:E,4,FALSE)," ")</f>
        <v>PAULO HENRIQUE</v>
      </c>
      <c r="D1833" s="12">
        <v>286</v>
      </c>
      <c r="E1833" s="16">
        <v>286006</v>
      </c>
      <c r="F1833" s="10" t="s">
        <v>1973</v>
      </c>
      <c r="G1833" s="10">
        <v>200</v>
      </c>
      <c r="H1833" s="11">
        <v>45901</v>
      </c>
      <c r="I1833" s="10" t="s">
        <v>1</v>
      </c>
      <c r="J1833" s="12" t="str">
        <f>IF(OR(TED[[#This Row],[SITUACAO]]=1,TED[[#This Row],[SITUACAO]]=9,TED[[#This Row],[SITUACAO]]=18),"ATIVO","AFASTADO")</f>
        <v>ATIVO</v>
      </c>
      <c r="K1833" s="12">
        <v>1</v>
      </c>
    </row>
    <row r="1834" spans="1:11" x14ac:dyDescent="0.25">
      <c r="A1834" s="10">
        <v>40144</v>
      </c>
      <c r="B1834" s="9" t="s">
        <v>1886</v>
      </c>
      <c r="C1834" s="12" t="str">
        <f>IFERROR(VLOOKUP(TED[[#This Row],[CENTRO]],'CENTRO DE CUSTO'!B:E,4,FALSE)," ")</f>
        <v>PAULO HENRIQUE</v>
      </c>
      <c r="D1834" s="12">
        <v>286</v>
      </c>
      <c r="E1834" s="16">
        <v>286017</v>
      </c>
      <c r="F1834" s="10" t="s">
        <v>1984</v>
      </c>
      <c r="G1834" s="10">
        <v>200</v>
      </c>
      <c r="H1834" s="11">
        <v>45901</v>
      </c>
      <c r="I1834" s="10" t="s">
        <v>1</v>
      </c>
      <c r="J1834" s="12" t="str">
        <f>IF(OR(TED[[#This Row],[SITUACAO]]=1,TED[[#This Row],[SITUACAO]]=9,TED[[#This Row],[SITUACAO]]=18),"ATIVO","AFASTADO")</f>
        <v>ATIVO</v>
      </c>
      <c r="K1834" s="12">
        <v>1</v>
      </c>
    </row>
    <row r="1835" spans="1:11" x14ac:dyDescent="0.25">
      <c r="A1835" s="10">
        <v>40098</v>
      </c>
      <c r="B1835" s="9" t="s">
        <v>1827</v>
      </c>
      <c r="C1835" s="12" t="str">
        <f>IFERROR(VLOOKUP(TED[[#This Row],[CENTRO]],'CENTRO DE CUSTO'!B:E,4,FALSE)," ")</f>
        <v>PAULO HENRIQUE</v>
      </c>
      <c r="D1835" s="12">
        <v>286</v>
      </c>
      <c r="E1835" s="16">
        <v>286006</v>
      </c>
      <c r="F1835" s="10" t="s">
        <v>1973</v>
      </c>
      <c r="G1835" s="10">
        <v>200</v>
      </c>
      <c r="H1835" s="11">
        <v>45901</v>
      </c>
      <c r="I1835" s="10" t="s">
        <v>942</v>
      </c>
      <c r="J1835" s="12" t="str">
        <f>IF(OR(TED[[#This Row],[SITUACAO]]=1,TED[[#This Row],[SITUACAO]]=9,TED[[#This Row],[SITUACAO]]=18),"ATIVO","AFASTADO")</f>
        <v>ATIVO</v>
      </c>
      <c r="K1835" s="12">
        <v>1</v>
      </c>
    </row>
    <row r="1836" spans="1:11" x14ac:dyDescent="0.25">
      <c r="A1836" s="10">
        <v>42871</v>
      </c>
      <c r="B1836" s="9" t="s">
        <v>1789</v>
      </c>
      <c r="C1836" s="12" t="str">
        <f>IFERROR(VLOOKUP(TED[[#This Row],[CENTRO]],'CENTRO DE CUSTO'!B:E,4,FALSE)," ")</f>
        <v>PAULO HENRIQUE</v>
      </c>
      <c r="D1836" s="12">
        <v>286</v>
      </c>
      <c r="E1836" s="16">
        <v>286000</v>
      </c>
      <c r="F1836" s="10" t="s">
        <v>1968</v>
      </c>
      <c r="G1836" s="10">
        <v>150</v>
      </c>
      <c r="H1836" s="11">
        <v>45988</v>
      </c>
      <c r="I1836" s="10" t="s">
        <v>942</v>
      </c>
      <c r="J1836" s="12" t="str">
        <f>IF(OR(TED[[#This Row],[SITUACAO]]=1,TED[[#This Row],[SITUACAO]]=9,TED[[#This Row],[SITUACAO]]=18),"ATIVO","AFASTADO")</f>
        <v>ATIVO</v>
      </c>
      <c r="K1836" s="12">
        <v>1</v>
      </c>
    </row>
    <row r="1837" spans="1:11" x14ac:dyDescent="0.25">
      <c r="A1837" s="10">
        <v>40075</v>
      </c>
      <c r="B1837" s="9" t="s">
        <v>1833</v>
      </c>
      <c r="C1837" s="12" t="str">
        <f>IFERROR(VLOOKUP(TED[[#This Row],[CENTRO]],'CENTRO DE CUSTO'!B:E,4,FALSE)," ")</f>
        <v>PAULO HENRIQUE</v>
      </c>
      <c r="D1837" s="12">
        <v>286</v>
      </c>
      <c r="E1837" s="16">
        <v>286006</v>
      </c>
      <c r="F1837" s="10" t="s">
        <v>1973</v>
      </c>
      <c r="G1837" s="10">
        <v>200</v>
      </c>
      <c r="H1837" s="11">
        <v>45901</v>
      </c>
      <c r="I1837" s="10" t="s">
        <v>942</v>
      </c>
      <c r="J1837" s="12" t="str">
        <f>IF(OR(TED[[#This Row],[SITUACAO]]=1,TED[[#This Row],[SITUACAO]]=9,TED[[#This Row],[SITUACAO]]=18),"ATIVO","AFASTADO")</f>
        <v>ATIVO</v>
      </c>
      <c r="K1837" s="12">
        <v>1</v>
      </c>
    </row>
    <row r="1838" spans="1:11" x14ac:dyDescent="0.25">
      <c r="A1838" s="10">
        <v>40171</v>
      </c>
      <c r="B1838" s="9" t="s">
        <v>1853</v>
      </c>
      <c r="C1838" s="12" t="str">
        <f>IFERROR(VLOOKUP(TED[[#This Row],[CENTRO]],'CENTRO DE CUSTO'!B:E,4,FALSE)," ")</f>
        <v>PAULO HENRIQUE</v>
      </c>
      <c r="D1838" s="12">
        <v>286</v>
      </c>
      <c r="E1838" s="16">
        <v>286009</v>
      </c>
      <c r="F1838" s="10" t="s">
        <v>1976</v>
      </c>
      <c r="G1838" s="10">
        <v>200</v>
      </c>
      <c r="H1838" s="11">
        <v>45901</v>
      </c>
      <c r="I1838" s="10" t="s">
        <v>1996</v>
      </c>
      <c r="J1838" s="12" t="str">
        <f>IF(OR(TED[[#This Row],[SITUACAO]]=1,TED[[#This Row],[SITUACAO]]=9,TED[[#This Row],[SITUACAO]]=18),"ATIVO","AFASTADO")</f>
        <v>ATIVO</v>
      </c>
      <c r="K1838" s="12">
        <v>1</v>
      </c>
    </row>
    <row r="1839" spans="1:11" x14ac:dyDescent="0.25">
      <c r="A1839" s="10">
        <v>40498</v>
      </c>
      <c r="B1839" s="9" t="s">
        <v>1883</v>
      </c>
      <c r="C1839" s="12" t="str">
        <f>IFERROR(VLOOKUP(TED[[#This Row],[CENTRO]],'CENTRO DE CUSTO'!B:E,4,FALSE)," ")</f>
        <v>FERNANDO SANTOS</v>
      </c>
      <c r="D1839" s="12">
        <v>286</v>
      </c>
      <c r="E1839" s="16">
        <v>286016</v>
      </c>
      <c r="F1839" s="10" t="s">
        <v>1983</v>
      </c>
      <c r="G1839" s="10">
        <v>220</v>
      </c>
      <c r="H1839" s="11">
        <v>45904</v>
      </c>
      <c r="I1839" s="10" t="s">
        <v>1</v>
      </c>
      <c r="J1839" s="12" t="str">
        <f>IF(OR(TED[[#This Row],[SITUACAO]]=1,TED[[#This Row],[SITUACAO]]=9,TED[[#This Row],[SITUACAO]]=18),"ATIVO","AFASTADO")</f>
        <v>ATIVO</v>
      </c>
      <c r="K1839" s="12">
        <v>1</v>
      </c>
    </row>
    <row r="1840" spans="1:11" x14ac:dyDescent="0.25">
      <c r="A1840" s="10">
        <v>41428</v>
      </c>
      <c r="B1840" s="9" t="s">
        <v>1816</v>
      </c>
      <c r="C1840" s="12" t="str">
        <f>IFERROR(VLOOKUP(TED[[#This Row],[CENTRO]],'CENTRO DE CUSTO'!B:E,4,FALSE)," ")</f>
        <v>PAULO HENRIQUE</v>
      </c>
      <c r="D1840" s="12">
        <v>286</v>
      </c>
      <c r="E1840" s="16">
        <v>286005</v>
      </c>
      <c r="F1840" s="10" t="s">
        <v>1972</v>
      </c>
      <c r="G1840" s="10">
        <v>150</v>
      </c>
      <c r="H1840" s="11">
        <v>45931</v>
      </c>
      <c r="I1840" s="10" t="s">
        <v>1</v>
      </c>
      <c r="J1840" s="12" t="str">
        <f>IF(OR(TED[[#This Row],[SITUACAO]]=1,TED[[#This Row],[SITUACAO]]=9,TED[[#This Row],[SITUACAO]]=18),"ATIVO","AFASTADO")</f>
        <v>ATIVO</v>
      </c>
      <c r="K1840" s="12">
        <v>1</v>
      </c>
    </row>
    <row r="1841" spans="1:11" x14ac:dyDescent="0.25">
      <c r="A1841" s="10">
        <v>40010</v>
      </c>
      <c r="B1841" s="9" t="s">
        <v>1871</v>
      </c>
      <c r="C1841" s="12" t="str">
        <f>IFERROR(VLOOKUP(TED[[#This Row],[CENTRO]],'CENTRO DE CUSTO'!B:E,4,FALSE)," ")</f>
        <v>PAULO TORRES</v>
      </c>
      <c r="D1841" s="12">
        <v>286</v>
      </c>
      <c r="E1841" s="16">
        <v>286019</v>
      </c>
      <c r="F1841" s="10" t="s">
        <v>1986</v>
      </c>
      <c r="G1841" s="10">
        <v>200</v>
      </c>
      <c r="H1841" s="11">
        <v>45901</v>
      </c>
      <c r="I1841" s="10" t="s">
        <v>1</v>
      </c>
      <c r="J1841" s="12" t="str">
        <f>IF(OR(TED[[#This Row],[SITUACAO]]=1,TED[[#This Row],[SITUACAO]]=9,TED[[#This Row],[SITUACAO]]=18),"ATIVO","AFASTADO")</f>
        <v>ATIVO</v>
      </c>
      <c r="K1841" s="12">
        <v>1</v>
      </c>
    </row>
    <row r="1842" spans="1:11" x14ac:dyDescent="0.25">
      <c r="A1842" s="10">
        <v>41344</v>
      </c>
      <c r="B1842" s="9" t="s">
        <v>1864</v>
      </c>
      <c r="C1842" s="12" t="str">
        <f>IFERROR(VLOOKUP(TED[[#This Row],[CENTRO]],'CENTRO DE CUSTO'!B:E,4,FALSE)," ")</f>
        <v>PAULO HENRIQUE</v>
      </c>
      <c r="D1842" s="12">
        <v>286</v>
      </c>
      <c r="E1842" s="16">
        <v>286012</v>
      </c>
      <c r="F1842" s="10" t="s">
        <v>1979</v>
      </c>
      <c r="G1842" s="10">
        <v>200</v>
      </c>
      <c r="H1842" s="11">
        <v>45926</v>
      </c>
      <c r="I1842" s="10" t="s">
        <v>21</v>
      </c>
      <c r="J1842" s="12" t="str">
        <f>IF(OR(TED[[#This Row],[SITUACAO]]=1,TED[[#This Row],[SITUACAO]]=9,TED[[#This Row],[SITUACAO]]=18),"ATIVO","AFASTADO")</f>
        <v>ATIVO</v>
      </c>
      <c r="K1842" s="12">
        <v>1</v>
      </c>
    </row>
    <row r="1843" spans="1:11" x14ac:dyDescent="0.25">
      <c r="A1843" s="10">
        <v>46149</v>
      </c>
      <c r="B1843" s="9" t="s">
        <v>2375</v>
      </c>
      <c r="C1843" s="12" t="str">
        <f>IFERROR(VLOOKUP(TED[[#This Row],[CENTRO]],'CENTRO DE CUSTO'!B:E,4,FALSE)," ")</f>
        <v>PAULO TORRES</v>
      </c>
      <c r="D1843" s="12">
        <v>286</v>
      </c>
      <c r="E1843" s="16">
        <v>286019</v>
      </c>
      <c r="F1843" s="10" t="s">
        <v>1986</v>
      </c>
      <c r="G1843" s="10">
        <v>150</v>
      </c>
      <c r="H1843" s="11">
        <v>46184</v>
      </c>
      <c r="I1843" s="10" t="s">
        <v>1</v>
      </c>
      <c r="J1843" s="12" t="str">
        <f>IF(OR(TED[[#This Row],[SITUACAO]]=1,TED[[#This Row],[SITUACAO]]=9,TED[[#This Row],[SITUACAO]]=18),"ATIVO","AFASTADO")</f>
        <v>ATIVO</v>
      </c>
      <c r="K1843" s="12">
        <v>1</v>
      </c>
    </row>
    <row r="1844" spans="1:11" x14ac:dyDescent="0.25">
      <c r="A1844" s="10">
        <v>40146</v>
      </c>
      <c r="B1844" s="9" t="s">
        <v>1865</v>
      </c>
      <c r="C1844" s="12" t="str">
        <f>IFERROR(VLOOKUP(TED[[#This Row],[CENTRO]],'CENTRO DE CUSTO'!B:E,4,FALSE)," ")</f>
        <v>PAULO HENRIQUE</v>
      </c>
      <c r="D1844" s="12">
        <v>286</v>
      </c>
      <c r="E1844" s="16">
        <v>286012</v>
      </c>
      <c r="F1844" s="10" t="s">
        <v>1979</v>
      </c>
      <c r="G1844" s="10">
        <v>200</v>
      </c>
      <c r="H1844" s="11">
        <v>45901</v>
      </c>
      <c r="I1844" s="10" t="s">
        <v>21</v>
      </c>
      <c r="J1844" s="12" t="str">
        <f>IF(OR(TED[[#This Row],[SITUACAO]]=1,TED[[#This Row],[SITUACAO]]=9,TED[[#This Row],[SITUACAO]]=18),"ATIVO","AFASTADO")</f>
        <v>ATIVO</v>
      </c>
      <c r="K1844" s="12">
        <v>1</v>
      </c>
    </row>
    <row r="1845" spans="1:11" x14ac:dyDescent="0.25">
      <c r="A1845" s="10">
        <v>41889</v>
      </c>
      <c r="B1845" s="9" t="s">
        <v>1792</v>
      </c>
      <c r="C1845" s="12" t="str">
        <f>IFERROR(VLOOKUP(TED[[#This Row],[CENTRO]],'CENTRO DE CUSTO'!B:E,4,FALSE)," ")</f>
        <v>FERNANDO SANTOS</v>
      </c>
      <c r="D1845" s="12">
        <v>286</v>
      </c>
      <c r="E1845" s="16">
        <v>286001</v>
      </c>
      <c r="F1845" s="10" t="s">
        <v>1969</v>
      </c>
      <c r="G1845" s="10">
        <v>200</v>
      </c>
      <c r="H1845" s="11">
        <v>45960</v>
      </c>
      <c r="I1845" s="10" t="s">
        <v>1996</v>
      </c>
      <c r="J1845" s="12" t="str">
        <f>IF(OR(TED[[#This Row],[SITUACAO]]=1,TED[[#This Row],[SITUACAO]]=9,TED[[#This Row],[SITUACAO]]=18),"ATIVO","AFASTADO")</f>
        <v>ATIVO</v>
      </c>
      <c r="K1845" s="12">
        <v>1</v>
      </c>
    </row>
    <row r="1846" spans="1:11" x14ac:dyDescent="0.25">
      <c r="A1846" s="10">
        <v>43128</v>
      </c>
      <c r="B1846" s="9" t="s">
        <v>1884</v>
      </c>
      <c r="C1846" s="12" t="str">
        <f>IFERROR(VLOOKUP(TED[[#This Row],[CENTRO]],'CENTRO DE CUSTO'!B:E,4,FALSE)," ")</f>
        <v>PAULO HENRIQUE</v>
      </c>
      <c r="D1846" s="12">
        <v>286</v>
      </c>
      <c r="E1846" s="16">
        <v>286017</v>
      </c>
      <c r="F1846" s="10" t="s">
        <v>1984</v>
      </c>
      <c r="G1846" s="10">
        <v>200</v>
      </c>
      <c r="H1846" s="11">
        <v>46010</v>
      </c>
      <c r="I1846" s="10" t="s">
        <v>21</v>
      </c>
      <c r="J1846" s="12" t="str">
        <f>IF(OR(TED[[#This Row],[SITUACAO]]=1,TED[[#This Row],[SITUACAO]]=9,TED[[#This Row],[SITUACAO]]=18),"ATIVO","AFASTADO")</f>
        <v>ATIVO</v>
      </c>
      <c r="K1846" s="12">
        <v>1</v>
      </c>
    </row>
    <row r="1847" spans="1:11" x14ac:dyDescent="0.25">
      <c r="A1847" s="10">
        <v>40268</v>
      </c>
      <c r="B1847" s="9" t="s">
        <v>976</v>
      </c>
      <c r="C1847" s="12" t="str">
        <f>IFERROR(VLOOKUP(TED[[#This Row],[CENTRO]],'CENTRO DE CUSTO'!B:E,4,FALSE)," ")</f>
        <v>FERNANDO SANTOS</v>
      </c>
      <c r="D1847" s="12">
        <v>286</v>
      </c>
      <c r="E1847" s="16">
        <v>286016</v>
      </c>
      <c r="F1847" s="10" t="s">
        <v>1983</v>
      </c>
      <c r="G1847" s="10">
        <v>200</v>
      </c>
      <c r="H1847" s="11">
        <v>45901</v>
      </c>
      <c r="I1847" s="10" t="s">
        <v>21</v>
      </c>
      <c r="J1847" s="12" t="str">
        <f>IF(OR(TED[[#This Row],[SITUACAO]]=1,TED[[#This Row],[SITUACAO]]=9,TED[[#This Row],[SITUACAO]]=18),"ATIVO","AFASTADO")</f>
        <v>ATIVO</v>
      </c>
      <c r="K1847" s="12">
        <v>1</v>
      </c>
    </row>
    <row r="1848" spans="1:11" x14ac:dyDescent="0.25">
      <c r="A1848" s="10">
        <v>40076</v>
      </c>
      <c r="B1848" s="9" t="s">
        <v>1887</v>
      </c>
      <c r="C1848" s="12" t="str">
        <f>IFERROR(VLOOKUP(TED[[#This Row],[CENTRO]],'CENTRO DE CUSTO'!B:E,4,FALSE)," ")</f>
        <v>PAULO HENRIQUE</v>
      </c>
      <c r="D1848" s="12">
        <v>286</v>
      </c>
      <c r="E1848" s="16">
        <v>286017</v>
      </c>
      <c r="F1848" s="10" t="s">
        <v>1984</v>
      </c>
      <c r="G1848" s="10">
        <v>200</v>
      </c>
      <c r="H1848" s="11">
        <v>45901</v>
      </c>
      <c r="I1848" s="10" t="s">
        <v>1</v>
      </c>
      <c r="J1848" s="12" t="str">
        <f>IF(OR(TED[[#This Row],[SITUACAO]]=1,TED[[#This Row],[SITUACAO]]=9,TED[[#This Row],[SITUACAO]]=18),"ATIVO","AFASTADO")</f>
        <v>ATIVO</v>
      </c>
      <c r="K1848" s="12">
        <v>1</v>
      </c>
    </row>
    <row r="1849" spans="1:11" x14ac:dyDescent="0.25">
      <c r="A1849" s="10">
        <v>40046</v>
      </c>
      <c r="B1849" s="9" t="s">
        <v>1894</v>
      </c>
      <c r="C1849" s="12" t="str">
        <f>IFERROR(VLOOKUP(TED[[#This Row],[CENTRO]],'CENTRO DE CUSTO'!B:E,4,FALSE)," ")</f>
        <v>PAULO HENRIQUE</v>
      </c>
      <c r="D1849" s="12">
        <v>286</v>
      </c>
      <c r="E1849" s="16">
        <v>286018</v>
      </c>
      <c r="F1849" s="10" t="s">
        <v>1985</v>
      </c>
      <c r="G1849" s="10">
        <v>200</v>
      </c>
      <c r="H1849" s="11">
        <v>45901</v>
      </c>
      <c r="I1849" s="10" t="s">
        <v>1</v>
      </c>
      <c r="J1849" s="12" t="str">
        <f>IF(OR(TED[[#This Row],[SITUACAO]]=1,TED[[#This Row],[SITUACAO]]=9,TED[[#This Row],[SITUACAO]]=18),"ATIVO","AFASTADO")</f>
        <v>ATIVO</v>
      </c>
      <c r="K1849" s="12">
        <v>1</v>
      </c>
    </row>
    <row r="1850" spans="1:11" x14ac:dyDescent="0.25">
      <c r="A1850" s="10">
        <v>40176</v>
      </c>
      <c r="B1850" s="9" t="s">
        <v>1846</v>
      </c>
      <c r="C1850" s="12" t="str">
        <f>IFERROR(VLOOKUP(TED[[#This Row],[CENTRO]],'CENTRO DE CUSTO'!B:E,4,FALSE)," ")</f>
        <v>PAULO HENRIQUE</v>
      </c>
      <c r="D1850" s="12">
        <v>286</v>
      </c>
      <c r="E1850" s="16">
        <v>286007</v>
      </c>
      <c r="F1850" s="10" t="s">
        <v>1974</v>
      </c>
      <c r="G1850" s="10">
        <v>200</v>
      </c>
      <c r="H1850" s="11">
        <v>45901</v>
      </c>
      <c r="I1850" s="10" t="s">
        <v>942</v>
      </c>
      <c r="J1850" s="12" t="str">
        <f>IF(OR(TED[[#This Row],[SITUACAO]]=1,TED[[#This Row],[SITUACAO]]=9,TED[[#This Row],[SITUACAO]]=18),"ATIVO","AFASTADO")</f>
        <v>ATIVO</v>
      </c>
      <c r="K1850" s="12">
        <v>1</v>
      </c>
    </row>
    <row r="1851" spans="1:11" x14ac:dyDescent="0.25">
      <c r="A1851" s="10">
        <v>40214</v>
      </c>
      <c r="B1851" s="9" t="s">
        <v>1819</v>
      </c>
      <c r="C1851" s="12" t="str">
        <f>IFERROR(VLOOKUP(TED[[#This Row],[CENTRO]],'CENTRO DE CUSTO'!B:E,4,FALSE)," ")</f>
        <v>PAULO HENRIQUE</v>
      </c>
      <c r="D1851" s="12">
        <v>286</v>
      </c>
      <c r="E1851" s="16">
        <v>286006</v>
      </c>
      <c r="F1851" s="10" t="s">
        <v>1973</v>
      </c>
      <c r="G1851" s="10">
        <v>200</v>
      </c>
      <c r="H1851" s="11">
        <v>45901</v>
      </c>
      <c r="I1851" s="10" t="s">
        <v>942</v>
      </c>
      <c r="J1851" s="12" t="str">
        <f>IF(OR(TED[[#This Row],[SITUACAO]]=1,TED[[#This Row],[SITUACAO]]=9,TED[[#This Row],[SITUACAO]]=18),"ATIVO","AFASTADO")</f>
        <v>ATIVO</v>
      </c>
      <c r="K1851" s="12">
        <v>1</v>
      </c>
    </row>
    <row r="1852" spans="1:11" x14ac:dyDescent="0.25">
      <c r="A1852" s="10">
        <v>46268</v>
      </c>
      <c r="B1852" s="9" t="s">
        <v>2376</v>
      </c>
      <c r="C1852" s="12" t="str">
        <f>IFERROR(VLOOKUP(TED[[#This Row],[CENTRO]],'CENTRO DE CUSTO'!B:E,4,FALSE)," ")</f>
        <v>FERNANDO SANTOS</v>
      </c>
      <c r="D1852" s="12">
        <v>286</v>
      </c>
      <c r="E1852" s="16">
        <v>286016</v>
      </c>
      <c r="F1852" s="10" t="s">
        <v>1983</v>
      </c>
      <c r="G1852" s="10">
        <v>200</v>
      </c>
      <c r="H1852" s="11">
        <v>46190</v>
      </c>
      <c r="I1852" s="10" t="s">
        <v>21</v>
      </c>
      <c r="J1852" s="12" t="str">
        <f>IF(OR(TED[[#This Row],[SITUACAO]]=1,TED[[#This Row],[SITUACAO]]=9,TED[[#This Row],[SITUACAO]]=18),"ATIVO","AFASTADO")</f>
        <v>ATIVO</v>
      </c>
      <c r="K1852" s="12">
        <v>1</v>
      </c>
    </row>
    <row r="1853" spans="1:11" x14ac:dyDescent="0.25">
      <c r="A1853" s="10">
        <v>40579</v>
      </c>
      <c r="B1853" s="9" t="s">
        <v>1847</v>
      </c>
      <c r="C1853" s="12" t="str">
        <f>IFERROR(VLOOKUP(TED[[#This Row],[CENTRO]],'CENTRO DE CUSTO'!B:E,4,FALSE)," ")</f>
        <v>PAULO HENRIQUE</v>
      </c>
      <c r="D1853" s="12">
        <v>286</v>
      </c>
      <c r="E1853" s="16">
        <v>286007</v>
      </c>
      <c r="F1853" s="10" t="s">
        <v>1974</v>
      </c>
      <c r="G1853" s="10">
        <v>200</v>
      </c>
      <c r="H1853" s="11">
        <v>45904</v>
      </c>
      <c r="I1853" s="10" t="s">
        <v>1</v>
      </c>
      <c r="J1853" s="12" t="str">
        <f>IF(OR(TED[[#This Row],[SITUACAO]]=1,TED[[#This Row],[SITUACAO]]=9,TED[[#This Row],[SITUACAO]]=18),"ATIVO","AFASTADO")</f>
        <v>ATIVO</v>
      </c>
      <c r="K1853" s="12">
        <v>1</v>
      </c>
    </row>
    <row r="1854" spans="1:11" x14ac:dyDescent="0.25">
      <c r="A1854" s="10">
        <v>45136</v>
      </c>
      <c r="B1854" s="9" t="s">
        <v>2200</v>
      </c>
      <c r="C1854" s="12" t="str">
        <f>IFERROR(VLOOKUP(TED[[#This Row],[CENTRO]],'CENTRO DE CUSTO'!B:E,4,FALSE)," ")</f>
        <v>PAULO HENRIQUE</v>
      </c>
      <c r="D1854" s="12">
        <v>286</v>
      </c>
      <c r="E1854" s="16">
        <v>286003</v>
      </c>
      <c r="F1854" s="10" t="s">
        <v>1971</v>
      </c>
      <c r="G1854" s="10">
        <v>200</v>
      </c>
      <c r="H1854" s="11">
        <v>46128</v>
      </c>
      <c r="I1854" s="10" t="s">
        <v>1</v>
      </c>
      <c r="J1854" s="12" t="str">
        <f>IF(OR(TED[[#This Row],[SITUACAO]]=1,TED[[#This Row],[SITUACAO]]=9,TED[[#This Row],[SITUACAO]]=18),"ATIVO","AFASTADO")</f>
        <v>ATIVO</v>
      </c>
      <c r="K1854" s="12">
        <v>1</v>
      </c>
    </row>
    <row r="1855" spans="1:11" x14ac:dyDescent="0.25">
      <c r="A1855" s="10">
        <v>40045</v>
      </c>
      <c r="B1855" s="9" t="s">
        <v>1835</v>
      </c>
      <c r="C1855" s="12" t="str">
        <f>IFERROR(VLOOKUP(TED[[#This Row],[CENTRO]],'CENTRO DE CUSTO'!B:E,4,FALSE)," ")</f>
        <v>PAULO HENRIQUE</v>
      </c>
      <c r="D1855" s="12">
        <v>286</v>
      </c>
      <c r="E1855" s="16">
        <v>286006</v>
      </c>
      <c r="F1855" s="10" t="s">
        <v>1973</v>
      </c>
      <c r="G1855" s="10">
        <v>200</v>
      </c>
      <c r="H1855" s="11">
        <v>45901</v>
      </c>
      <c r="I1855" s="10" t="s">
        <v>942</v>
      </c>
      <c r="J1855" s="12" t="str">
        <f>IF(OR(TED[[#This Row],[SITUACAO]]=1,TED[[#This Row],[SITUACAO]]=9,TED[[#This Row],[SITUACAO]]=18),"ATIVO","AFASTADO")</f>
        <v>ATIVO</v>
      </c>
      <c r="K1855" s="12">
        <v>1</v>
      </c>
    </row>
    <row r="1856" spans="1:11" x14ac:dyDescent="0.25">
      <c r="A1856" s="10">
        <v>40123</v>
      </c>
      <c r="B1856" s="9" t="s">
        <v>1873</v>
      </c>
      <c r="C1856" s="12" t="str">
        <f>IFERROR(VLOOKUP(TED[[#This Row],[CENTRO]],'CENTRO DE CUSTO'!B:E,4,FALSE)," ")</f>
        <v>FERNANDO SANTOS</v>
      </c>
      <c r="D1856" s="12">
        <v>286</v>
      </c>
      <c r="E1856" s="16">
        <v>286014</v>
      </c>
      <c r="F1856" s="10" t="s">
        <v>1981</v>
      </c>
      <c r="G1856" s="10">
        <v>150</v>
      </c>
      <c r="H1856" s="11">
        <v>45901</v>
      </c>
      <c r="I1856" s="10" t="s">
        <v>1996</v>
      </c>
      <c r="J1856" s="12" t="str">
        <f>IF(OR(TED[[#This Row],[SITUACAO]]=1,TED[[#This Row],[SITUACAO]]=9,TED[[#This Row],[SITUACAO]]=18),"ATIVO","AFASTADO")</f>
        <v>ATIVO</v>
      </c>
      <c r="K1856" s="12">
        <v>1</v>
      </c>
    </row>
    <row r="1857" spans="1:11" x14ac:dyDescent="0.25">
      <c r="A1857" s="10">
        <v>42950</v>
      </c>
      <c r="B1857" s="9" t="s">
        <v>1800</v>
      </c>
      <c r="C1857" s="12" t="str">
        <f>IFERROR(VLOOKUP(TED[[#This Row],[CENTRO]],'CENTRO DE CUSTO'!B:E,4,FALSE)," ")</f>
        <v>FERNANDO SANTOS</v>
      </c>
      <c r="D1857" s="12">
        <v>286</v>
      </c>
      <c r="E1857" s="16">
        <v>286001</v>
      </c>
      <c r="F1857" s="10" t="s">
        <v>1969</v>
      </c>
      <c r="G1857" s="10">
        <v>200</v>
      </c>
      <c r="H1857" s="11">
        <v>45993</v>
      </c>
      <c r="I1857" s="10" t="s">
        <v>21</v>
      </c>
      <c r="J1857" s="12" t="str">
        <f>IF(OR(TED[[#This Row],[SITUACAO]]=1,TED[[#This Row],[SITUACAO]]=9,TED[[#This Row],[SITUACAO]]=18),"ATIVO","AFASTADO")</f>
        <v>ATIVO</v>
      </c>
      <c r="K1857" s="12">
        <v>1</v>
      </c>
    </row>
    <row r="1858" spans="1:11" x14ac:dyDescent="0.25">
      <c r="A1858" s="10">
        <v>40174</v>
      </c>
      <c r="B1858" s="9" t="s">
        <v>1876</v>
      </c>
      <c r="C1858" s="12" t="str">
        <f>IFERROR(VLOOKUP(TED[[#This Row],[CENTRO]],'CENTRO DE CUSTO'!B:E,4,FALSE)," ")</f>
        <v>FERNANDO SANTOS</v>
      </c>
      <c r="D1858" s="12">
        <v>286</v>
      </c>
      <c r="E1858" s="16">
        <v>286014</v>
      </c>
      <c r="F1858" s="10" t="s">
        <v>1981</v>
      </c>
      <c r="G1858" s="10">
        <v>200</v>
      </c>
      <c r="H1858" s="11">
        <v>45901</v>
      </c>
      <c r="I1858" s="10" t="s">
        <v>1</v>
      </c>
      <c r="J1858" s="12" t="str">
        <f>IF(OR(TED[[#This Row],[SITUACAO]]=1,TED[[#This Row],[SITUACAO]]=9,TED[[#This Row],[SITUACAO]]=18),"ATIVO","AFASTADO")</f>
        <v>ATIVO</v>
      </c>
      <c r="K1858" s="12">
        <v>1</v>
      </c>
    </row>
    <row r="1859" spans="1:11" x14ac:dyDescent="0.25">
      <c r="A1859" s="10">
        <v>45035</v>
      </c>
      <c r="B1859" s="9" t="s">
        <v>2199</v>
      </c>
      <c r="C1859" s="12" t="str">
        <f>IFERROR(VLOOKUP(TED[[#This Row],[CENTRO]],'CENTRO DE CUSTO'!B:E,4,FALSE)," ")</f>
        <v>FERNANDO SANTOS</v>
      </c>
      <c r="D1859" s="12">
        <v>286</v>
      </c>
      <c r="E1859" s="16">
        <v>286001</v>
      </c>
      <c r="F1859" s="10" t="s">
        <v>1969</v>
      </c>
      <c r="G1859" s="10">
        <v>200</v>
      </c>
      <c r="H1859" s="11">
        <v>46122</v>
      </c>
      <c r="I1859" s="10" t="s">
        <v>21</v>
      </c>
      <c r="J1859" s="12" t="str">
        <f>IF(OR(TED[[#This Row],[SITUACAO]]=1,TED[[#This Row],[SITUACAO]]=9,TED[[#This Row],[SITUACAO]]=18),"ATIVO","AFASTADO")</f>
        <v>ATIVO</v>
      </c>
      <c r="K1859" s="12">
        <v>1</v>
      </c>
    </row>
    <row r="1860" spans="1:11" x14ac:dyDescent="0.25">
      <c r="A1860" s="10">
        <v>40221</v>
      </c>
      <c r="B1860" s="9" t="s">
        <v>1861</v>
      </c>
      <c r="C1860" s="12" t="str">
        <f>IFERROR(VLOOKUP(TED[[#This Row],[CENTRO]],'CENTRO DE CUSTO'!B:E,4,FALSE)," ")</f>
        <v>PAULO HENRIQUE</v>
      </c>
      <c r="D1860" s="12">
        <v>286</v>
      </c>
      <c r="E1860" s="16">
        <v>286011</v>
      </c>
      <c r="F1860" s="10" t="s">
        <v>1978</v>
      </c>
      <c r="G1860" s="10">
        <v>200</v>
      </c>
      <c r="H1860" s="11">
        <v>45901</v>
      </c>
      <c r="I1860" s="10" t="s">
        <v>1</v>
      </c>
      <c r="J1860" s="12" t="str">
        <f>IF(OR(TED[[#This Row],[SITUACAO]]=1,TED[[#This Row],[SITUACAO]]=9,TED[[#This Row],[SITUACAO]]=18),"ATIVO","AFASTADO")</f>
        <v>ATIVO</v>
      </c>
      <c r="K1860" s="12">
        <v>1</v>
      </c>
    </row>
    <row r="1861" spans="1:11" x14ac:dyDescent="0.25">
      <c r="A1861" s="10">
        <v>41882</v>
      </c>
      <c r="B1861" s="9" t="s">
        <v>1806</v>
      </c>
      <c r="C1861" s="12" t="str">
        <f>IFERROR(VLOOKUP(TED[[#This Row],[CENTRO]],'CENTRO DE CUSTO'!B:E,4,FALSE)," ")</f>
        <v>FERNANDO SANTOS</v>
      </c>
      <c r="D1861" s="12">
        <v>286</v>
      </c>
      <c r="E1861" s="16">
        <v>286001</v>
      </c>
      <c r="F1861" s="10" t="s">
        <v>1969</v>
      </c>
      <c r="G1861" s="10">
        <v>200</v>
      </c>
      <c r="H1861" s="11">
        <v>45960</v>
      </c>
      <c r="I1861" s="10" t="s">
        <v>1</v>
      </c>
      <c r="J1861" s="12" t="str">
        <f>IF(OR(TED[[#This Row],[SITUACAO]]=1,TED[[#This Row],[SITUACAO]]=9,TED[[#This Row],[SITUACAO]]=18),"ATIVO","AFASTADO")</f>
        <v>ATIVO</v>
      </c>
      <c r="K1861" s="12">
        <v>1</v>
      </c>
    </row>
    <row r="1862" spans="1:11" x14ac:dyDescent="0.25">
      <c r="A1862" s="10">
        <v>40222</v>
      </c>
      <c r="B1862" s="9" t="s">
        <v>1818</v>
      </c>
      <c r="C1862" s="12" t="str">
        <f>IFERROR(VLOOKUP(TED[[#This Row],[CENTRO]],'CENTRO DE CUSTO'!B:E,4,FALSE)," ")</f>
        <v>PAULO HENRIQUE</v>
      </c>
      <c r="D1862" s="12">
        <v>286</v>
      </c>
      <c r="E1862" s="16">
        <v>286006</v>
      </c>
      <c r="F1862" s="10" t="s">
        <v>1973</v>
      </c>
      <c r="G1862" s="10">
        <v>200</v>
      </c>
      <c r="H1862" s="11">
        <v>45901</v>
      </c>
      <c r="I1862" s="10" t="s">
        <v>942</v>
      </c>
      <c r="J1862" s="12" t="str">
        <f>IF(OR(TED[[#This Row],[SITUACAO]]=1,TED[[#This Row],[SITUACAO]]=9,TED[[#This Row],[SITUACAO]]=18),"ATIVO","AFASTADO")</f>
        <v>ATIVO</v>
      </c>
      <c r="K1862" s="12">
        <v>1</v>
      </c>
    </row>
    <row r="1863" spans="1:11" x14ac:dyDescent="0.25">
      <c r="A1863" s="10">
        <v>40074</v>
      </c>
      <c r="B1863" s="9" t="s">
        <v>1832</v>
      </c>
      <c r="C1863" s="12" t="str">
        <f>IFERROR(VLOOKUP(TED[[#This Row],[CENTRO]],'CENTRO DE CUSTO'!B:E,4,FALSE)," ")</f>
        <v>PAULO HENRIQUE</v>
      </c>
      <c r="D1863" s="12">
        <v>286</v>
      </c>
      <c r="E1863" s="16">
        <v>286006</v>
      </c>
      <c r="F1863" s="10" t="s">
        <v>1973</v>
      </c>
      <c r="G1863" s="10">
        <v>200</v>
      </c>
      <c r="H1863" s="11">
        <v>45901</v>
      </c>
      <c r="I1863" s="10" t="s">
        <v>942</v>
      </c>
      <c r="J1863" s="12" t="str">
        <f>IF(OR(TED[[#This Row],[SITUACAO]]=1,TED[[#This Row],[SITUACAO]]=9,TED[[#This Row],[SITUACAO]]=18),"ATIVO","AFASTADO")</f>
        <v>ATIVO</v>
      </c>
      <c r="K1863" s="12">
        <v>1</v>
      </c>
    </row>
    <row r="1864" spans="1:11" x14ac:dyDescent="0.25">
      <c r="A1864" s="10">
        <v>40167</v>
      </c>
      <c r="B1864" s="9" t="s">
        <v>1851</v>
      </c>
      <c r="C1864" s="12" t="str">
        <f>IFERROR(VLOOKUP(TED[[#This Row],[CENTRO]],'CENTRO DE CUSTO'!B:E,4,FALSE)," ")</f>
        <v>PAULO HENRIQUE</v>
      </c>
      <c r="D1864" s="12">
        <v>286</v>
      </c>
      <c r="E1864" s="16">
        <v>286008</v>
      </c>
      <c r="F1864" s="10" t="s">
        <v>1975</v>
      </c>
      <c r="G1864" s="10">
        <v>200</v>
      </c>
      <c r="H1864" s="11">
        <v>45901</v>
      </c>
      <c r="I1864" s="10" t="s">
        <v>942</v>
      </c>
      <c r="J1864" s="12" t="str">
        <f>IF(OR(TED[[#This Row],[SITUACAO]]=1,TED[[#This Row],[SITUACAO]]=9,TED[[#This Row],[SITUACAO]]=18),"ATIVO","AFASTADO")</f>
        <v>ATIVO</v>
      </c>
      <c r="K1864" s="12">
        <v>1</v>
      </c>
    </row>
    <row r="1865" spans="1:11" x14ac:dyDescent="0.25">
      <c r="A1865" s="10">
        <v>40199</v>
      </c>
      <c r="B1865" s="9" t="s">
        <v>1885</v>
      </c>
      <c r="C1865" s="12" t="str">
        <f>IFERROR(VLOOKUP(TED[[#This Row],[CENTRO]],'CENTRO DE CUSTO'!B:E,4,FALSE)," ")</f>
        <v>PAULO HENRIQUE</v>
      </c>
      <c r="D1865" s="12">
        <v>286</v>
      </c>
      <c r="E1865" s="16">
        <v>286005</v>
      </c>
      <c r="F1865" s="10" t="s">
        <v>1972</v>
      </c>
      <c r="G1865" s="10">
        <v>200</v>
      </c>
      <c r="H1865" s="11">
        <v>45901</v>
      </c>
      <c r="I1865" s="10" t="s">
        <v>1</v>
      </c>
      <c r="J1865" s="12" t="str">
        <f>IF(OR(TED[[#This Row],[SITUACAO]]=1,TED[[#This Row],[SITUACAO]]=9,TED[[#This Row],[SITUACAO]]=18),"ATIVO","AFASTADO")</f>
        <v>ATIVO</v>
      </c>
      <c r="K1865" s="12">
        <v>1</v>
      </c>
    </row>
    <row r="1866" spans="1:11" x14ac:dyDescent="0.25">
      <c r="A1866" s="10">
        <v>40124</v>
      </c>
      <c r="B1866" s="9" t="s">
        <v>1869</v>
      </c>
      <c r="C1866" s="12" t="str">
        <f>IFERROR(VLOOKUP(TED[[#This Row],[CENTRO]],'CENTRO DE CUSTO'!B:E,4,FALSE)," ")</f>
        <v>PAULO HENRIQUE</v>
      </c>
      <c r="D1866" s="12">
        <v>286</v>
      </c>
      <c r="E1866" s="16">
        <v>286012</v>
      </c>
      <c r="F1866" s="10" t="s">
        <v>1979</v>
      </c>
      <c r="G1866" s="10">
        <v>200</v>
      </c>
      <c r="H1866" s="11">
        <v>45901</v>
      </c>
      <c r="I1866" s="10" t="s">
        <v>1</v>
      </c>
      <c r="J1866" s="12" t="str">
        <f>IF(OR(TED[[#This Row],[SITUACAO]]=1,TED[[#This Row],[SITUACAO]]=9,TED[[#This Row],[SITUACAO]]=18),"ATIVO","AFASTADO")</f>
        <v>ATIVO</v>
      </c>
      <c r="K1866" s="12">
        <v>1</v>
      </c>
    </row>
    <row r="1867" spans="1:11" x14ac:dyDescent="0.25">
      <c r="A1867" s="10">
        <v>40096</v>
      </c>
      <c r="B1867" s="9" t="s">
        <v>1890</v>
      </c>
      <c r="C1867" s="12" t="str">
        <f>IFERROR(VLOOKUP(TED[[#This Row],[CENTRO]],'CENTRO DE CUSTO'!B:E,4,FALSE)," ")</f>
        <v>PAULO HENRIQUE</v>
      </c>
      <c r="D1867" s="12">
        <v>286</v>
      </c>
      <c r="E1867" s="16">
        <v>286005</v>
      </c>
      <c r="F1867" s="10" t="s">
        <v>1972</v>
      </c>
      <c r="G1867" s="10">
        <v>200</v>
      </c>
      <c r="H1867" s="11">
        <v>45901</v>
      </c>
      <c r="I1867" s="10" t="s">
        <v>21</v>
      </c>
      <c r="J1867" s="12" t="str">
        <f>IF(OR(TED[[#This Row],[SITUACAO]]=1,TED[[#This Row],[SITUACAO]]=9,TED[[#This Row],[SITUACAO]]=18),"ATIVO","AFASTADO")</f>
        <v>ATIVO</v>
      </c>
      <c r="K1867" s="12">
        <v>1</v>
      </c>
    </row>
    <row r="1868" spans="1:11" x14ac:dyDescent="0.25">
      <c r="A1868" s="10">
        <v>40185</v>
      </c>
      <c r="B1868" s="9" t="s">
        <v>1842</v>
      </c>
      <c r="C1868" s="12" t="str">
        <f>IFERROR(VLOOKUP(TED[[#This Row],[CENTRO]],'CENTRO DE CUSTO'!B:E,4,FALSE)," ")</f>
        <v>PAULO HENRIQUE</v>
      </c>
      <c r="D1868" s="12">
        <v>286</v>
      </c>
      <c r="E1868" s="16">
        <v>286006</v>
      </c>
      <c r="F1868" s="10" t="s">
        <v>1973</v>
      </c>
      <c r="G1868" s="10">
        <v>200</v>
      </c>
      <c r="H1868" s="11">
        <v>45901</v>
      </c>
      <c r="I1868" s="10" t="s">
        <v>942</v>
      </c>
      <c r="J1868" s="12" t="str">
        <f>IF(OR(TED[[#This Row],[SITUACAO]]=1,TED[[#This Row],[SITUACAO]]=9,TED[[#This Row],[SITUACAO]]=18),"ATIVO","AFASTADO")</f>
        <v>ATIVO</v>
      </c>
      <c r="K1868" s="12">
        <v>1</v>
      </c>
    </row>
    <row r="1869" spans="1:11" x14ac:dyDescent="0.25">
      <c r="A1869" s="10">
        <v>40160</v>
      </c>
      <c r="B1869" s="9" t="s">
        <v>1891</v>
      </c>
      <c r="C1869" s="12" t="str">
        <f>IFERROR(VLOOKUP(TED[[#This Row],[CENTRO]],'CENTRO DE CUSTO'!B:E,4,FALSE)," ")</f>
        <v>PAULO HENRIQUE</v>
      </c>
      <c r="D1869" s="12">
        <v>286</v>
      </c>
      <c r="E1869" s="16">
        <v>286018</v>
      </c>
      <c r="F1869" s="10" t="s">
        <v>1985</v>
      </c>
      <c r="G1869" s="10">
        <v>200</v>
      </c>
      <c r="H1869" s="11">
        <v>45901</v>
      </c>
      <c r="I1869" s="10" t="s">
        <v>1</v>
      </c>
      <c r="J1869" s="12" t="str">
        <f>IF(OR(TED[[#This Row],[SITUACAO]]=1,TED[[#This Row],[SITUACAO]]=9,TED[[#This Row],[SITUACAO]]=18),"ATIVO","AFASTADO")</f>
        <v>ATIVO</v>
      </c>
      <c r="K1869" s="12">
        <v>1</v>
      </c>
    </row>
    <row r="1870" spans="1:11" x14ac:dyDescent="0.25">
      <c r="A1870" s="10">
        <v>40206</v>
      </c>
      <c r="B1870" s="9" t="s">
        <v>1821</v>
      </c>
      <c r="C1870" s="12" t="str">
        <f>IFERROR(VLOOKUP(TED[[#This Row],[CENTRO]],'CENTRO DE CUSTO'!B:E,4,FALSE)," ")</f>
        <v>PAULO HENRIQUE</v>
      </c>
      <c r="D1870" s="12">
        <v>286</v>
      </c>
      <c r="E1870" s="16">
        <v>286006</v>
      </c>
      <c r="F1870" s="10" t="s">
        <v>1973</v>
      </c>
      <c r="G1870" s="10">
        <v>200</v>
      </c>
      <c r="H1870" s="11">
        <v>45901</v>
      </c>
      <c r="I1870" s="10" t="s">
        <v>942</v>
      </c>
      <c r="J1870" s="12" t="str">
        <f>IF(OR(TED[[#This Row],[SITUACAO]]=1,TED[[#This Row],[SITUACAO]]=9,TED[[#This Row],[SITUACAO]]=18),"ATIVO","AFASTADO")</f>
        <v>ATIVO</v>
      </c>
      <c r="K1870" s="12">
        <v>1</v>
      </c>
    </row>
    <row r="1871" spans="1:11" x14ac:dyDescent="0.25">
      <c r="A1871" s="10">
        <v>40714</v>
      </c>
      <c r="B1871" s="9" t="s">
        <v>1896</v>
      </c>
      <c r="C1871" s="12" t="str">
        <f>IFERROR(VLOOKUP(TED[[#This Row],[CENTRO]],'CENTRO DE CUSTO'!B:E,4,FALSE)," ")</f>
        <v>PAULO HENRIQUE</v>
      </c>
      <c r="D1871" s="12">
        <v>286</v>
      </c>
      <c r="E1871" s="16">
        <v>286012</v>
      </c>
      <c r="F1871" s="10" t="s">
        <v>1979</v>
      </c>
      <c r="G1871" s="10">
        <v>200</v>
      </c>
      <c r="H1871" s="11">
        <v>45912</v>
      </c>
      <c r="I1871" s="10" t="s">
        <v>1</v>
      </c>
      <c r="J1871" s="12" t="str">
        <f>IF(OR(TED[[#This Row],[SITUACAO]]=1,TED[[#This Row],[SITUACAO]]=9,TED[[#This Row],[SITUACAO]]=18),"ATIVO","AFASTADO")</f>
        <v>ATIVO</v>
      </c>
      <c r="K1871" s="12">
        <v>1</v>
      </c>
    </row>
    <row r="1872" spans="1:11" x14ac:dyDescent="0.25">
      <c r="A1872" s="10">
        <v>40088</v>
      </c>
      <c r="B1872" s="9" t="s">
        <v>1872</v>
      </c>
      <c r="C1872" s="12" t="str">
        <f>IFERROR(VLOOKUP(TED[[#This Row],[CENTRO]],'CENTRO DE CUSTO'!B:E,4,FALSE)," ")</f>
        <v>PAULO HENRIQUE</v>
      </c>
      <c r="D1872" s="12">
        <v>286</v>
      </c>
      <c r="E1872" s="16">
        <v>286013</v>
      </c>
      <c r="F1872" s="10" t="s">
        <v>1980</v>
      </c>
      <c r="G1872" s="10">
        <v>200</v>
      </c>
      <c r="H1872" s="11">
        <v>45901</v>
      </c>
      <c r="I1872" s="10" t="s">
        <v>948</v>
      </c>
      <c r="J1872" s="12" t="str">
        <f>IF(OR(TED[[#This Row],[SITUACAO]]=1,TED[[#This Row],[SITUACAO]]=9,TED[[#This Row],[SITUACAO]]=18),"ATIVO","AFASTADO")</f>
        <v>ATIVO</v>
      </c>
      <c r="K1872" s="12">
        <v>1</v>
      </c>
    </row>
    <row r="1873" spans="1:11" x14ac:dyDescent="0.25">
      <c r="A1873" s="10">
        <v>40078</v>
      </c>
      <c r="B1873" s="9" t="s">
        <v>1892</v>
      </c>
      <c r="C1873" s="12" t="str">
        <f>IFERROR(VLOOKUP(TED[[#This Row],[CENTRO]],'CENTRO DE CUSTO'!B:E,4,FALSE)," ")</f>
        <v>PAULO HENRIQUE</v>
      </c>
      <c r="D1873" s="12">
        <v>286</v>
      </c>
      <c r="E1873" s="16">
        <v>286018</v>
      </c>
      <c r="F1873" s="10" t="s">
        <v>1985</v>
      </c>
      <c r="G1873" s="10">
        <v>150</v>
      </c>
      <c r="H1873" s="11">
        <v>45901</v>
      </c>
      <c r="I1873" s="10" t="s">
        <v>1</v>
      </c>
      <c r="J1873" s="12" t="str">
        <f>IF(OR(TED[[#This Row],[SITUACAO]]=1,TED[[#This Row],[SITUACAO]]=9,TED[[#This Row],[SITUACAO]]=18),"ATIVO","AFASTADO")</f>
        <v>ATIVO</v>
      </c>
      <c r="K1873" s="12">
        <v>1</v>
      </c>
    </row>
    <row r="1874" spans="1:11" x14ac:dyDescent="0.25">
      <c r="A1874" s="10">
        <v>40064</v>
      </c>
      <c r="B1874" s="9" t="s">
        <v>1834</v>
      </c>
      <c r="C1874" s="12" t="str">
        <f>IFERROR(VLOOKUP(TED[[#This Row],[CENTRO]],'CENTRO DE CUSTO'!B:E,4,FALSE)," ")</f>
        <v>PAULO HENRIQUE</v>
      </c>
      <c r="D1874" s="12">
        <v>286</v>
      </c>
      <c r="E1874" s="16">
        <v>286006</v>
      </c>
      <c r="F1874" s="10" t="s">
        <v>1973</v>
      </c>
      <c r="G1874" s="10">
        <v>200</v>
      </c>
      <c r="H1874" s="11">
        <v>45901</v>
      </c>
      <c r="I1874" s="10" t="s">
        <v>942</v>
      </c>
      <c r="J1874" s="12" t="str">
        <f>IF(OR(TED[[#This Row],[SITUACAO]]=1,TED[[#This Row],[SITUACAO]]=9,TED[[#This Row],[SITUACAO]]=18),"ATIVO","AFASTADO")</f>
        <v>ATIVO</v>
      </c>
      <c r="K1874" s="12">
        <v>1</v>
      </c>
    </row>
    <row r="1875" spans="1:11" x14ac:dyDescent="0.25">
      <c r="A1875" s="10">
        <v>40190</v>
      </c>
      <c r="B1875" s="9" t="s">
        <v>1850</v>
      </c>
      <c r="C1875" s="12" t="str">
        <f>IFERROR(VLOOKUP(TED[[#This Row],[CENTRO]],'CENTRO DE CUSTO'!B:E,4,FALSE)," ")</f>
        <v>PAULO HENRIQUE</v>
      </c>
      <c r="D1875" s="12">
        <v>286</v>
      </c>
      <c r="E1875" s="16">
        <v>286008</v>
      </c>
      <c r="F1875" s="10" t="s">
        <v>1975</v>
      </c>
      <c r="G1875" s="10">
        <v>200</v>
      </c>
      <c r="H1875" s="11">
        <v>45901</v>
      </c>
      <c r="I1875" s="10" t="s">
        <v>942</v>
      </c>
      <c r="J1875" s="12" t="str">
        <f>IF(OR(TED[[#This Row],[SITUACAO]]=1,TED[[#This Row],[SITUACAO]]=9,TED[[#This Row],[SITUACAO]]=18),"ATIVO","AFASTADO")</f>
        <v>ATIVO</v>
      </c>
      <c r="K1875" s="12">
        <v>1</v>
      </c>
    </row>
    <row r="1876" spans="1:11" x14ac:dyDescent="0.25">
      <c r="A1876" s="10">
        <v>44764</v>
      </c>
      <c r="B1876" s="9" t="s">
        <v>2202</v>
      </c>
      <c r="C1876" s="12" t="str">
        <f>IFERROR(VLOOKUP(TED[[#This Row],[CENTRO]],'CENTRO DE CUSTO'!B:E,4,FALSE)," ")</f>
        <v>PAULO HENRIQUE</v>
      </c>
      <c r="D1876" s="12">
        <v>286</v>
      </c>
      <c r="E1876" s="16">
        <v>286017</v>
      </c>
      <c r="F1876" s="10" t="s">
        <v>1984</v>
      </c>
      <c r="G1876" s="10">
        <v>220</v>
      </c>
      <c r="H1876" s="11">
        <v>46108</v>
      </c>
      <c r="I1876" s="10" t="s">
        <v>612</v>
      </c>
      <c r="J1876" s="12" t="str">
        <f>IF(OR(TED[[#This Row],[SITUACAO]]=1,TED[[#This Row],[SITUACAO]]=9,TED[[#This Row],[SITUACAO]]=18),"ATIVO","AFASTADO")</f>
        <v>ATIVO</v>
      </c>
      <c r="K1876" s="12">
        <v>1</v>
      </c>
    </row>
    <row r="1877" spans="1:11" x14ac:dyDescent="0.25">
      <c r="A1877" s="10">
        <v>40153</v>
      </c>
      <c r="B1877" s="9" t="s">
        <v>1881</v>
      </c>
      <c r="C1877" s="12" t="str">
        <f>IFERROR(VLOOKUP(TED[[#This Row],[CENTRO]],'CENTRO DE CUSTO'!B:E,4,FALSE)," ")</f>
        <v>FERNANDO SANTOS</v>
      </c>
      <c r="D1877" s="12">
        <v>286</v>
      </c>
      <c r="E1877" s="16">
        <v>286016</v>
      </c>
      <c r="F1877" s="10" t="s">
        <v>1983</v>
      </c>
      <c r="G1877" s="10">
        <v>200</v>
      </c>
      <c r="H1877" s="11">
        <v>45901</v>
      </c>
      <c r="I1877" s="10" t="s">
        <v>1</v>
      </c>
      <c r="J1877" s="12" t="str">
        <f>IF(OR(TED[[#This Row],[SITUACAO]]=1,TED[[#This Row],[SITUACAO]]=9,TED[[#This Row],[SITUACAO]]=18),"ATIVO","AFASTADO")</f>
        <v>ATIVO</v>
      </c>
      <c r="K1877" s="12">
        <v>1</v>
      </c>
    </row>
    <row r="1878" spans="1:11" x14ac:dyDescent="0.25">
      <c r="A1878" s="10">
        <v>40770</v>
      </c>
      <c r="B1878" s="9" t="s">
        <v>1815</v>
      </c>
      <c r="C1878" s="12" t="str">
        <f>IFERROR(VLOOKUP(TED[[#This Row],[CENTRO]],'CENTRO DE CUSTO'!B:E,4,FALSE)," ")</f>
        <v>PAULO HENRIQUE</v>
      </c>
      <c r="D1878" s="12">
        <v>286</v>
      </c>
      <c r="E1878" s="16">
        <v>286017</v>
      </c>
      <c r="F1878" s="10" t="s">
        <v>1984</v>
      </c>
      <c r="G1878" s="10">
        <v>200</v>
      </c>
      <c r="H1878" s="11">
        <v>45916</v>
      </c>
      <c r="I1878" s="10" t="s">
        <v>1</v>
      </c>
      <c r="J1878" s="12" t="str">
        <f>IF(OR(TED[[#This Row],[SITUACAO]]=1,TED[[#This Row],[SITUACAO]]=9,TED[[#This Row],[SITUACAO]]=18),"ATIVO","AFASTADO")</f>
        <v>ATIVO</v>
      </c>
      <c r="K1878" s="12">
        <v>1</v>
      </c>
    </row>
    <row r="1879" spans="1:11" x14ac:dyDescent="0.25">
      <c r="A1879" s="10">
        <v>40261</v>
      </c>
      <c r="B1879" s="9" t="s">
        <v>1814</v>
      </c>
      <c r="C1879" s="12" t="str">
        <f>IFERROR(VLOOKUP(TED[[#This Row],[CENTRO]],'CENTRO DE CUSTO'!B:E,4,FALSE)," ")</f>
        <v>PAULO HENRIQUE</v>
      </c>
      <c r="D1879" s="12">
        <v>286</v>
      </c>
      <c r="E1879" s="16">
        <v>286005</v>
      </c>
      <c r="F1879" s="10" t="s">
        <v>1972</v>
      </c>
      <c r="G1879" s="10">
        <v>200</v>
      </c>
      <c r="H1879" s="11">
        <v>45901</v>
      </c>
      <c r="I1879" s="10" t="s">
        <v>1</v>
      </c>
      <c r="J1879" s="12" t="str">
        <f>IF(OR(TED[[#This Row],[SITUACAO]]=1,TED[[#This Row],[SITUACAO]]=9,TED[[#This Row],[SITUACAO]]=18),"ATIVO","AFASTADO")</f>
        <v>ATIVO</v>
      </c>
      <c r="K1879" s="12">
        <v>1</v>
      </c>
    </row>
    <row r="1880" spans="1:11" x14ac:dyDescent="0.25">
      <c r="A1880" s="10">
        <v>40058</v>
      </c>
      <c r="B1880" s="9" t="s">
        <v>1870</v>
      </c>
      <c r="C1880" s="12" t="str">
        <f>IFERROR(VLOOKUP(TED[[#This Row],[CENTRO]],'CENTRO DE CUSTO'!B:E,4,FALSE)," ")</f>
        <v>PAULO HENRIQUE</v>
      </c>
      <c r="D1880" s="12">
        <v>286</v>
      </c>
      <c r="E1880" s="16">
        <v>286012</v>
      </c>
      <c r="F1880" s="10" t="s">
        <v>1979</v>
      </c>
      <c r="G1880" s="10">
        <v>200</v>
      </c>
      <c r="H1880" s="11">
        <v>45901</v>
      </c>
      <c r="I1880" s="10" t="s">
        <v>1</v>
      </c>
      <c r="J1880" s="12" t="str">
        <f>IF(OR(TED[[#This Row],[SITUACAO]]=1,TED[[#This Row],[SITUACAO]]=9,TED[[#This Row],[SITUACAO]]=18),"ATIVO","AFASTADO")</f>
        <v>ATIVO</v>
      </c>
      <c r="K1880" s="12">
        <v>1</v>
      </c>
    </row>
    <row r="1881" spans="1:11" x14ac:dyDescent="0.25">
      <c r="A1881" s="10">
        <v>43364</v>
      </c>
      <c r="B1881" s="9" t="s">
        <v>2058</v>
      </c>
      <c r="C1881" s="12" t="str">
        <f>IFERROR(VLOOKUP(TED[[#This Row],[CENTRO]],'CENTRO DE CUSTO'!B:E,4,FALSE)," ")</f>
        <v>FERNANDO SANTOS</v>
      </c>
      <c r="D1881" s="12">
        <v>286</v>
      </c>
      <c r="E1881" s="16">
        <v>286016</v>
      </c>
      <c r="F1881" s="10" t="s">
        <v>1983</v>
      </c>
      <c r="G1881" s="10">
        <v>200</v>
      </c>
      <c r="H1881" s="11">
        <v>46055</v>
      </c>
      <c r="I1881" s="10" t="s">
        <v>1</v>
      </c>
      <c r="J1881" s="12" t="str">
        <f>IF(OR(TED[[#This Row],[SITUACAO]]=1,TED[[#This Row],[SITUACAO]]=9,TED[[#This Row],[SITUACAO]]=18),"ATIVO","AFASTADO")</f>
        <v>ATIVO</v>
      </c>
      <c r="K1881" s="12">
        <v>1</v>
      </c>
    </row>
    <row r="1882" spans="1:11" x14ac:dyDescent="0.25">
      <c r="A1882" s="10">
        <v>40162</v>
      </c>
      <c r="B1882" s="9" t="s">
        <v>1824</v>
      </c>
      <c r="C1882" s="12" t="str">
        <f>IFERROR(VLOOKUP(TED[[#This Row],[CENTRO]],'CENTRO DE CUSTO'!B:E,4,FALSE)," ")</f>
        <v>PAULO HENRIQUE</v>
      </c>
      <c r="D1882" s="12">
        <v>286</v>
      </c>
      <c r="E1882" s="16">
        <v>286006</v>
      </c>
      <c r="F1882" s="10" t="s">
        <v>1973</v>
      </c>
      <c r="G1882" s="10">
        <v>200</v>
      </c>
      <c r="H1882" s="11">
        <v>45901</v>
      </c>
      <c r="I1882" s="10" t="s">
        <v>942</v>
      </c>
      <c r="J1882" s="12" t="str">
        <f>IF(OR(TED[[#This Row],[SITUACAO]]=1,TED[[#This Row],[SITUACAO]]=9,TED[[#This Row],[SITUACAO]]=18),"ATIVO","AFASTADO")</f>
        <v>ATIVO</v>
      </c>
      <c r="K1882" s="12">
        <v>1</v>
      </c>
    </row>
    <row r="1883" spans="1:11" x14ac:dyDescent="0.25">
      <c r="A1883" s="10">
        <v>40079</v>
      </c>
      <c r="B1883" s="9" t="s">
        <v>1801</v>
      </c>
      <c r="C1883" s="12" t="str">
        <f>IFERROR(VLOOKUP(TED[[#This Row],[CENTRO]],'CENTRO DE CUSTO'!B:E,4,FALSE)," ")</f>
        <v>FERNANDO SANTOS</v>
      </c>
      <c r="D1883" s="12">
        <v>286</v>
      </c>
      <c r="E1883" s="16">
        <v>286001</v>
      </c>
      <c r="F1883" s="10" t="s">
        <v>1969</v>
      </c>
      <c r="G1883" s="10">
        <v>200</v>
      </c>
      <c r="H1883" s="11">
        <v>45901</v>
      </c>
      <c r="I1883" s="10" t="s">
        <v>21</v>
      </c>
      <c r="J1883" s="12" t="str">
        <f>IF(OR(TED[[#This Row],[SITUACAO]]=1,TED[[#This Row],[SITUACAO]]=9,TED[[#This Row],[SITUACAO]]=18),"ATIVO","AFASTADO")</f>
        <v>ATIVO</v>
      </c>
      <c r="K1883" s="12">
        <v>1</v>
      </c>
    </row>
    <row r="1884" spans="1:11" x14ac:dyDescent="0.25">
      <c r="A1884" s="10">
        <v>40267</v>
      </c>
      <c r="B1884" s="9" t="s">
        <v>1879</v>
      </c>
      <c r="C1884" s="12" t="str">
        <f>IFERROR(VLOOKUP(TED[[#This Row],[CENTRO]],'CENTRO DE CUSTO'!B:E,4,FALSE)," ")</f>
        <v>FERNANDO SANTOS</v>
      </c>
      <c r="D1884" s="12">
        <v>286</v>
      </c>
      <c r="E1884" s="16">
        <v>286016</v>
      </c>
      <c r="F1884" s="10" t="s">
        <v>1983</v>
      </c>
      <c r="G1884" s="10">
        <v>200</v>
      </c>
      <c r="H1884" s="11">
        <v>45901</v>
      </c>
      <c r="I1884" s="10" t="s">
        <v>1</v>
      </c>
      <c r="J1884" s="12" t="str">
        <f>IF(OR(TED[[#This Row],[SITUACAO]]=1,TED[[#This Row],[SITUACAO]]=9,TED[[#This Row],[SITUACAO]]=18),"ATIVO","AFASTADO")</f>
        <v>ATIVO</v>
      </c>
      <c r="K1884" s="12">
        <v>1</v>
      </c>
    </row>
    <row r="1885" spans="1:11" x14ac:dyDescent="0.25">
      <c r="A1885" s="10">
        <v>40164</v>
      </c>
      <c r="B1885" s="9" t="s">
        <v>1795</v>
      </c>
      <c r="C1885" s="12" t="str">
        <f>IFERROR(VLOOKUP(TED[[#This Row],[CENTRO]],'CENTRO DE CUSTO'!B:E,4,FALSE)," ")</f>
        <v>FERNANDO SANTOS</v>
      </c>
      <c r="D1885" s="12">
        <v>286</v>
      </c>
      <c r="E1885" s="16">
        <v>286001</v>
      </c>
      <c r="F1885" s="10" t="s">
        <v>1969</v>
      </c>
      <c r="G1885" s="10">
        <v>200</v>
      </c>
      <c r="H1885" s="11">
        <v>45901</v>
      </c>
      <c r="I1885" s="10" t="s">
        <v>21</v>
      </c>
      <c r="J1885" s="12" t="str">
        <f>IF(OR(TED[[#This Row],[SITUACAO]]=1,TED[[#This Row],[SITUACAO]]=9,TED[[#This Row],[SITUACAO]]=18),"ATIVO","AFASTADO")</f>
        <v>ATIVO</v>
      </c>
      <c r="K1885" s="12">
        <v>1</v>
      </c>
    </row>
    <row r="1886" spans="1:11" x14ac:dyDescent="0.25">
      <c r="A1886" s="10">
        <v>40201</v>
      </c>
      <c r="B1886" s="9" t="s">
        <v>1860</v>
      </c>
      <c r="C1886" s="12" t="str">
        <f>IFERROR(VLOOKUP(TED[[#This Row],[CENTRO]],'CENTRO DE CUSTO'!B:E,4,FALSE)," ")</f>
        <v>PAULO HENRIQUE</v>
      </c>
      <c r="D1886" s="12">
        <v>286</v>
      </c>
      <c r="E1886" s="16">
        <v>286010</v>
      </c>
      <c r="F1886" s="10" t="s">
        <v>1977</v>
      </c>
      <c r="G1886" s="10">
        <v>200</v>
      </c>
      <c r="H1886" s="11">
        <v>45901</v>
      </c>
      <c r="I1886" s="10" t="s">
        <v>1</v>
      </c>
      <c r="J1886" s="12" t="str">
        <f>IF(OR(TED[[#This Row],[SITUACAO]]=1,TED[[#This Row],[SITUACAO]]=9,TED[[#This Row],[SITUACAO]]=18),"ATIVO","AFASTADO")</f>
        <v>ATIVO</v>
      </c>
      <c r="K1886" s="12">
        <v>1</v>
      </c>
    </row>
    <row r="1887" spans="1:11" x14ac:dyDescent="0.25">
      <c r="A1887" s="10">
        <v>40145</v>
      </c>
      <c r="B1887" s="9" t="s">
        <v>1852</v>
      </c>
      <c r="C1887" s="12" t="str">
        <f>IFERROR(VLOOKUP(TED[[#This Row],[CENTRO]],'CENTRO DE CUSTO'!B:E,4,FALSE)," ")</f>
        <v>PAULO HENRIQUE</v>
      </c>
      <c r="D1887" s="12">
        <v>286</v>
      </c>
      <c r="E1887" s="16">
        <v>286009</v>
      </c>
      <c r="F1887" s="10" t="s">
        <v>1976</v>
      </c>
      <c r="G1887" s="10">
        <v>200</v>
      </c>
      <c r="H1887" s="11">
        <v>45901</v>
      </c>
      <c r="I1887" s="10" t="s">
        <v>942</v>
      </c>
      <c r="J1887" s="12" t="str">
        <f>IF(OR(TED[[#This Row],[SITUACAO]]=1,TED[[#This Row],[SITUACAO]]=9,TED[[#This Row],[SITUACAO]]=18),"ATIVO","AFASTADO")</f>
        <v>ATIVO</v>
      </c>
      <c r="K1887" s="12">
        <v>1</v>
      </c>
    </row>
    <row r="1888" spans="1:11" x14ac:dyDescent="0.25">
      <c r="A1888" s="10">
        <v>40063</v>
      </c>
      <c r="B1888" s="9" t="s">
        <v>1888</v>
      </c>
      <c r="C1888" s="12" t="str">
        <f>IFERROR(VLOOKUP(TED[[#This Row],[CENTRO]],'CENTRO DE CUSTO'!B:E,4,FALSE)," ")</f>
        <v>PAULO HENRIQUE</v>
      </c>
      <c r="D1888" s="12">
        <v>286</v>
      </c>
      <c r="E1888" s="16">
        <v>286017</v>
      </c>
      <c r="F1888" s="10" t="s">
        <v>1984</v>
      </c>
      <c r="G1888" s="10">
        <v>200</v>
      </c>
      <c r="H1888" s="11">
        <v>45901</v>
      </c>
      <c r="I1888" s="10" t="s">
        <v>1</v>
      </c>
      <c r="J1888" s="12" t="str">
        <f>IF(OR(TED[[#This Row],[SITUACAO]]=1,TED[[#This Row],[SITUACAO]]=9,TED[[#This Row],[SITUACAO]]=18),"ATIVO","AFASTADO")</f>
        <v>ATIVO</v>
      </c>
      <c r="K1888" s="12">
        <v>1</v>
      </c>
    </row>
    <row r="1889" spans="1:11" x14ac:dyDescent="0.25">
      <c r="A1889" s="10">
        <v>45571</v>
      </c>
      <c r="B1889" s="9" t="s">
        <v>2260</v>
      </c>
      <c r="C1889" s="12" t="str">
        <f>IFERROR(VLOOKUP(TED[[#This Row],[CENTRO]],'CENTRO DE CUSTO'!B:E,4,FALSE)," ")</f>
        <v>FERNANDO SANTOS</v>
      </c>
      <c r="D1889" s="12">
        <v>286</v>
      </c>
      <c r="E1889" s="16">
        <v>286001</v>
      </c>
      <c r="F1889" s="10" t="s">
        <v>1969</v>
      </c>
      <c r="G1889" s="10">
        <v>200</v>
      </c>
      <c r="H1889" s="11">
        <v>46155</v>
      </c>
      <c r="I1889" s="10" t="s">
        <v>1</v>
      </c>
      <c r="J1889" s="12" t="str">
        <f>IF(OR(TED[[#This Row],[SITUACAO]]=1,TED[[#This Row],[SITUACAO]]=9,TED[[#This Row],[SITUACAO]]=18),"ATIVO","AFASTADO")</f>
        <v>ATIVO</v>
      </c>
      <c r="K1889" s="12">
        <v>1</v>
      </c>
    </row>
    <row r="1890" spans="1:11" x14ac:dyDescent="0.25">
      <c r="A1890" s="10">
        <v>40084</v>
      </c>
      <c r="B1890" s="9" t="s">
        <v>1805</v>
      </c>
      <c r="C1890" s="12" t="str">
        <f>IFERROR(VLOOKUP(TED[[#This Row],[CENTRO]],'CENTRO DE CUSTO'!B:E,4,FALSE)," ")</f>
        <v>FERNANDO SANTOS</v>
      </c>
      <c r="D1890" s="12">
        <v>286</v>
      </c>
      <c r="E1890" s="16">
        <v>286001</v>
      </c>
      <c r="F1890" s="10" t="s">
        <v>1969</v>
      </c>
      <c r="G1890" s="10">
        <v>200</v>
      </c>
      <c r="H1890" s="11">
        <v>45901</v>
      </c>
      <c r="I1890" s="10" t="s">
        <v>1</v>
      </c>
      <c r="J1890" s="12" t="str">
        <f>IF(OR(TED[[#This Row],[SITUACAO]]=1,TED[[#This Row],[SITUACAO]]=9,TED[[#This Row],[SITUACAO]]=18),"ATIVO","AFASTADO")</f>
        <v>AFASTADO</v>
      </c>
      <c r="K1890" s="12">
        <v>6</v>
      </c>
    </row>
    <row r="1891" spans="1:11" x14ac:dyDescent="0.25">
      <c r="A1891" s="10">
        <v>31815</v>
      </c>
      <c r="B1891" s="9" t="s">
        <v>271</v>
      </c>
      <c r="C1891" s="12" t="str">
        <f>IFERROR(VLOOKUP(TED[[#This Row],[CENTRO]],'CENTRO DE CUSTO'!B:E,4,FALSE)," ")</f>
        <v>PAULO HENRIQUE</v>
      </c>
      <c r="D1891" s="12">
        <v>286</v>
      </c>
      <c r="E1891" s="16">
        <v>286005</v>
      </c>
      <c r="F1891" s="10" t="s">
        <v>1972</v>
      </c>
      <c r="G1891" s="10">
        <v>150</v>
      </c>
      <c r="H1891" s="11">
        <v>45376</v>
      </c>
      <c r="I1891" s="10" t="s">
        <v>1</v>
      </c>
      <c r="J1891" s="12" t="str">
        <f>IF(OR(TED[[#This Row],[SITUACAO]]=1,TED[[#This Row],[SITUACAO]]=9,TED[[#This Row],[SITUACAO]]=18),"ATIVO","AFASTADO")</f>
        <v>ATIVO</v>
      </c>
      <c r="K1891" s="12">
        <v>1</v>
      </c>
    </row>
    <row r="1892" spans="1:11" x14ac:dyDescent="0.25">
      <c r="A1892" s="10">
        <v>40097</v>
      </c>
      <c r="B1892" s="9" t="s">
        <v>1828</v>
      </c>
      <c r="C1892" s="12" t="str">
        <f>IFERROR(VLOOKUP(TED[[#This Row],[CENTRO]],'CENTRO DE CUSTO'!B:E,4,FALSE)," ")</f>
        <v>PAULO HENRIQUE</v>
      </c>
      <c r="D1892" s="12">
        <v>286</v>
      </c>
      <c r="E1892" s="16">
        <v>286006</v>
      </c>
      <c r="F1892" s="10" t="s">
        <v>1973</v>
      </c>
      <c r="G1892" s="10">
        <v>200</v>
      </c>
      <c r="H1892" s="11">
        <v>45901</v>
      </c>
      <c r="I1892" s="10" t="s">
        <v>942</v>
      </c>
      <c r="J1892" s="12" t="str">
        <f>IF(OR(TED[[#This Row],[SITUACAO]]=1,TED[[#This Row],[SITUACAO]]=9,TED[[#This Row],[SITUACAO]]=18),"ATIVO","AFASTADO")</f>
        <v>ATIVO</v>
      </c>
      <c r="K1892" s="12">
        <v>1</v>
      </c>
    </row>
    <row r="1893" spans="1:11" x14ac:dyDescent="0.25">
      <c r="A1893" s="10">
        <v>40180</v>
      </c>
      <c r="B1893" s="9" t="s">
        <v>1839</v>
      </c>
      <c r="C1893" s="12" t="str">
        <f>IFERROR(VLOOKUP(TED[[#This Row],[CENTRO]],'CENTRO DE CUSTO'!B:E,4,FALSE)," ")</f>
        <v>PAULO HENRIQUE</v>
      </c>
      <c r="D1893" s="12">
        <v>286</v>
      </c>
      <c r="E1893" s="16">
        <v>286006</v>
      </c>
      <c r="F1893" s="10" t="s">
        <v>1973</v>
      </c>
      <c r="G1893" s="10">
        <v>200</v>
      </c>
      <c r="H1893" s="11">
        <v>45901</v>
      </c>
      <c r="I1893" s="10" t="s">
        <v>1</v>
      </c>
      <c r="J1893" s="12" t="str">
        <f>IF(OR(TED[[#This Row],[SITUACAO]]=1,TED[[#This Row],[SITUACAO]]=9,TED[[#This Row],[SITUACAO]]=18),"ATIVO","AFASTADO")</f>
        <v>ATIVO</v>
      </c>
      <c r="K1893" s="12">
        <v>1</v>
      </c>
    </row>
    <row r="1894" spans="1:11" x14ac:dyDescent="0.25">
      <c r="A1894" s="10">
        <v>40073</v>
      </c>
      <c r="B1894" s="9" t="s">
        <v>1831</v>
      </c>
      <c r="C1894" s="12" t="str">
        <f>IFERROR(VLOOKUP(TED[[#This Row],[CENTRO]],'CENTRO DE CUSTO'!B:E,4,FALSE)," ")</f>
        <v>PAULO HENRIQUE</v>
      </c>
      <c r="D1894" s="12">
        <v>286</v>
      </c>
      <c r="E1894" s="16">
        <v>286006</v>
      </c>
      <c r="F1894" s="10" t="s">
        <v>1973</v>
      </c>
      <c r="G1894" s="10">
        <v>200</v>
      </c>
      <c r="H1894" s="11">
        <v>45901</v>
      </c>
      <c r="I1894" s="10" t="s">
        <v>942</v>
      </c>
      <c r="J1894" s="12" t="str">
        <f>IF(OR(TED[[#This Row],[SITUACAO]]=1,TED[[#This Row],[SITUACAO]]=9,TED[[#This Row],[SITUACAO]]=18),"ATIVO","AFASTADO")</f>
        <v>ATIVO</v>
      </c>
      <c r="K1894" s="12">
        <v>1</v>
      </c>
    </row>
    <row r="1895" spans="1:11" x14ac:dyDescent="0.25">
      <c r="A1895" s="10">
        <v>40085</v>
      </c>
      <c r="B1895" s="9" t="s">
        <v>1830</v>
      </c>
      <c r="C1895" s="12" t="str">
        <f>IFERROR(VLOOKUP(TED[[#This Row],[CENTRO]],'CENTRO DE CUSTO'!B:E,4,FALSE)," ")</f>
        <v>PAULO HENRIQUE</v>
      </c>
      <c r="D1895" s="12">
        <v>286</v>
      </c>
      <c r="E1895" s="16">
        <v>286006</v>
      </c>
      <c r="F1895" s="10" t="s">
        <v>1973</v>
      </c>
      <c r="G1895" s="10">
        <v>200</v>
      </c>
      <c r="H1895" s="11">
        <v>45901</v>
      </c>
      <c r="I1895" s="10" t="s">
        <v>942</v>
      </c>
      <c r="J1895" s="12" t="str">
        <f>IF(OR(TED[[#This Row],[SITUACAO]]=1,TED[[#This Row],[SITUACAO]]=9,TED[[#This Row],[SITUACAO]]=18),"ATIVO","AFASTADO")</f>
        <v>ATIVO</v>
      </c>
      <c r="K1895" s="12">
        <v>1</v>
      </c>
    </row>
    <row r="1896" spans="1:11" x14ac:dyDescent="0.25">
      <c r="A1896" s="10">
        <v>40099</v>
      </c>
      <c r="B1896" s="9" t="s">
        <v>1826</v>
      </c>
      <c r="C1896" s="12" t="str">
        <f>IFERROR(VLOOKUP(TED[[#This Row],[CENTRO]],'CENTRO DE CUSTO'!B:E,4,FALSE)," ")</f>
        <v>PAULO HENRIQUE</v>
      </c>
      <c r="D1896" s="12">
        <v>286</v>
      </c>
      <c r="E1896" s="16">
        <v>286006</v>
      </c>
      <c r="F1896" s="10" t="s">
        <v>1973</v>
      </c>
      <c r="G1896" s="10">
        <v>200</v>
      </c>
      <c r="H1896" s="11">
        <v>45901</v>
      </c>
      <c r="I1896" s="10" t="s">
        <v>942</v>
      </c>
      <c r="J1896" s="12" t="str">
        <f>IF(OR(TED[[#This Row],[SITUACAO]]=1,TED[[#This Row],[SITUACAO]]=9,TED[[#This Row],[SITUACAO]]=18),"ATIVO","AFASTADO")</f>
        <v>ATIVO</v>
      </c>
      <c r="K1896" s="12">
        <v>1</v>
      </c>
    </row>
    <row r="1897" spans="1:11" x14ac:dyDescent="0.25">
      <c r="A1897" s="10">
        <v>40044</v>
      </c>
      <c r="B1897" s="9" t="s">
        <v>1889</v>
      </c>
      <c r="C1897" s="12" t="str">
        <f>IFERROR(VLOOKUP(TED[[#This Row],[CENTRO]],'CENTRO DE CUSTO'!B:E,4,FALSE)," ")</f>
        <v>PAULO HENRIQUE</v>
      </c>
      <c r="D1897" s="12">
        <v>286</v>
      </c>
      <c r="E1897" s="16">
        <v>286018</v>
      </c>
      <c r="F1897" s="10" t="s">
        <v>1985</v>
      </c>
      <c r="G1897" s="10">
        <v>150</v>
      </c>
      <c r="H1897" s="11">
        <v>45901</v>
      </c>
      <c r="I1897" s="10" t="s">
        <v>942</v>
      </c>
      <c r="J1897" s="12" t="str">
        <f>IF(OR(TED[[#This Row],[SITUACAO]]=1,TED[[#This Row],[SITUACAO]]=9,TED[[#This Row],[SITUACAO]]=18),"ATIVO","AFASTADO")</f>
        <v>ATIVO</v>
      </c>
      <c r="K1897" s="12">
        <v>1</v>
      </c>
    </row>
    <row r="1898" spans="1:11" x14ac:dyDescent="0.25">
      <c r="A1898" s="10">
        <v>41406</v>
      </c>
      <c r="B1898" s="9" t="s">
        <v>1799</v>
      </c>
      <c r="C1898" s="12" t="str">
        <f>IFERROR(VLOOKUP(TED[[#This Row],[CENTRO]],'CENTRO DE CUSTO'!B:E,4,FALSE)," ")</f>
        <v>FERNANDO SANTOS</v>
      </c>
      <c r="D1898" s="12">
        <v>286</v>
      </c>
      <c r="E1898" s="16">
        <v>286001</v>
      </c>
      <c r="F1898" s="10" t="s">
        <v>1969</v>
      </c>
      <c r="G1898" s="10">
        <v>200</v>
      </c>
      <c r="H1898" s="11">
        <v>45929</v>
      </c>
      <c r="I1898" s="10" t="s">
        <v>21</v>
      </c>
      <c r="J1898" s="12" t="str">
        <f>IF(OR(TED[[#This Row],[SITUACAO]]=1,TED[[#This Row],[SITUACAO]]=9,TED[[#This Row],[SITUACAO]]=18),"ATIVO","AFASTADO")</f>
        <v>ATIVO</v>
      </c>
      <c r="K1898" s="12">
        <v>1</v>
      </c>
    </row>
    <row r="1899" spans="1:11" x14ac:dyDescent="0.25">
      <c r="A1899" s="10">
        <v>40155</v>
      </c>
      <c r="B1899" s="9" t="s">
        <v>1868</v>
      </c>
      <c r="C1899" s="12" t="str">
        <f>IFERROR(VLOOKUP(TED[[#This Row],[CENTRO]],'CENTRO DE CUSTO'!B:E,4,FALSE)," ")</f>
        <v>PAULO HENRIQUE</v>
      </c>
      <c r="D1899" s="12">
        <v>286</v>
      </c>
      <c r="E1899" s="16">
        <v>286012</v>
      </c>
      <c r="F1899" s="10" t="s">
        <v>1979</v>
      </c>
      <c r="G1899" s="10">
        <v>200</v>
      </c>
      <c r="H1899" s="11">
        <v>45901</v>
      </c>
      <c r="I1899" s="10" t="s">
        <v>1</v>
      </c>
      <c r="J1899" s="12" t="str">
        <f>IF(OR(TED[[#This Row],[SITUACAO]]=1,TED[[#This Row],[SITUACAO]]=9,TED[[#This Row],[SITUACAO]]=18),"ATIVO","AFASTADO")</f>
        <v>ATIVO</v>
      </c>
      <c r="K1899" s="12">
        <v>1</v>
      </c>
    </row>
    <row r="1900" spans="1:11" x14ac:dyDescent="0.25">
      <c r="A1900" s="10">
        <v>40121</v>
      </c>
      <c r="B1900" s="9" t="s">
        <v>1808</v>
      </c>
      <c r="C1900" s="12" t="str">
        <f>IFERROR(VLOOKUP(TED[[#This Row],[CENTRO]],'CENTRO DE CUSTO'!B:E,4,FALSE)," ")</f>
        <v>PAULO HENRIQUE</v>
      </c>
      <c r="D1900" s="12">
        <v>286</v>
      </c>
      <c r="E1900" s="16">
        <v>286002</v>
      </c>
      <c r="F1900" s="10" t="s">
        <v>1970</v>
      </c>
      <c r="G1900" s="10">
        <v>200</v>
      </c>
      <c r="H1900" s="11">
        <v>45901</v>
      </c>
      <c r="I1900" s="10" t="s">
        <v>942</v>
      </c>
      <c r="J1900" s="12" t="str">
        <f>IF(OR(TED[[#This Row],[SITUACAO]]=1,TED[[#This Row],[SITUACAO]]=9,TED[[#This Row],[SITUACAO]]=18),"ATIVO","AFASTADO")</f>
        <v>ATIVO</v>
      </c>
      <c r="K1900" s="12">
        <v>1</v>
      </c>
    </row>
    <row r="1901" spans="1:11" x14ac:dyDescent="0.25">
      <c r="A1901" s="10">
        <v>40226</v>
      </c>
      <c r="B1901" s="9" t="s">
        <v>1817</v>
      </c>
      <c r="C1901" s="12" t="str">
        <f>IFERROR(VLOOKUP(TED[[#This Row],[CENTRO]],'CENTRO DE CUSTO'!B:E,4,FALSE)," ")</f>
        <v>PAULO HENRIQUE</v>
      </c>
      <c r="D1901" s="12">
        <v>286</v>
      </c>
      <c r="E1901" s="16">
        <v>286006</v>
      </c>
      <c r="F1901" s="10" t="s">
        <v>1973</v>
      </c>
      <c r="G1901" s="10">
        <v>200</v>
      </c>
      <c r="H1901" s="11">
        <v>45901</v>
      </c>
      <c r="I1901" s="10" t="s">
        <v>942</v>
      </c>
      <c r="J1901" s="12" t="str">
        <f>IF(OR(TED[[#This Row],[SITUACAO]]=1,TED[[#This Row],[SITUACAO]]=9,TED[[#This Row],[SITUACAO]]=18),"ATIVO","AFASTADO")</f>
        <v>ATIVO</v>
      </c>
      <c r="K1901" s="12">
        <v>1</v>
      </c>
    </row>
    <row r="1902" spans="1:11" x14ac:dyDescent="0.25">
      <c r="A1902" s="10">
        <v>40637</v>
      </c>
      <c r="B1902" s="9" t="s">
        <v>1790</v>
      </c>
      <c r="C1902" s="12" t="str">
        <f>IFERROR(VLOOKUP(TED[[#This Row],[CENTRO]],'CENTRO DE CUSTO'!B:E,4,FALSE)," ")</f>
        <v>PAULO HENRIQUE</v>
      </c>
      <c r="D1902" s="12">
        <v>286</v>
      </c>
      <c r="E1902" s="16">
        <v>286000</v>
      </c>
      <c r="F1902" s="10" t="s">
        <v>1968</v>
      </c>
      <c r="G1902" s="10">
        <v>150</v>
      </c>
      <c r="H1902" s="11">
        <v>45905</v>
      </c>
      <c r="I1902" s="10" t="s">
        <v>21</v>
      </c>
      <c r="J1902" s="12" t="str">
        <f>IF(OR(TED[[#This Row],[SITUACAO]]=1,TED[[#This Row],[SITUACAO]]=9,TED[[#This Row],[SITUACAO]]=18),"ATIVO","AFASTADO")</f>
        <v>ATIVO</v>
      </c>
      <c r="K1902" s="12">
        <v>1</v>
      </c>
    </row>
    <row r="1903" spans="1:11" x14ac:dyDescent="0.25">
      <c r="A1903" s="10">
        <v>44750</v>
      </c>
      <c r="B1903" s="9" t="s">
        <v>2163</v>
      </c>
      <c r="C1903" s="12" t="str">
        <f>IFERROR(VLOOKUP(TED[[#This Row],[CENTRO]],'CENTRO DE CUSTO'!B:E,4,FALSE)," ")</f>
        <v>FERNANDO SANTOS</v>
      </c>
      <c r="D1903" s="12">
        <v>286</v>
      </c>
      <c r="E1903" s="16">
        <v>286001</v>
      </c>
      <c r="F1903" s="10" t="s">
        <v>1969</v>
      </c>
      <c r="G1903" s="10">
        <v>200</v>
      </c>
      <c r="H1903" s="11">
        <v>46108</v>
      </c>
      <c r="I1903" s="10" t="s">
        <v>21</v>
      </c>
      <c r="J1903" s="12" t="str">
        <f>IF(OR(TED[[#This Row],[SITUACAO]]=1,TED[[#This Row],[SITUACAO]]=9,TED[[#This Row],[SITUACAO]]=18),"ATIVO","AFASTADO")</f>
        <v>ATIVO</v>
      </c>
      <c r="K1903" s="12">
        <v>1</v>
      </c>
    </row>
    <row r="1904" spans="1:11" x14ac:dyDescent="0.25">
      <c r="A1904" s="10">
        <v>40080</v>
      </c>
      <c r="B1904" s="9" t="s">
        <v>1813</v>
      </c>
      <c r="C1904" s="12" t="str">
        <f>IFERROR(VLOOKUP(TED[[#This Row],[CENTRO]],'CENTRO DE CUSTO'!B:E,4,FALSE)," ")</f>
        <v>PAULO HENRIQUE</v>
      </c>
      <c r="D1904" s="12">
        <v>286</v>
      </c>
      <c r="E1904" s="16">
        <v>286012</v>
      </c>
      <c r="F1904" s="10" t="s">
        <v>1979</v>
      </c>
      <c r="G1904" s="10">
        <v>200</v>
      </c>
      <c r="H1904" s="11">
        <v>45901</v>
      </c>
      <c r="I1904" s="10" t="s">
        <v>1</v>
      </c>
      <c r="J1904" s="12" t="str">
        <f>IF(OR(TED[[#This Row],[SITUACAO]]=1,TED[[#This Row],[SITUACAO]]=9,TED[[#This Row],[SITUACAO]]=18),"ATIVO","AFASTADO")</f>
        <v>ATIVO</v>
      </c>
      <c r="K1904" s="12">
        <v>1</v>
      </c>
    </row>
    <row r="1905" spans="1:11" x14ac:dyDescent="0.25">
      <c r="A1905" s="10">
        <v>40202</v>
      </c>
      <c r="B1905" s="9" t="s">
        <v>1791</v>
      </c>
      <c r="C1905" s="12" t="str">
        <f>IFERROR(VLOOKUP(TED[[#This Row],[CENTRO]],'CENTRO DE CUSTO'!B:E,4,FALSE)," ")</f>
        <v>FERNANDO SANTOS</v>
      </c>
      <c r="D1905" s="12">
        <v>286</v>
      </c>
      <c r="E1905" s="16">
        <v>286001</v>
      </c>
      <c r="F1905" s="10" t="s">
        <v>1969</v>
      </c>
      <c r="G1905" s="10">
        <v>200</v>
      </c>
      <c r="H1905" s="11">
        <v>45901</v>
      </c>
      <c r="I1905" s="10" t="s">
        <v>1996</v>
      </c>
      <c r="J1905" s="12" t="str">
        <f>IF(OR(TED[[#This Row],[SITUACAO]]=1,TED[[#This Row],[SITUACAO]]=9,TED[[#This Row],[SITUACAO]]=18),"ATIVO","AFASTADO")</f>
        <v>AFASTADO</v>
      </c>
      <c r="K1905" s="12">
        <v>3</v>
      </c>
    </row>
    <row r="1906" spans="1:11" x14ac:dyDescent="0.25">
      <c r="A1906" s="10">
        <v>40062</v>
      </c>
      <c r="B1906" s="9" t="s">
        <v>1802</v>
      </c>
      <c r="C1906" s="12" t="str">
        <f>IFERROR(VLOOKUP(TED[[#This Row],[CENTRO]],'CENTRO DE CUSTO'!B:E,4,FALSE)," ")</f>
        <v>FERNANDO SANTOS</v>
      </c>
      <c r="D1906" s="12">
        <v>286</v>
      </c>
      <c r="E1906" s="16">
        <v>286001</v>
      </c>
      <c r="F1906" s="10" t="s">
        <v>1969</v>
      </c>
      <c r="G1906" s="10">
        <v>200</v>
      </c>
      <c r="H1906" s="11">
        <v>45901</v>
      </c>
      <c r="I1906" s="10" t="s">
        <v>21</v>
      </c>
      <c r="J1906" s="12" t="str">
        <f>IF(OR(TED[[#This Row],[SITUACAO]]=1,TED[[#This Row],[SITUACAO]]=9,TED[[#This Row],[SITUACAO]]=18),"ATIVO","AFASTADO")</f>
        <v>ATIVO</v>
      </c>
      <c r="K1906" s="12">
        <v>1</v>
      </c>
    </row>
    <row r="1907" spans="1:11" x14ac:dyDescent="0.25">
      <c r="A1907" s="10">
        <v>40220</v>
      </c>
      <c r="B1907" s="9" t="s">
        <v>1856</v>
      </c>
      <c r="C1907" s="12" t="str">
        <f>IFERROR(VLOOKUP(TED[[#This Row],[CENTRO]],'CENTRO DE CUSTO'!B:E,4,FALSE)," ")</f>
        <v>PAULO HENRIQUE</v>
      </c>
      <c r="D1907" s="12">
        <v>286</v>
      </c>
      <c r="E1907" s="16">
        <v>286009</v>
      </c>
      <c r="F1907" s="10" t="s">
        <v>1976</v>
      </c>
      <c r="G1907" s="10">
        <v>150</v>
      </c>
      <c r="H1907" s="11">
        <v>45901</v>
      </c>
      <c r="I1907" s="10" t="s">
        <v>1</v>
      </c>
      <c r="J1907" s="12" t="str">
        <f>IF(OR(TED[[#This Row],[SITUACAO]]=1,TED[[#This Row],[SITUACAO]]=9,TED[[#This Row],[SITUACAO]]=18),"ATIVO","AFASTADO")</f>
        <v>ATIVO</v>
      </c>
      <c r="K1907" s="12">
        <v>1</v>
      </c>
    </row>
    <row r="1908" spans="1:11" x14ac:dyDescent="0.25">
      <c r="A1908" s="10">
        <v>40258</v>
      </c>
      <c r="B1908" s="9" t="s">
        <v>1836</v>
      </c>
      <c r="C1908" s="12" t="str">
        <f>IFERROR(VLOOKUP(TED[[#This Row],[CENTRO]],'CENTRO DE CUSTO'!B:E,4,FALSE)," ")</f>
        <v>PAULO HENRIQUE</v>
      </c>
      <c r="D1908" s="12">
        <v>286</v>
      </c>
      <c r="E1908" s="16">
        <v>286006</v>
      </c>
      <c r="F1908" s="10" t="s">
        <v>1973</v>
      </c>
      <c r="G1908" s="10">
        <v>150</v>
      </c>
      <c r="H1908" s="11">
        <v>45901</v>
      </c>
      <c r="I1908" s="10" t="s">
        <v>1996</v>
      </c>
      <c r="J1908" s="12" t="str">
        <f>IF(OR(TED[[#This Row],[SITUACAO]]=1,TED[[#This Row],[SITUACAO]]=9,TED[[#This Row],[SITUACAO]]=18),"ATIVO","AFASTADO")</f>
        <v>ATIVO</v>
      </c>
      <c r="K1908" s="12">
        <v>1</v>
      </c>
    </row>
    <row r="1909" spans="1:11" x14ac:dyDescent="0.25">
      <c r="A1909" s="10">
        <v>44716</v>
      </c>
      <c r="B1909" s="9" t="s">
        <v>2164</v>
      </c>
      <c r="C1909" s="12" t="str">
        <f>IFERROR(VLOOKUP(TED[[#This Row],[CENTRO]],'CENTRO DE CUSTO'!B:E,4,FALSE)," ")</f>
        <v>FERNANDO SANTOS</v>
      </c>
      <c r="D1909" s="12">
        <v>286</v>
      </c>
      <c r="E1909" s="16">
        <v>286015</v>
      </c>
      <c r="F1909" s="10" t="s">
        <v>1982</v>
      </c>
      <c r="G1909" s="10">
        <v>200</v>
      </c>
      <c r="H1909" s="11">
        <v>46105</v>
      </c>
      <c r="I1909" s="10" t="s">
        <v>1996</v>
      </c>
      <c r="J1909" s="12" t="str">
        <f>IF(OR(TED[[#This Row],[SITUACAO]]=1,TED[[#This Row],[SITUACAO]]=9,TED[[#This Row],[SITUACAO]]=18),"ATIVO","AFASTADO")</f>
        <v>ATIVO</v>
      </c>
      <c r="K1909" s="12">
        <v>1</v>
      </c>
    </row>
    <row r="1910" spans="1:11" x14ac:dyDescent="0.25">
      <c r="A1910" s="10">
        <v>40213</v>
      </c>
      <c r="B1910" s="9" t="s">
        <v>1841</v>
      </c>
      <c r="C1910" s="12" t="str">
        <f>IFERROR(VLOOKUP(TED[[#This Row],[CENTRO]],'CENTRO DE CUSTO'!B:E,4,FALSE)," ")</f>
        <v>PAULO HENRIQUE</v>
      </c>
      <c r="D1910" s="12">
        <v>286</v>
      </c>
      <c r="E1910" s="16">
        <v>286006</v>
      </c>
      <c r="F1910" s="10" t="s">
        <v>1973</v>
      </c>
      <c r="G1910" s="10">
        <v>200</v>
      </c>
      <c r="H1910" s="11">
        <v>45901</v>
      </c>
      <c r="I1910" s="10" t="s">
        <v>1</v>
      </c>
      <c r="J1910" s="12" t="str">
        <f>IF(OR(TED[[#This Row],[SITUACAO]]=1,TED[[#This Row],[SITUACAO]]=9,TED[[#This Row],[SITUACAO]]=18),"ATIVO","AFASTADO")</f>
        <v>ATIVO</v>
      </c>
      <c r="K1910" s="12">
        <v>1</v>
      </c>
    </row>
    <row r="1911" spans="1:11" x14ac:dyDescent="0.25">
      <c r="A1911" s="10">
        <v>40154</v>
      </c>
      <c r="B1911" s="9" t="s">
        <v>1825</v>
      </c>
      <c r="C1911" s="12" t="str">
        <f>IFERROR(VLOOKUP(TED[[#This Row],[CENTRO]],'CENTRO DE CUSTO'!B:E,4,FALSE)," ")</f>
        <v>PAULO HENRIQUE</v>
      </c>
      <c r="D1911" s="12">
        <v>286</v>
      </c>
      <c r="E1911" s="16">
        <v>286006</v>
      </c>
      <c r="F1911" s="10" t="s">
        <v>1973</v>
      </c>
      <c r="G1911" s="10">
        <v>200</v>
      </c>
      <c r="H1911" s="11">
        <v>45901</v>
      </c>
      <c r="I1911" s="10" t="s">
        <v>942</v>
      </c>
      <c r="J1911" s="12" t="str">
        <f>IF(OR(TED[[#This Row],[SITUACAO]]=1,TED[[#This Row],[SITUACAO]]=9,TED[[#This Row],[SITUACAO]]=18),"ATIVO","AFASTADO")</f>
        <v>ATIVO</v>
      </c>
      <c r="K1911" s="12">
        <v>1</v>
      </c>
    </row>
    <row r="1912" spans="1:11" x14ac:dyDescent="0.25">
      <c r="A1912" s="10">
        <v>40106</v>
      </c>
      <c r="B1912" s="9" t="s">
        <v>1862</v>
      </c>
      <c r="C1912" s="12" t="str">
        <f>IFERROR(VLOOKUP(TED[[#This Row],[CENTRO]],'CENTRO DE CUSTO'!B:E,4,FALSE)," ")</f>
        <v>PAULO HENRIQUE</v>
      </c>
      <c r="D1912" s="12">
        <v>286</v>
      </c>
      <c r="E1912" s="16">
        <v>286011</v>
      </c>
      <c r="F1912" s="10" t="s">
        <v>1978</v>
      </c>
      <c r="G1912" s="10">
        <v>200</v>
      </c>
      <c r="H1912" s="11">
        <v>45901</v>
      </c>
      <c r="I1912" s="10" t="s">
        <v>1</v>
      </c>
      <c r="J1912" s="12" t="str">
        <f>IF(OR(TED[[#This Row],[SITUACAO]]=1,TED[[#This Row],[SITUACAO]]=9,TED[[#This Row],[SITUACAO]]=18),"ATIVO","AFASTADO")</f>
        <v>ATIVO</v>
      </c>
      <c r="K1912" s="12">
        <v>1</v>
      </c>
    </row>
    <row r="1913" spans="1:11" x14ac:dyDescent="0.25">
      <c r="A1913" s="10">
        <v>40243</v>
      </c>
      <c r="B1913" s="9" t="s">
        <v>1811</v>
      </c>
      <c r="C1913" s="12" t="str">
        <f>IFERROR(VLOOKUP(TED[[#This Row],[CENTRO]],'CENTRO DE CUSTO'!B:E,4,FALSE)," ")</f>
        <v>PAULO HENRIQUE</v>
      </c>
      <c r="D1913" s="12">
        <v>286</v>
      </c>
      <c r="E1913" s="16">
        <v>286003</v>
      </c>
      <c r="F1913" s="10" t="s">
        <v>1971</v>
      </c>
      <c r="G1913" s="10">
        <v>150</v>
      </c>
      <c r="H1913" s="11">
        <v>45901</v>
      </c>
      <c r="I1913" s="10" t="s">
        <v>1</v>
      </c>
      <c r="J1913" s="12" t="str">
        <f>IF(OR(TED[[#This Row],[SITUACAO]]=1,TED[[#This Row],[SITUACAO]]=9,TED[[#This Row],[SITUACAO]]=18),"ATIVO","AFASTADO")</f>
        <v>ATIVO</v>
      </c>
      <c r="K1913" s="12">
        <v>1</v>
      </c>
    </row>
    <row r="1914" spans="1:11" x14ac:dyDescent="0.25">
      <c r="A1914" s="10">
        <v>40095</v>
      </c>
      <c r="B1914" s="9" t="s">
        <v>1829</v>
      </c>
      <c r="C1914" s="12" t="str">
        <f>IFERROR(VLOOKUP(TED[[#This Row],[CENTRO]],'CENTRO DE CUSTO'!B:E,4,FALSE)," ")</f>
        <v>PAULO HENRIQUE</v>
      </c>
      <c r="D1914" s="12">
        <v>286</v>
      </c>
      <c r="E1914" s="16">
        <v>286006</v>
      </c>
      <c r="F1914" s="10" t="s">
        <v>1973</v>
      </c>
      <c r="G1914" s="10">
        <v>200</v>
      </c>
      <c r="H1914" s="11">
        <v>45901</v>
      </c>
      <c r="I1914" s="10" t="s">
        <v>942</v>
      </c>
      <c r="J1914" s="12" t="str">
        <f>IF(OR(TED[[#This Row],[SITUACAO]]=1,TED[[#This Row],[SITUACAO]]=9,TED[[#This Row],[SITUACAO]]=18),"ATIVO","AFASTADO")</f>
        <v>ATIVO</v>
      </c>
      <c r="K1914" s="12">
        <v>1</v>
      </c>
    </row>
    <row r="1915" spans="1:11" x14ac:dyDescent="0.25">
      <c r="A1915" s="10">
        <v>43785</v>
      </c>
      <c r="B1915" s="9" t="s">
        <v>2377</v>
      </c>
      <c r="C1915" s="12" t="str">
        <f>IFERROR(VLOOKUP(TED[[#This Row],[CENTRO]],'CENTRO DE CUSTO'!B:E,4,FALSE)," ")</f>
        <v xml:space="preserve"> </v>
      </c>
      <c r="D1915" s="12">
        <v>295</v>
      </c>
      <c r="E1915" s="16">
        <v>295017</v>
      </c>
      <c r="F1915" s="10" t="s">
        <v>2720</v>
      </c>
      <c r="G1915" s="10">
        <v>220</v>
      </c>
      <c r="H1915" s="11">
        <v>46058</v>
      </c>
      <c r="I1915" s="10" t="s">
        <v>2807</v>
      </c>
      <c r="J1915" s="12" t="str">
        <f>IF(OR(TED[[#This Row],[SITUACAO]]=1,TED[[#This Row],[SITUACAO]]=9,TED[[#This Row],[SITUACAO]]=18),"ATIVO","AFASTADO")</f>
        <v>ATIVO</v>
      </c>
      <c r="K1915" s="12">
        <v>1</v>
      </c>
    </row>
    <row r="1916" spans="1:11" x14ac:dyDescent="0.25">
      <c r="A1916" s="10">
        <v>43471</v>
      </c>
      <c r="B1916" s="9" t="s">
        <v>2378</v>
      </c>
      <c r="C1916" s="12" t="str">
        <f>IFERROR(VLOOKUP(TED[[#This Row],[CENTRO]],'CENTRO DE CUSTO'!B:E,4,FALSE)," ")</f>
        <v xml:space="preserve"> </v>
      </c>
      <c r="D1916" s="12">
        <v>295</v>
      </c>
      <c r="E1916" s="16">
        <v>295004</v>
      </c>
      <c r="F1916" s="10" t="s">
        <v>2721</v>
      </c>
      <c r="G1916" s="10">
        <v>220</v>
      </c>
      <c r="H1916" s="11">
        <v>46048</v>
      </c>
      <c r="I1916" s="10" t="s">
        <v>2807</v>
      </c>
      <c r="J1916" s="12" t="str">
        <f>IF(OR(TED[[#This Row],[SITUACAO]]=1,TED[[#This Row],[SITUACAO]]=9,TED[[#This Row],[SITUACAO]]=18),"ATIVO","AFASTADO")</f>
        <v>ATIVO</v>
      </c>
      <c r="K1916" s="12">
        <v>1</v>
      </c>
    </row>
    <row r="1917" spans="1:11" x14ac:dyDescent="0.25">
      <c r="A1917" s="10">
        <v>46197</v>
      </c>
      <c r="B1917" s="9" t="s">
        <v>2379</v>
      </c>
      <c r="C1917" s="12" t="str">
        <f>IFERROR(VLOOKUP(TED[[#This Row],[CENTRO]],'CENTRO DE CUSTO'!B:E,4,FALSE)," ")</f>
        <v xml:space="preserve"> </v>
      </c>
      <c r="D1917" s="12">
        <v>295</v>
      </c>
      <c r="E1917" s="16">
        <v>295007</v>
      </c>
      <c r="F1917" s="10" t="s">
        <v>2722</v>
      </c>
      <c r="G1917" s="10">
        <v>220</v>
      </c>
      <c r="H1917" s="11">
        <v>46188</v>
      </c>
      <c r="I1917" s="10" t="s">
        <v>2807</v>
      </c>
      <c r="J1917" s="12" t="str">
        <f>IF(OR(TED[[#This Row],[SITUACAO]]=1,TED[[#This Row],[SITUACAO]]=9,TED[[#This Row],[SITUACAO]]=18),"ATIVO","AFASTADO")</f>
        <v>ATIVO</v>
      </c>
      <c r="K1917" s="12">
        <v>1</v>
      </c>
    </row>
    <row r="1918" spans="1:11" x14ac:dyDescent="0.25">
      <c r="A1918" s="10">
        <v>43560</v>
      </c>
      <c r="B1918" s="9" t="s">
        <v>2380</v>
      </c>
      <c r="C1918" s="12" t="str">
        <f>IFERROR(VLOOKUP(TED[[#This Row],[CENTRO]],'CENTRO DE CUSTO'!B:E,4,FALSE)," ")</f>
        <v xml:space="preserve"> </v>
      </c>
      <c r="D1918" s="12">
        <v>295</v>
      </c>
      <c r="E1918" s="16">
        <v>295005</v>
      </c>
      <c r="F1918" s="10" t="s">
        <v>2723</v>
      </c>
      <c r="G1918" s="10">
        <v>220</v>
      </c>
      <c r="H1918" s="11">
        <v>46052</v>
      </c>
      <c r="I1918" s="10" t="s">
        <v>2807</v>
      </c>
      <c r="J1918" s="12" t="str">
        <f>IF(OR(TED[[#This Row],[SITUACAO]]=1,TED[[#This Row],[SITUACAO]]=9,TED[[#This Row],[SITUACAO]]=18),"ATIVO","AFASTADO")</f>
        <v>ATIVO</v>
      </c>
      <c r="K1918" s="12">
        <v>1</v>
      </c>
    </row>
    <row r="1919" spans="1:11" x14ac:dyDescent="0.25">
      <c r="A1919" s="10">
        <v>44766</v>
      </c>
      <c r="B1919" s="9" t="s">
        <v>2381</v>
      </c>
      <c r="C1919" s="12" t="str">
        <f>IFERROR(VLOOKUP(TED[[#This Row],[CENTRO]],'CENTRO DE CUSTO'!B:E,4,FALSE)," ")</f>
        <v xml:space="preserve"> </v>
      </c>
      <c r="D1919" s="12">
        <v>295</v>
      </c>
      <c r="E1919" s="16">
        <v>295020</v>
      </c>
      <c r="F1919" s="10" t="s">
        <v>2724</v>
      </c>
      <c r="G1919" s="10">
        <v>220</v>
      </c>
      <c r="H1919" s="11">
        <v>46107</v>
      </c>
      <c r="I1919" s="10" t="s">
        <v>2807</v>
      </c>
      <c r="J1919" s="12" t="str">
        <f>IF(OR(TED[[#This Row],[SITUACAO]]=1,TED[[#This Row],[SITUACAO]]=9,TED[[#This Row],[SITUACAO]]=18),"ATIVO","AFASTADO")</f>
        <v>ATIVO</v>
      </c>
      <c r="K1919" s="12">
        <v>1</v>
      </c>
    </row>
    <row r="1920" spans="1:11" x14ac:dyDescent="0.25">
      <c r="A1920" s="10">
        <v>43353</v>
      </c>
      <c r="B1920" s="9" t="s">
        <v>2382</v>
      </c>
      <c r="C1920" s="12" t="str">
        <f>IFERROR(VLOOKUP(TED[[#This Row],[CENTRO]],'CENTRO DE CUSTO'!B:E,4,FALSE)," ")</f>
        <v xml:space="preserve"> </v>
      </c>
      <c r="D1920" s="12">
        <v>295</v>
      </c>
      <c r="E1920" s="16">
        <v>295003</v>
      </c>
      <c r="F1920" s="10" t="s">
        <v>2725</v>
      </c>
      <c r="G1920" s="10">
        <v>220</v>
      </c>
      <c r="H1920" s="11">
        <v>46048</v>
      </c>
      <c r="I1920" s="10" t="s">
        <v>2807</v>
      </c>
      <c r="J1920" s="12" t="str">
        <f>IF(OR(TED[[#This Row],[SITUACAO]]=1,TED[[#This Row],[SITUACAO]]=9,TED[[#This Row],[SITUACAO]]=18),"ATIVO","AFASTADO")</f>
        <v>ATIVO</v>
      </c>
      <c r="K1920" s="12">
        <v>1</v>
      </c>
    </row>
    <row r="1921" spans="1:11" x14ac:dyDescent="0.25">
      <c r="A1921" s="10">
        <v>43637</v>
      </c>
      <c r="B1921" s="9" t="s">
        <v>2383</v>
      </c>
      <c r="C1921" s="12" t="str">
        <f>IFERROR(VLOOKUP(TED[[#This Row],[CENTRO]],'CENTRO DE CUSTO'!B:E,4,FALSE)," ")</f>
        <v xml:space="preserve"> </v>
      </c>
      <c r="D1921" s="12">
        <v>295</v>
      </c>
      <c r="E1921" s="16">
        <v>295025</v>
      </c>
      <c r="F1921" s="10" t="s">
        <v>2726</v>
      </c>
      <c r="G1921" s="10">
        <v>220</v>
      </c>
      <c r="H1921" s="11">
        <v>46057</v>
      </c>
      <c r="I1921" s="10" t="s">
        <v>2807</v>
      </c>
      <c r="J1921" s="12" t="str">
        <f>IF(OR(TED[[#This Row],[SITUACAO]]=1,TED[[#This Row],[SITUACAO]]=9,TED[[#This Row],[SITUACAO]]=18),"ATIVO","AFASTADO")</f>
        <v>ATIVO</v>
      </c>
      <c r="K1921" s="12">
        <v>1</v>
      </c>
    </row>
    <row r="1922" spans="1:11" x14ac:dyDescent="0.25">
      <c r="A1922" s="10">
        <v>45981</v>
      </c>
      <c r="B1922" s="9" t="s">
        <v>2384</v>
      </c>
      <c r="C1922" s="12" t="str">
        <f>IFERROR(VLOOKUP(TED[[#This Row],[CENTRO]],'CENTRO DE CUSTO'!B:E,4,FALSE)," ")</f>
        <v xml:space="preserve"> </v>
      </c>
      <c r="D1922" s="12">
        <v>295</v>
      </c>
      <c r="E1922" s="16">
        <v>295002</v>
      </c>
      <c r="F1922" s="10" t="s">
        <v>2727</v>
      </c>
      <c r="G1922" s="10">
        <v>220</v>
      </c>
      <c r="H1922" s="11">
        <v>46175</v>
      </c>
      <c r="I1922" s="10" t="s">
        <v>2807</v>
      </c>
      <c r="J1922" s="12" t="str">
        <f>IF(OR(TED[[#This Row],[SITUACAO]]=1,TED[[#This Row],[SITUACAO]]=9,TED[[#This Row],[SITUACAO]]=18),"ATIVO","AFASTADO")</f>
        <v>ATIVO</v>
      </c>
      <c r="K1922" s="12">
        <v>1</v>
      </c>
    </row>
    <row r="1923" spans="1:11" x14ac:dyDescent="0.25">
      <c r="A1923" s="10">
        <v>42033</v>
      </c>
      <c r="B1923" s="9" t="s">
        <v>2385</v>
      </c>
      <c r="C1923" s="12" t="str">
        <f>IFERROR(VLOOKUP(TED[[#This Row],[CENTRO]],'CENTRO DE CUSTO'!B:E,4,FALSE)," ")</f>
        <v xml:space="preserve"> </v>
      </c>
      <c r="D1923" s="12">
        <v>295</v>
      </c>
      <c r="E1923" s="16">
        <v>295031</v>
      </c>
      <c r="F1923" s="10" t="s">
        <v>2728</v>
      </c>
      <c r="G1923" s="10">
        <v>220</v>
      </c>
      <c r="H1923" s="11">
        <v>45971</v>
      </c>
      <c r="I1923" s="10" t="s">
        <v>2808</v>
      </c>
      <c r="J1923" s="12" t="str">
        <f>IF(OR(TED[[#This Row],[SITUACAO]]=1,TED[[#This Row],[SITUACAO]]=9,TED[[#This Row],[SITUACAO]]=18),"ATIVO","AFASTADO")</f>
        <v>ATIVO</v>
      </c>
      <c r="K1923" s="12">
        <v>1</v>
      </c>
    </row>
    <row r="1924" spans="1:11" x14ac:dyDescent="0.25">
      <c r="A1924" s="10">
        <v>43431</v>
      </c>
      <c r="B1924" s="9" t="s">
        <v>2386</v>
      </c>
      <c r="C1924" s="12" t="str">
        <f>IFERROR(VLOOKUP(TED[[#This Row],[CENTRO]],'CENTRO DE CUSTO'!B:E,4,FALSE)," ")</f>
        <v xml:space="preserve"> </v>
      </c>
      <c r="D1924" s="12">
        <v>295</v>
      </c>
      <c r="E1924" s="16">
        <v>295007</v>
      </c>
      <c r="F1924" s="10" t="s">
        <v>2722</v>
      </c>
      <c r="G1924" s="10">
        <v>220</v>
      </c>
      <c r="H1924" s="11">
        <v>46048</v>
      </c>
      <c r="I1924" s="10" t="s">
        <v>2807</v>
      </c>
      <c r="J1924" s="12" t="str">
        <f>IF(OR(TED[[#This Row],[SITUACAO]]=1,TED[[#This Row],[SITUACAO]]=9,TED[[#This Row],[SITUACAO]]=18),"ATIVO","AFASTADO")</f>
        <v>ATIVO</v>
      </c>
      <c r="K1924" s="12">
        <v>1</v>
      </c>
    </row>
    <row r="1925" spans="1:11" x14ac:dyDescent="0.25">
      <c r="A1925" s="10">
        <v>45330</v>
      </c>
      <c r="B1925" s="9" t="s">
        <v>2387</v>
      </c>
      <c r="C1925" s="12" t="str">
        <f>IFERROR(VLOOKUP(TED[[#This Row],[CENTRO]],'CENTRO DE CUSTO'!B:E,4,FALSE)," ")</f>
        <v xml:space="preserve"> </v>
      </c>
      <c r="D1925" s="12">
        <v>295</v>
      </c>
      <c r="E1925" s="16">
        <v>295009</v>
      </c>
      <c r="F1925" s="10" t="s">
        <v>2729</v>
      </c>
      <c r="G1925" s="10">
        <v>220</v>
      </c>
      <c r="H1925" s="11">
        <v>46148</v>
      </c>
      <c r="I1925" s="10" t="s">
        <v>2807</v>
      </c>
      <c r="J1925" s="12" t="str">
        <f>IF(OR(TED[[#This Row],[SITUACAO]]=1,TED[[#This Row],[SITUACAO]]=9,TED[[#This Row],[SITUACAO]]=18),"ATIVO","AFASTADO")</f>
        <v>ATIVO</v>
      </c>
      <c r="K1925" s="12">
        <v>1</v>
      </c>
    </row>
    <row r="1926" spans="1:11" x14ac:dyDescent="0.25">
      <c r="A1926" s="10">
        <v>45628</v>
      </c>
      <c r="B1926" s="9" t="s">
        <v>2388</v>
      </c>
      <c r="C1926" s="12" t="str">
        <f>IFERROR(VLOOKUP(TED[[#This Row],[CENTRO]],'CENTRO DE CUSTO'!B:E,4,FALSE)," ")</f>
        <v xml:space="preserve"> </v>
      </c>
      <c r="D1926" s="12">
        <v>295</v>
      </c>
      <c r="E1926" s="16">
        <v>295010</v>
      </c>
      <c r="F1926" s="10" t="s">
        <v>2730</v>
      </c>
      <c r="G1926" s="10">
        <v>220</v>
      </c>
      <c r="H1926" s="11">
        <v>46156</v>
      </c>
      <c r="I1926" s="10" t="s">
        <v>2807</v>
      </c>
      <c r="J1926" s="12" t="str">
        <f>IF(OR(TED[[#This Row],[SITUACAO]]=1,TED[[#This Row],[SITUACAO]]=9,TED[[#This Row],[SITUACAO]]=18),"ATIVO","AFASTADO")</f>
        <v>ATIVO</v>
      </c>
      <c r="K1926" s="12">
        <v>1</v>
      </c>
    </row>
    <row r="1927" spans="1:11" x14ac:dyDescent="0.25">
      <c r="A1927" s="10">
        <v>43354</v>
      </c>
      <c r="B1927" s="9" t="s">
        <v>2389</v>
      </c>
      <c r="C1927" s="12" t="str">
        <f>IFERROR(VLOOKUP(TED[[#This Row],[CENTRO]],'CENTRO DE CUSTO'!B:E,4,FALSE)," ")</f>
        <v xml:space="preserve"> </v>
      </c>
      <c r="D1927" s="12">
        <v>295</v>
      </c>
      <c r="E1927" s="16">
        <v>295001</v>
      </c>
      <c r="F1927" s="10" t="s">
        <v>2731</v>
      </c>
      <c r="G1927" s="10">
        <v>220</v>
      </c>
      <c r="H1927" s="11">
        <v>46048</v>
      </c>
      <c r="I1927" s="10" t="s">
        <v>2807</v>
      </c>
      <c r="J1927" s="12" t="str">
        <f>IF(OR(TED[[#This Row],[SITUACAO]]=1,TED[[#This Row],[SITUACAO]]=9,TED[[#This Row],[SITUACAO]]=18),"ATIVO","AFASTADO")</f>
        <v>ATIVO</v>
      </c>
      <c r="K1927" s="12">
        <v>1</v>
      </c>
    </row>
    <row r="1928" spans="1:11" x14ac:dyDescent="0.25">
      <c r="A1928" s="10">
        <v>45997</v>
      </c>
      <c r="B1928" s="9" t="s">
        <v>2390</v>
      </c>
      <c r="C1928" s="12" t="str">
        <f>IFERROR(VLOOKUP(TED[[#This Row],[CENTRO]],'CENTRO DE CUSTO'!B:E,4,FALSE)," ")</f>
        <v xml:space="preserve"> </v>
      </c>
      <c r="D1928" s="12">
        <v>295</v>
      </c>
      <c r="E1928" s="16">
        <v>295002</v>
      </c>
      <c r="F1928" s="10" t="s">
        <v>2727</v>
      </c>
      <c r="G1928" s="10">
        <v>220</v>
      </c>
      <c r="H1928" s="11">
        <v>46175</v>
      </c>
      <c r="I1928" s="10" t="s">
        <v>2807</v>
      </c>
      <c r="J1928" s="12" t="str">
        <f>IF(OR(TED[[#This Row],[SITUACAO]]=1,TED[[#This Row],[SITUACAO]]=9,TED[[#This Row],[SITUACAO]]=18),"ATIVO","AFASTADO")</f>
        <v>ATIVO</v>
      </c>
      <c r="K1928" s="12">
        <v>1</v>
      </c>
    </row>
    <row r="1929" spans="1:11" x14ac:dyDescent="0.25">
      <c r="A1929" s="10">
        <v>43562</v>
      </c>
      <c r="B1929" s="9" t="s">
        <v>2391</v>
      </c>
      <c r="C1929" s="12" t="str">
        <f>IFERROR(VLOOKUP(TED[[#This Row],[CENTRO]],'CENTRO DE CUSTO'!B:E,4,FALSE)," ")</f>
        <v xml:space="preserve"> </v>
      </c>
      <c r="D1929" s="12">
        <v>295</v>
      </c>
      <c r="E1929" s="16">
        <v>295005</v>
      </c>
      <c r="F1929" s="10" t="s">
        <v>2723</v>
      </c>
      <c r="G1929" s="10">
        <v>220</v>
      </c>
      <c r="H1929" s="11">
        <v>46052</v>
      </c>
      <c r="I1929" s="10" t="s">
        <v>2807</v>
      </c>
      <c r="J1929" s="12" t="str">
        <f>IF(OR(TED[[#This Row],[SITUACAO]]=1,TED[[#This Row],[SITUACAO]]=9,TED[[#This Row],[SITUACAO]]=18),"ATIVO","AFASTADO")</f>
        <v>ATIVO</v>
      </c>
      <c r="K1929" s="12">
        <v>1</v>
      </c>
    </row>
    <row r="1930" spans="1:11" x14ac:dyDescent="0.25">
      <c r="A1930" s="10">
        <v>45021</v>
      </c>
      <c r="B1930" s="9" t="s">
        <v>2392</v>
      </c>
      <c r="C1930" s="12" t="str">
        <f>IFERROR(VLOOKUP(TED[[#This Row],[CENTRO]],'CENTRO DE CUSTO'!B:E,4,FALSE)," ")</f>
        <v xml:space="preserve"> </v>
      </c>
      <c r="D1930" s="12">
        <v>295</v>
      </c>
      <c r="E1930" s="16">
        <v>295019</v>
      </c>
      <c r="F1930" s="10" t="s">
        <v>2732</v>
      </c>
      <c r="G1930" s="10">
        <v>220</v>
      </c>
      <c r="H1930" s="11">
        <v>46121</v>
      </c>
      <c r="I1930" s="10" t="s">
        <v>2807</v>
      </c>
      <c r="J1930" s="12" t="str">
        <f>IF(OR(TED[[#This Row],[SITUACAO]]=1,TED[[#This Row],[SITUACAO]]=9,TED[[#This Row],[SITUACAO]]=18),"ATIVO","AFASTADO")</f>
        <v>ATIVO</v>
      </c>
      <c r="K1930" s="12">
        <v>1</v>
      </c>
    </row>
    <row r="1931" spans="1:11" x14ac:dyDescent="0.25">
      <c r="A1931" s="10">
        <v>42034</v>
      </c>
      <c r="B1931" s="9" t="s">
        <v>2393</v>
      </c>
      <c r="C1931" s="12" t="str">
        <f>IFERROR(VLOOKUP(TED[[#This Row],[CENTRO]],'CENTRO DE CUSTO'!B:E,4,FALSE)," ")</f>
        <v xml:space="preserve"> </v>
      </c>
      <c r="D1931" s="12">
        <v>295</v>
      </c>
      <c r="E1931" s="16">
        <v>295031</v>
      </c>
      <c r="F1931" s="10" t="s">
        <v>2728</v>
      </c>
      <c r="G1931" s="10">
        <v>220</v>
      </c>
      <c r="H1931" s="11">
        <v>45971</v>
      </c>
      <c r="I1931" s="10" t="s">
        <v>2808</v>
      </c>
      <c r="J1931" s="12" t="str">
        <f>IF(OR(TED[[#This Row],[SITUACAO]]=1,TED[[#This Row],[SITUACAO]]=9,TED[[#This Row],[SITUACAO]]=18),"ATIVO","AFASTADO")</f>
        <v>ATIVO</v>
      </c>
      <c r="K1931" s="12">
        <v>1</v>
      </c>
    </row>
    <row r="1932" spans="1:11" x14ac:dyDescent="0.25">
      <c r="A1932" s="10">
        <v>43447</v>
      </c>
      <c r="B1932" s="9" t="s">
        <v>2394</v>
      </c>
      <c r="C1932" s="12" t="str">
        <f>IFERROR(VLOOKUP(TED[[#This Row],[CENTRO]],'CENTRO DE CUSTO'!B:E,4,FALSE)," ")</f>
        <v xml:space="preserve"> </v>
      </c>
      <c r="D1932" s="12">
        <v>295</v>
      </c>
      <c r="E1932" s="16">
        <v>295007</v>
      </c>
      <c r="F1932" s="10" t="s">
        <v>2722</v>
      </c>
      <c r="G1932" s="10">
        <v>220</v>
      </c>
      <c r="H1932" s="11">
        <v>46048</v>
      </c>
      <c r="I1932" s="10" t="s">
        <v>2807</v>
      </c>
      <c r="J1932" s="12" t="str">
        <f>IF(OR(TED[[#This Row],[SITUACAO]]=1,TED[[#This Row],[SITUACAO]]=9,TED[[#This Row],[SITUACAO]]=18),"ATIVO","AFASTADO")</f>
        <v>ATIVO</v>
      </c>
      <c r="K1932" s="12">
        <v>18</v>
      </c>
    </row>
    <row r="1933" spans="1:11" x14ac:dyDescent="0.25">
      <c r="A1933" s="10">
        <v>43341</v>
      </c>
      <c r="B1933" s="9" t="s">
        <v>2395</v>
      </c>
      <c r="C1933" s="12" t="str">
        <f>IFERROR(VLOOKUP(TED[[#This Row],[CENTRO]],'CENTRO DE CUSTO'!B:E,4,FALSE)," ")</f>
        <v xml:space="preserve"> </v>
      </c>
      <c r="D1933" s="12">
        <v>295</v>
      </c>
      <c r="E1933" s="16">
        <v>295001</v>
      </c>
      <c r="F1933" s="10" t="s">
        <v>2731</v>
      </c>
      <c r="G1933" s="10">
        <v>220</v>
      </c>
      <c r="H1933" s="11">
        <v>46048</v>
      </c>
      <c r="I1933" s="10" t="s">
        <v>2807</v>
      </c>
      <c r="J1933" s="12" t="str">
        <f>IF(OR(TED[[#This Row],[SITUACAO]]=1,TED[[#This Row],[SITUACAO]]=9,TED[[#This Row],[SITUACAO]]=18),"ATIVO","AFASTADO")</f>
        <v>ATIVO</v>
      </c>
      <c r="K1933" s="12">
        <v>1</v>
      </c>
    </row>
    <row r="1934" spans="1:11" x14ac:dyDescent="0.25">
      <c r="A1934" s="10">
        <v>43401</v>
      </c>
      <c r="B1934" s="9" t="s">
        <v>2396</v>
      </c>
      <c r="C1934" s="12" t="str">
        <f>IFERROR(VLOOKUP(TED[[#This Row],[CENTRO]],'CENTRO DE CUSTO'!B:E,4,FALSE)," ")</f>
        <v xml:space="preserve"> </v>
      </c>
      <c r="D1934" s="12">
        <v>295</v>
      </c>
      <c r="E1934" s="16">
        <v>295011</v>
      </c>
      <c r="F1934" s="10" t="s">
        <v>2733</v>
      </c>
      <c r="G1934" s="10">
        <v>220</v>
      </c>
      <c r="H1934" s="11">
        <v>46048</v>
      </c>
      <c r="I1934" s="10" t="s">
        <v>2807</v>
      </c>
      <c r="J1934" s="12" t="str">
        <f>IF(OR(TED[[#This Row],[SITUACAO]]=1,TED[[#This Row],[SITUACAO]]=9,TED[[#This Row],[SITUACAO]]=18),"ATIVO","AFASTADO")</f>
        <v>ATIVO</v>
      </c>
      <c r="K1934" s="12">
        <v>1</v>
      </c>
    </row>
    <row r="1935" spans="1:11" x14ac:dyDescent="0.25">
      <c r="A1935" s="10">
        <v>46046</v>
      </c>
      <c r="B1935" s="9" t="s">
        <v>2397</v>
      </c>
      <c r="C1935" s="12" t="str">
        <f>IFERROR(VLOOKUP(TED[[#This Row],[CENTRO]],'CENTRO DE CUSTO'!B:E,4,FALSE)," ")</f>
        <v xml:space="preserve"> </v>
      </c>
      <c r="D1935" s="12">
        <v>295</v>
      </c>
      <c r="E1935" s="16">
        <v>295023</v>
      </c>
      <c r="F1935" s="10" t="s">
        <v>2734</v>
      </c>
      <c r="G1935" s="10">
        <v>220</v>
      </c>
      <c r="H1935" s="11">
        <v>46181</v>
      </c>
      <c r="I1935" s="10" t="s">
        <v>2807</v>
      </c>
      <c r="J1935" s="12" t="str">
        <f>IF(OR(TED[[#This Row],[SITUACAO]]=1,TED[[#This Row],[SITUACAO]]=9,TED[[#This Row],[SITUACAO]]=18),"ATIVO","AFASTADO")</f>
        <v>ATIVO</v>
      </c>
      <c r="K1935" s="12">
        <v>1</v>
      </c>
    </row>
    <row r="1936" spans="1:11" x14ac:dyDescent="0.25">
      <c r="A1936" s="10">
        <v>45246</v>
      </c>
      <c r="B1936" s="9" t="s">
        <v>2398</v>
      </c>
      <c r="C1936" s="12" t="str">
        <f>IFERROR(VLOOKUP(TED[[#This Row],[CENTRO]],'CENTRO DE CUSTO'!B:E,4,FALSE)," ")</f>
        <v xml:space="preserve"> </v>
      </c>
      <c r="D1936" s="12">
        <v>295</v>
      </c>
      <c r="E1936" s="16">
        <v>295005</v>
      </c>
      <c r="F1936" s="10" t="s">
        <v>2723</v>
      </c>
      <c r="G1936" s="10">
        <v>220</v>
      </c>
      <c r="H1936" s="11">
        <v>46139</v>
      </c>
      <c r="I1936" s="10" t="s">
        <v>2807</v>
      </c>
      <c r="J1936" s="12" t="str">
        <f>IF(OR(TED[[#This Row],[SITUACAO]]=1,TED[[#This Row],[SITUACAO]]=9,TED[[#This Row],[SITUACAO]]=18),"ATIVO","AFASTADO")</f>
        <v>ATIVO</v>
      </c>
      <c r="K1936" s="12">
        <v>1</v>
      </c>
    </row>
    <row r="1937" spans="1:11" x14ac:dyDescent="0.25">
      <c r="A1937" s="10">
        <v>45613</v>
      </c>
      <c r="B1937" s="9" t="s">
        <v>2399</v>
      </c>
      <c r="C1937" s="12" t="str">
        <f>IFERROR(VLOOKUP(TED[[#This Row],[CENTRO]],'CENTRO DE CUSTO'!B:E,4,FALSE)," ")</f>
        <v xml:space="preserve"> </v>
      </c>
      <c r="D1937" s="12">
        <v>295</v>
      </c>
      <c r="E1937" s="16">
        <v>295000</v>
      </c>
      <c r="F1937" s="10" t="s">
        <v>2735</v>
      </c>
      <c r="G1937" s="10">
        <v>220</v>
      </c>
      <c r="H1937" s="11">
        <v>46156</v>
      </c>
      <c r="I1937" s="10" t="s">
        <v>2807</v>
      </c>
      <c r="J1937" s="12" t="str">
        <f>IF(OR(TED[[#This Row],[SITUACAO]]=1,TED[[#This Row],[SITUACAO]]=9,TED[[#This Row],[SITUACAO]]=18),"ATIVO","AFASTADO")</f>
        <v>ATIVO</v>
      </c>
      <c r="K1937" s="12">
        <v>1</v>
      </c>
    </row>
    <row r="1938" spans="1:11" x14ac:dyDescent="0.25">
      <c r="A1938" s="10">
        <v>44981</v>
      </c>
      <c r="B1938" s="9" t="s">
        <v>2400</v>
      </c>
      <c r="C1938" s="12" t="str">
        <f>IFERROR(VLOOKUP(TED[[#This Row],[CENTRO]],'CENTRO DE CUSTO'!B:E,4,FALSE)," ")</f>
        <v xml:space="preserve"> </v>
      </c>
      <c r="D1938" s="12">
        <v>295</v>
      </c>
      <c r="E1938" s="16">
        <v>295002</v>
      </c>
      <c r="F1938" s="10" t="s">
        <v>2727</v>
      </c>
      <c r="G1938" s="10">
        <v>220</v>
      </c>
      <c r="H1938" s="11">
        <v>46119</v>
      </c>
      <c r="I1938" s="10" t="s">
        <v>2807</v>
      </c>
      <c r="J1938" s="12" t="str">
        <f>IF(OR(TED[[#This Row],[SITUACAO]]=1,TED[[#This Row],[SITUACAO]]=9,TED[[#This Row],[SITUACAO]]=18),"ATIVO","AFASTADO")</f>
        <v>ATIVO</v>
      </c>
      <c r="K1938" s="12">
        <v>1</v>
      </c>
    </row>
    <row r="1939" spans="1:11" x14ac:dyDescent="0.25">
      <c r="A1939" s="10">
        <v>43423</v>
      </c>
      <c r="B1939" s="9" t="s">
        <v>2401</v>
      </c>
      <c r="C1939" s="12" t="str">
        <f>IFERROR(VLOOKUP(TED[[#This Row],[CENTRO]],'CENTRO DE CUSTO'!B:E,4,FALSE)," ")</f>
        <v xml:space="preserve"> </v>
      </c>
      <c r="D1939" s="12">
        <v>295</v>
      </c>
      <c r="E1939" s="16">
        <v>295003</v>
      </c>
      <c r="F1939" s="10" t="s">
        <v>2725</v>
      </c>
      <c r="G1939" s="10">
        <v>220</v>
      </c>
      <c r="H1939" s="11">
        <v>46048</v>
      </c>
      <c r="I1939" s="10" t="s">
        <v>2807</v>
      </c>
      <c r="J1939" s="12" t="str">
        <f>IF(OR(TED[[#This Row],[SITUACAO]]=1,TED[[#This Row],[SITUACAO]]=9,TED[[#This Row],[SITUACAO]]=18),"ATIVO","AFASTADO")</f>
        <v>ATIVO</v>
      </c>
      <c r="K1939" s="12">
        <v>1</v>
      </c>
    </row>
    <row r="1940" spans="1:11" x14ac:dyDescent="0.25">
      <c r="A1940" s="10">
        <v>46208</v>
      </c>
      <c r="B1940" s="9" t="s">
        <v>2402</v>
      </c>
      <c r="C1940" s="12" t="str">
        <f>IFERROR(VLOOKUP(TED[[#This Row],[CENTRO]],'CENTRO DE CUSTO'!B:E,4,FALSE)," ")</f>
        <v xml:space="preserve"> </v>
      </c>
      <c r="D1940" s="12">
        <v>295</v>
      </c>
      <c r="E1940" s="16">
        <v>295011</v>
      </c>
      <c r="F1940" s="10" t="s">
        <v>2733</v>
      </c>
      <c r="G1940" s="10">
        <v>220</v>
      </c>
      <c r="H1940" s="11">
        <v>46189</v>
      </c>
      <c r="I1940" s="10" t="s">
        <v>2807</v>
      </c>
      <c r="J1940" s="12" t="str">
        <f>IF(OR(TED[[#This Row],[SITUACAO]]=1,TED[[#This Row],[SITUACAO]]=9,TED[[#This Row],[SITUACAO]]=18),"ATIVO","AFASTADO")</f>
        <v>ATIVO</v>
      </c>
      <c r="K1940" s="12">
        <v>1</v>
      </c>
    </row>
    <row r="1941" spans="1:11" x14ac:dyDescent="0.25">
      <c r="A1941" s="10">
        <v>46254</v>
      </c>
      <c r="B1941" s="9" t="s">
        <v>2403</v>
      </c>
      <c r="C1941" s="12" t="str">
        <f>IFERROR(VLOOKUP(TED[[#This Row],[CENTRO]],'CENTRO DE CUSTO'!B:E,4,FALSE)," ")</f>
        <v xml:space="preserve"> </v>
      </c>
      <c r="D1941" s="12">
        <v>295</v>
      </c>
      <c r="E1941" s="16">
        <v>295020</v>
      </c>
      <c r="F1941" s="10" t="s">
        <v>2724</v>
      </c>
      <c r="G1941" s="10">
        <v>220</v>
      </c>
      <c r="H1941" s="11">
        <v>46190</v>
      </c>
      <c r="I1941" s="10" t="s">
        <v>2807</v>
      </c>
      <c r="J1941" s="12" t="str">
        <f>IF(OR(TED[[#This Row],[SITUACAO]]=1,TED[[#This Row],[SITUACAO]]=9,TED[[#This Row],[SITUACAO]]=18),"ATIVO","AFASTADO")</f>
        <v>ATIVO</v>
      </c>
      <c r="K1941" s="12">
        <v>1</v>
      </c>
    </row>
    <row r="1942" spans="1:11" x14ac:dyDescent="0.25">
      <c r="A1942" s="10">
        <v>43458</v>
      </c>
      <c r="B1942" s="9" t="s">
        <v>2404</v>
      </c>
      <c r="C1942" s="12" t="str">
        <f>IFERROR(VLOOKUP(TED[[#This Row],[CENTRO]],'CENTRO DE CUSTO'!B:E,4,FALSE)," ")</f>
        <v xml:space="preserve"> </v>
      </c>
      <c r="D1942" s="12">
        <v>295</v>
      </c>
      <c r="E1942" s="16">
        <v>295017</v>
      </c>
      <c r="F1942" s="10" t="s">
        <v>2720</v>
      </c>
      <c r="G1942" s="10">
        <v>220</v>
      </c>
      <c r="H1942" s="11">
        <v>46048</v>
      </c>
      <c r="I1942" s="10" t="s">
        <v>2807</v>
      </c>
      <c r="J1942" s="12" t="str">
        <f>IF(OR(TED[[#This Row],[SITUACAO]]=1,TED[[#This Row],[SITUACAO]]=9,TED[[#This Row],[SITUACAO]]=18),"ATIVO","AFASTADO")</f>
        <v>ATIVO</v>
      </c>
      <c r="K1942" s="12">
        <v>1</v>
      </c>
    </row>
    <row r="1943" spans="1:11" x14ac:dyDescent="0.25">
      <c r="A1943" s="10">
        <v>43587</v>
      </c>
      <c r="B1943" s="9" t="s">
        <v>2405</v>
      </c>
      <c r="C1943" s="12" t="str">
        <f>IFERROR(VLOOKUP(TED[[#This Row],[CENTRO]],'CENTRO DE CUSTO'!B:E,4,FALSE)," ")</f>
        <v xml:space="preserve"> </v>
      </c>
      <c r="D1943" s="12">
        <v>295</v>
      </c>
      <c r="E1943" s="16">
        <v>295002</v>
      </c>
      <c r="F1943" s="10" t="s">
        <v>2727</v>
      </c>
      <c r="G1943" s="10">
        <v>220</v>
      </c>
      <c r="H1943" s="11">
        <v>46052</v>
      </c>
      <c r="I1943" s="10" t="s">
        <v>2807</v>
      </c>
      <c r="J1943" s="12" t="str">
        <f>IF(OR(TED[[#This Row],[SITUACAO]]=1,TED[[#This Row],[SITUACAO]]=9,TED[[#This Row],[SITUACAO]]=18),"ATIVO","AFASTADO")</f>
        <v>ATIVO</v>
      </c>
      <c r="K1943" s="12">
        <v>1</v>
      </c>
    </row>
    <row r="1944" spans="1:11" x14ac:dyDescent="0.25">
      <c r="A1944" s="10">
        <v>43368</v>
      </c>
      <c r="B1944" s="9" t="s">
        <v>2406</v>
      </c>
      <c r="C1944" s="12" t="str">
        <f>IFERROR(VLOOKUP(TED[[#This Row],[CENTRO]],'CENTRO DE CUSTO'!B:E,4,FALSE)," ")</f>
        <v xml:space="preserve"> </v>
      </c>
      <c r="D1944" s="12">
        <v>295</v>
      </c>
      <c r="E1944" s="16">
        <v>295009</v>
      </c>
      <c r="F1944" s="10" t="s">
        <v>2729</v>
      </c>
      <c r="G1944" s="10">
        <v>220</v>
      </c>
      <c r="H1944" s="11">
        <v>46048</v>
      </c>
      <c r="I1944" s="10" t="s">
        <v>2807</v>
      </c>
      <c r="J1944" s="12" t="str">
        <f>IF(OR(TED[[#This Row],[SITUACAO]]=1,TED[[#This Row],[SITUACAO]]=9,TED[[#This Row],[SITUACAO]]=18),"ATIVO","AFASTADO")</f>
        <v>ATIVO</v>
      </c>
      <c r="K1944" s="12">
        <v>1</v>
      </c>
    </row>
    <row r="1945" spans="1:11" x14ac:dyDescent="0.25">
      <c r="A1945" s="10">
        <v>45391</v>
      </c>
      <c r="B1945" s="9" t="s">
        <v>2407</v>
      </c>
      <c r="C1945" s="12" t="str">
        <f>IFERROR(VLOOKUP(TED[[#This Row],[CENTRO]],'CENTRO DE CUSTO'!B:E,4,FALSE)," ")</f>
        <v xml:space="preserve"> </v>
      </c>
      <c r="D1945" s="12">
        <v>295</v>
      </c>
      <c r="E1945" s="16">
        <v>295006</v>
      </c>
      <c r="F1945" s="10" t="s">
        <v>2736</v>
      </c>
      <c r="G1945" s="10">
        <v>220</v>
      </c>
      <c r="H1945" s="11">
        <v>46146</v>
      </c>
      <c r="I1945" s="10" t="s">
        <v>2807</v>
      </c>
      <c r="J1945" s="12" t="str">
        <f>IF(OR(TED[[#This Row],[SITUACAO]]=1,TED[[#This Row],[SITUACAO]]=9,TED[[#This Row],[SITUACAO]]=18),"ATIVO","AFASTADO")</f>
        <v>ATIVO</v>
      </c>
      <c r="K1945" s="12">
        <v>1</v>
      </c>
    </row>
    <row r="1946" spans="1:11" x14ac:dyDescent="0.25">
      <c r="A1946" s="10">
        <v>44648</v>
      </c>
      <c r="B1946" s="9" t="s">
        <v>2408</v>
      </c>
      <c r="C1946" s="12" t="str">
        <f>IFERROR(VLOOKUP(TED[[#This Row],[CENTRO]],'CENTRO DE CUSTO'!B:E,4,FALSE)," ")</f>
        <v xml:space="preserve"> </v>
      </c>
      <c r="D1946" s="12">
        <v>295</v>
      </c>
      <c r="E1946" s="16">
        <v>295021</v>
      </c>
      <c r="F1946" s="10" t="s">
        <v>2737</v>
      </c>
      <c r="G1946" s="10">
        <v>220</v>
      </c>
      <c r="H1946" s="11">
        <v>46100</v>
      </c>
      <c r="I1946" s="10" t="s">
        <v>2807</v>
      </c>
      <c r="J1946" s="12" t="str">
        <f>IF(OR(TED[[#This Row],[SITUACAO]]=1,TED[[#This Row],[SITUACAO]]=9,TED[[#This Row],[SITUACAO]]=18),"ATIVO","AFASTADO")</f>
        <v>ATIVO</v>
      </c>
      <c r="K1946" s="12">
        <v>1</v>
      </c>
    </row>
    <row r="1947" spans="1:11" x14ac:dyDescent="0.25">
      <c r="A1947" s="10">
        <v>46139</v>
      </c>
      <c r="B1947" s="9" t="s">
        <v>2409</v>
      </c>
      <c r="C1947" s="12" t="str">
        <f>IFERROR(VLOOKUP(TED[[#This Row],[CENTRO]],'CENTRO DE CUSTO'!B:E,4,FALSE)," ")</f>
        <v xml:space="preserve"> </v>
      </c>
      <c r="D1947" s="12">
        <v>295</v>
      </c>
      <c r="E1947" s="16">
        <v>295002</v>
      </c>
      <c r="F1947" s="10" t="s">
        <v>2727</v>
      </c>
      <c r="G1947" s="10">
        <v>220</v>
      </c>
      <c r="H1947" s="11">
        <v>46184</v>
      </c>
      <c r="I1947" s="10" t="s">
        <v>2807</v>
      </c>
      <c r="J1947" s="12" t="str">
        <f>IF(OR(TED[[#This Row],[SITUACAO]]=1,TED[[#This Row],[SITUACAO]]=9,TED[[#This Row],[SITUACAO]]=18),"ATIVO","AFASTADO")</f>
        <v>ATIVO</v>
      </c>
      <c r="K1947" s="12">
        <v>1</v>
      </c>
    </row>
    <row r="1948" spans="1:11" x14ac:dyDescent="0.25">
      <c r="A1948" s="10">
        <v>43732</v>
      </c>
      <c r="B1948" s="9" t="s">
        <v>2410</v>
      </c>
      <c r="C1948" s="12" t="str">
        <f>IFERROR(VLOOKUP(TED[[#This Row],[CENTRO]],'CENTRO DE CUSTO'!B:E,4,FALSE)," ")</f>
        <v xml:space="preserve"> </v>
      </c>
      <c r="D1948" s="12">
        <v>295</v>
      </c>
      <c r="E1948" s="16">
        <v>295025</v>
      </c>
      <c r="F1948" s="10" t="s">
        <v>2726</v>
      </c>
      <c r="G1948" s="10">
        <v>220</v>
      </c>
      <c r="H1948" s="11">
        <v>46057</v>
      </c>
      <c r="I1948" s="10" t="s">
        <v>2807</v>
      </c>
      <c r="J1948" s="12" t="str">
        <f>IF(OR(TED[[#This Row],[SITUACAO]]=1,TED[[#This Row],[SITUACAO]]=9,TED[[#This Row],[SITUACAO]]=18),"ATIVO","AFASTADO")</f>
        <v>ATIVO</v>
      </c>
      <c r="K1948" s="12">
        <v>1</v>
      </c>
    </row>
    <row r="1949" spans="1:11" x14ac:dyDescent="0.25">
      <c r="A1949" s="10">
        <v>45938</v>
      </c>
      <c r="B1949" s="9" t="s">
        <v>2411</v>
      </c>
      <c r="C1949" s="12" t="str">
        <f>IFERROR(VLOOKUP(TED[[#This Row],[CENTRO]],'CENTRO DE CUSTO'!B:E,4,FALSE)," ")</f>
        <v xml:space="preserve"> </v>
      </c>
      <c r="D1949" s="12">
        <v>295</v>
      </c>
      <c r="E1949" s="16">
        <v>295002</v>
      </c>
      <c r="F1949" s="10" t="s">
        <v>2727</v>
      </c>
      <c r="G1949" s="10">
        <v>220</v>
      </c>
      <c r="H1949" s="11">
        <v>46170</v>
      </c>
      <c r="I1949" s="10" t="s">
        <v>2807</v>
      </c>
      <c r="J1949" s="12" t="str">
        <f>IF(OR(TED[[#This Row],[SITUACAO]]=1,TED[[#This Row],[SITUACAO]]=9,TED[[#This Row],[SITUACAO]]=18),"ATIVO","AFASTADO")</f>
        <v>ATIVO</v>
      </c>
      <c r="K1949" s="12">
        <v>1</v>
      </c>
    </row>
    <row r="1950" spans="1:11" x14ac:dyDescent="0.25">
      <c r="A1950" s="10">
        <v>44667</v>
      </c>
      <c r="B1950" s="9" t="s">
        <v>2412</v>
      </c>
      <c r="C1950" s="12" t="str">
        <f>IFERROR(VLOOKUP(TED[[#This Row],[CENTRO]],'CENTRO DE CUSTO'!B:E,4,FALSE)," ")</f>
        <v xml:space="preserve"> </v>
      </c>
      <c r="D1950" s="12">
        <v>295</v>
      </c>
      <c r="E1950" s="16">
        <v>295002</v>
      </c>
      <c r="F1950" s="10" t="s">
        <v>2727</v>
      </c>
      <c r="G1950" s="10">
        <v>220</v>
      </c>
      <c r="H1950" s="11">
        <v>46101</v>
      </c>
      <c r="I1950" s="10" t="s">
        <v>2807</v>
      </c>
      <c r="J1950" s="12" t="str">
        <f>IF(OR(TED[[#This Row],[SITUACAO]]=1,TED[[#This Row],[SITUACAO]]=9,TED[[#This Row],[SITUACAO]]=18),"ATIVO","AFASTADO")</f>
        <v>ATIVO</v>
      </c>
      <c r="K1950" s="12">
        <v>1</v>
      </c>
    </row>
    <row r="1951" spans="1:11" x14ac:dyDescent="0.25">
      <c r="A1951" s="10">
        <v>45690</v>
      </c>
      <c r="B1951" s="9" t="s">
        <v>2413</v>
      </c>
      <c r="C1951" s="12" t="str">
        <f>IFERROR(VLOOKUP(TED[[#This Row],[CENTRO]],'CENTRO DE CUSTO'!B:E,4,FALSE)," ")</f>
        <v xml:space="preserve"> </v>
      </c>
      <c r="D1951" s="12">
        <v>295</v>
      </c>
      <c r="E1951" s="16">
        <v>295026</v>
      </c>
      <c r="F1951" s="10" t="s">
        <v>2738</v>
      </c>
      <c r="G1951" s="10">
        <v>220</v>
      </c>
      <c r="H1951" s="11">
        <v>46161</v>
      </c>
      <c r="I1951" s="10" t="s">
        <v>2807</v>
      </c>
      <c r="J1951" s="12" t="str">
        <f>IF(OR(TED[[#This Row],[SITUACAO]]=1,TED[[#This Row],[SITUACAO]]=9,TED[[#This Row],[SITUACAO]]=18),"ATIVO","AFASTADO")</f>
        <v>ATIVO</v>
      </c>
      <c r="K1951" s="12">
        <v>1</v>
      </c>
    </row>
    <row r="1952" spans="1:11" x14ac:dyDescent="0.25">
      <c r="A1952" s="10">
        <v>43384</v>
      </c>
      <c r="B1952" s="9" t="s">
        <v>2414</v>
      </c>
      <c r="C1952" s="12" t="str">
        <f>IFERROR(VLOOKUP(TED[[#This Row],[CENTRO]],'CENTRO DE CUSTO'!B:E,4,FALSE)," ")</f>
        <v xml:space="preserve"> </v>
      </c>
      <c r="D1952" s="12">
        <v>295</v>
      </c>
      <c r="E1952" s="16">
        <v>295002</v>
      </c>
      <c r="F1952" s="10" t="s">
        <v>2727</v>
      </c>
      <c r="G1952" s="10">
        <v>220</v>
      </c>
      <c r="H1952" s="11">
        <v>46048</v>
      </c>
      <c r="I1952" s="10" t="s">
        <v>2807</v>
      </c>
      <c r="J1952" s="12" t="str">
        <f>IF(OR(TED[[#This Row],[SITUACAO]]=1,TED[[#This Row],[SITUACAO]]=9,TED[[#This Row],[SITUACAO]]=18),"ATIVO","AFASTADO")</f>
        <v>ATIVO</v>
      </c>
      <c r="K1952" s="12">
        <v>1</v>
      </c>
    </row>
    <row r="1953" spans="1:11" x14ac:dyDescent="0.25">
      <c r="A1953" s="10">
        <v>45915</v>
      </c>
      <c r="B1953" s="9" t="s">
        <v>2415</v>
      </c>
      <c r="C1953" s="12" t="str">
        <f>IFERROR(VLOOKUP(TED[[#This Row],[CENTRO]],'CENTRO DE CUSTO'!B:E,4,FALSE)," ")</f>
        <v xml:space="preserve"> </v>
      </c>
      <c r="D1953" s="12">
        <v>295</v>
      </c>
      <c r="E1953" s="16">
        <v>295011</v>
      </c>
      <c r="F1953" s="10" t="s">
        <v>2733</v>
      </c>
      <c r="G1953" s="10">
        <v>220</v>
      </c>
      <c r="H1953" s="11">
        <v>46168</v>
      </c>
      <c r="I1953" s="10" t="s">
        <v>2807</v>
      </c>
      <c r="J1953" s="12" t="str">
        <f>IF(OR(TED[[#This Row],[SITUACAO]]=1,TED[[#This Row],[SITUACAO]]=9,TED[[#This Row],[SITUACAO]]=18),"ATIVO","AFASTADO")</f>
        <v>ATIVO</v>
      </c>
      <c r="K1953" s="12">
        <v>1</v>
      </c>
    </row>
    <row r="1954" spans="1:11" x14ac:dyDescent="0.25">
      <c r="A1954" s="10">
        <v>45123</v>
      </c>
      <c r="B1954" s="9" t="s">
        <v>2416</v>
      </c>
      <c r="C1954" s="12" t="str">
        <f>IFERROR(VLOOKUP(TED[[#This Row],[CENTRO]],'CENTRO DE CUSTO'!B:E,4,FALSE)," ")</f>
        <v xml:space="preserve"> </v>
      </c>
      <c r="D1954" s="12">
        <v>295</v>
      </c>
      <c r="E1954" s="16">
        <v>295002</v>
      </c>
      <c r="F1954" s="10" t="s">
        <v>2727</v>
      </c>
      <c r="G1954" s="10">
        <v>220</v>
      </c>
      <c r="H1954" s="11">
        <v>46128</v>
      </c>
      <c r="I1954" s="10" t="s">
        <v>2807</v>
      </c>
      <c r="J1954" s="12" t="str">
        <f>IF(OR(TED[[#This Row],[SITUACAO]]=1,TED[[#This Row],[SITUACAO]]=9,TED[[#This Row],[SITUACAO]]=18),"ATIVO","AFASTADO")</f>
        <v>ATIVO</v>
      </c>
      <c r="K1954" s="12">
        <v>1</v>
      </c>
    </row>
    <row r="1955" spans="1:11" x14ac:dyDescent="0.25">
      <c r="A1955" s="10">
        <v>46132</v>
      </c>
      <c r="B1955" s="9" t="s">
        <v>2417</v>
      </c>
      <c r="C1955" s="12" t="str">
        <f>IFERROR(VLOOKUP(TED[[#This Row],[CENTRO]],'CENTRO DE CUSTO'!B:E,4,FALSE)," ")</f>
        <v xml:space="preserve"> </v>
      </c>
      <c r="D1955" s="12">
        <v>295</v>
      </c>
      <c r="E1955" s="16">
        <v>295001</v>
      </c>
      <c r="F1955" s="10" t="s">
        <v>2731</v>
      </c>
      <c r="G1955" s="10">
        <v>220</v>
      </c>
      <c r="H1955" s="11">
        <v>46184</v>
      </c>
      <c r="I1955" s="10" t="s">
        <v>2807</v>
      </c>
      <c r="J1955" s="12" t="str">
        <f>IF(OR(TED[[#This Row],[SITUACAO]]=1,TED[[#This Row],[SITUACAO]]=9,TED[[#This Row],[SITUACAO]]=18),"ATIVO","AFASTADO")</f>
        <v>ATIVO</v>
      </c>
      <c r="K1955" s="12">
        <v>1</v>
      </c>
    </row>
    <row r="1956" spans="1:11" x14ac:dyDescent="0.25">
      <c r="A1956" s="10">
        <v>43737</v>
      </c>
      <c r="B1956" s="9" t="s">
        <v>2418</v>
      </c>
      <c r="C1956" s="12" t="str">
        <f>IFERROR(VLOOKUP(TED[[#This Row],[CENTRO]],'CENTRO DE CUSTO'!B:E,4,FALSE)," ")</f>
        <v xml:space="preserve"> </v>
      </c>
      <c r="D1956" s="12">
        <v>295</v>
      </c>
      <c r="E1956" s="16">
        <v>295021</v>
      </c>
      <c r="F1956" s="10" t="s">
        <v>2737</v>
      </c>
      <c r="G1956" s="10">
        <v>220</v>
      </c>
      <c r="H1956" s="11">
        <v>46057</v>
      </c>
      <c r="I1956" s="10" t="s">
        <v>2807</v>
      </c>
      <c r="J1956" s="12" t="str">
        <f>IF(OR(TED[[#This Row],[SITUACAO]]=1,TED[[#This Row],[SITUACAO]]=9,TED[[#This Row],[SITUACAO]]=18),"ATIVO","AFASTADO")</f>
        <v>ATIVO</v>
      </c>
      <c r="K1956" s="12">
        <v>1</v>
      </c>
    </row>
    <row r="1957" spans="1:11" x14ac:dyDescent="0.25">
      <c r="A1957" s="10">
        <v>45705</v>
      </c>
      <c r="B1957" s="9" t="s">
        <v>2419</v>
      </c>
      <c r="C1957" s="12" t="str">
        <f>IFERROR(VLOOKUP(TED[[#This Row],[CENTRO]],'CENTRO DE CUSTO'!B:E,4,FALSE)," ")</f>
        <v xml:space="preserve"> </v>
      </c>
      <c r="D1957" s="12">
        <v>295</v>
      </c>
      <c r="E1957" s="16">
        <v>295002</v>
      </c>
      <c r="F1957" s="10" t="s">
        <v>2727</v>
      </c>
      <c r="G1957" s="10">
        <v>220</v>
      </c>
      <c r="H1957" s="11">
        <v>46161</v>
      </c>
      <c r="I1957" s="10" t="s">
        <v>2807</v>
      </c>
      <c r="J1957" s="12" t="str">
        <f>IF(OR(TED[[#This Row],[SITUACAO]]=1,TED[[#This Row],[SITUACAO]]=9,TED[[#This Row],[SITUACAO]]=18),"ATIVO","AFASTADO")</f>
        <v>ATIVO</v>
      </c>
      <c r="K1957" s="12">
        <v>1</v>
      </c>
    </row>
    <row r="1958" spans="1:11" x14ac:dyDescent="0.25">
      <c r="A1958" s="10">
        <v>43382</v>
      </c>
      <c r="B1958" s="9" t="s">
        <v>2420</v>
      </c>
      <c r="C1958" s="12" t="str">
        <f>IFERROR(VLOOKUP(TED[[#This Row],[CENTRO]],'CENTRO DE CUSTO'!B:E,4,FALSE)," ")</f>
        <v xml:space="preserve"> </v>
      </c>
      <c r="D1958" s="12">
        <v>295</v>
      </c>
      <c r="E1958" s="16">
        <v>295009</v>
      </c>
      <c r="F1958" s="10" t="s">
        <v>2729</v>
      </c>
      <c r="G1958" s="10">
        <v>220</v>
      </c>
      <c r="H1958" s="11">
        <v>46048</v>
      </c>
      <c r="I1958" s="10" t="s">
        <v>2807</v>
      </c>
      <c r="J1958" s="12" t="str">
        <f>IF(OR(TED[[#This Row],[SITUACAO]]=1,TED[[#This Row],[SITUACAO]]=9,TED[[#This Row],[SITUACAO]]=18),"ATIVO","AFASTADO")</f>
        <v>ATIVO</v>
      </c>
      <c r="K1958" s="12">
        <v>1</v>
      </c>
    </row>
    <row r="1959" spans="1:11" x14ac:dyDescent="0.25">
      <c r="A1959" s="10">
        <v>45993</v>
      </c>
      <c r="B1959" s="9" t="s">
        <v>2421</v>
      </c>
      <c r="C1959" s="12" t="str">
        <f>IFERROR(VLOOKUP(TED[[#This Row],[CENTRO]],'CENTRO DE CUSTO'!B:E,4,FALSE)," ")</f>
        <v xml:space="preserve"> </v>
      </c>
      <c r="D1959" s="12">
        <v>295</v>
      </c>
      <c r="E1959" s="16">
        <v>295001</v>
      </c>
      <c r="F1959" s="10" t="s">
        <v>2731</v>
      </c>
      <c r="G1959" s="10">
        <v>220</v>
      </c>
      <c r="H1959" s="11">
        <v>46174</v>
      </c>
      <c r="I1959" s="10" t="s">
        <v>2807</v>
      </c>
      <c r="J1959" s="12" t="str">
        <f>IF(OR(TED[[#This Row],[SITUACAO]]=1,TED[[#This Row],[SITUACAO]]=9,TED[[#This Row],[SITUACAO]]=18),"ATIVO","AFASTADO")</f>
        <v>ATIVO</v>
      </c>
      <c r="K1959" s="12">
        <v>1</v>
      </c>
    </row>
    <row r="1960" spans="1:11" x14ac:dyDescent="0.25">
      <c r="A1960" s="10">
        <v>43492</v>
      </c>
      <c r="B1960" s="9" t="s">
        <v>2422</v>
      </c>
      <c r="C1960" s="12" t="str">
        <f>IFERROR(VLOOKUP(TED[[#This Row],[CENTRO]],'CENTRO DE CUSTO'!B:E,4,FALSE)," ")</f>
        <v xml:space="preserve"> </v>
      </c>
      <c r="D1960" s="12">
        <v>295</v>
      </c>
      <c r="E1960" s="16">
        <v>295009</v>
      </c>
      <c r="F1960" s="10" t="s">
        <v>2729</v>
      </c>
      <c r="G1960" s="10">
        <v>220</v>
      </c>
      <c r="H1960" s="11">
        <v>46049</v>
      </c>
      <c r="I1960" s="10" t="s">
        <v>2807</v>
      </c>
      <c r="J1960" s="12" t="str">
        <f>IF(OR(TED[[#This Row],[SITUACAO]]=1,TED[[#This Row],[SITUACAO]]=9,TED[[#This Row],[SITUACAO]]=18),"ATIVO","AFASTADO")</f>
        <v>ATIVO</v>
      </c>
      <c r="K1960" s="12">
        <v>1</v>
      </c>
    </row>
    <row r="1961" spans="1:11" x14ac:dyDescent="0.25">
      <c r="A1961" s="10">
        <v>43519</v>
      </c>
      <c r="B1961" s="9" t="s">
        <v>2423</v>
      </c>
      <c r="C1961" s="12" t="str">
        <f>IFERROR(VLOOKUP(TED[[#This Row],[CENTRO]],'CENTRO DE CUSTO'!B:E,4,FALSE)," ")</f>
        <v xml:space="preserve"> </v>
      </c>
      <c r="D1961" s="12">
        <v>295</v>
      </c>
      <c r="E1961" s="16">
        <v>295011</v>
      </c>
      <c r="F1961" s="10" t="s">
        <v>2733</v>
      </c>
      <c r="G1961" s="10">
        <v>220</v>
      </c>
      <c r="H1961" s="11">
        <v>46050</v>
      </c>
      <c r="I1961" s="10" t="s">
        <v>2807</v>
      </c>
      <c r="J1961" s="12" t="str">
        <f>IF(OR(TED[[#This Row],[SITUACAO]]=1,TED[[#This Row],[SITUACAO]]=9,TED[[#This Row],[SITUACAO]]=18),"ATIVO","AFASTADO")</f>
        <v>ATIVO</v>
      </c>
      <c r="K1961" s="12">
        <v>1</v>
      </c>
    </row>
    <row r="1962" spans="1:11" x14ac:dyDescent="0.25">
      <c r="A1962" s="10">
        <v>44876</v>
      </c>
      <c r="B1962" s="9" t="s">
        <v>2424</v>
      </c>
      <c r="C1962" s="12" t="str">
        <f>IFERROR(VLOOKUP(TED[[#This Row],[CENTRO]],'CENTRO DE CUSTO'!B:E,4,FALSE)," ")</f>
        <v xml:space="preserve"> </v>
      </c>
      <c r="D1962" s="12">
        <v>295</v>
      </c>
      <c r="E1962" s="16">
        <v>295024</v>
      </c>
      <c r="F1962" s="10" t="s">
        <v>2739</v>
      </c>
      <c r="G1962" s="10">
        <v>220</v>
      </c>
      <c r="H1962" s="11">
        <v>46113</v>
      </c>
      <c r="I1962" s="10" t="s">
        <v>2807</v>
      </c>
      <c r="J1962" s="12" t="str">
        <f>IF(OR(TED[[#This Row],[SITUACAO]]=1,TED[[#This Row],[SITUACAO]]=9,TED[[#This Row],[SITUACAO]]=18),"ATIVO","AFASTADO")</f>
        <v>ATIVO</v>
      </c>
      <c r="K1962" s="12">
        <v>1</v>
      </c>
    </row>
    <row r="1963" spans="1:11" x14ac:dyDescent="0.25">
      <c r="A1963" s="10">
        <v>43005</v>
      </c>
      <c r="B1963" s="9" t="s">
        <v>2425</v>
      </c>
      <c r="C1963" s="12" t="str">
        <f>IFERROR(VLOOKUP(TED[[#This Row],[CENTRO]],'CENTRO DE CUSTO'!B:E,4,FALSE)," ")</f>
        <v xml:space="preserve"> </v>
      </c>
      <c r="D1963" s="12">
        <v>295</v>
      </c>
      <c r="E1963" s="16">
        <v>295023</v>
      </c>
      <c r="F1963" s="10" t="s">
        <v>2734</v>
      </c>
      <c r="G1963" s="10">
        <v>220</v>
      </c>
      <c r="H1963" s="11">
        <v>45996</v>
      </c>
      <c r="I1963" s="10" t="s">
        <v>2807</v>
      </c>
      <c r="J1963" s="12" t="str">
        <f>IF(OR(TED[[#This Row],[SITUACAO]]=1,TED[[#This Row],[SITUACAO]]=9,TED[[#This Row],[SITUACAO]]=18),"ATIVO","AFASTADO")</f>
        <v>ATIVO</v>
      </c>
      <c r="K1963" s="12">
        <v>1</v>
      </c>
    </row>
    <row r="1964" spans="1:11" x14ac:dyDescent="0.25">
      <c r="A1964" s="10">
        <v>44742</v>
      </c>
      <c r="B1964" s="9" t="s">
        <v>2426</v>
      </c>
      <c r="C1964" s="12" t="str">
        <f>IFERROR(VLOOKUP(TED[[#This Row],[CENTRO]],'CENTRO DE CUSTO'!B:E,4,FALSE)," ")</f>
        <v xml:space="preserve"> </v>
      </c>
      <c r="D1964" s="12">
        <v>295</v>
      </c>
      <c r="E1964" s="16">
        <v>295003</v>
      </c>
      <c r="F1964" s="10" t="s">
        <v>2725</v>
      </c>
      <c r="G1964" s="10">
        <v>220</v>
      </c>
      <c r="H1964" s="11">
        <v>46107</v>
      </c>
      <c r="I1964" s="10" t="s">
        <v>2807</v>
      </c>
      <c r="J1964" s="12" t="str">
        <f>IF(OR(TED[[#This Row],[SITUACAO]]=1,TED[[#This Row],[SITUACAO]]=9,TED[[#This Row],[SITUACAO]]=18),"ATIVO","AFASTADO")</f>
        <v>ATIVO</v>
      </c>
      <c r="K1964" s="12">
        <v>1</v>
      </c>
    </row>
    <row r="1965" spans="1:11" x14ac:dyDescent="0.25">
      <c r="A1965" s="10">
        <v>44576</v>
      </c>
      <c r="B1965" s="9" t="s">
        <v>2427</v>
      </c>
      <c r="C1965" s="12" t="str">
        <f>IFERROR(VLOOKUP(TED[[#This Row],[CENTRO]],'CENTRO DE CUSTO'!B:E,4,FALSE)," ")</f>
        <v xml:space="preserve"> </v>
      </c>
      <c r="D1965" s="12">
        <v>295</v>
      </c>
      <c r="E1965" s="16">
        <v>295031</v>
      </c>
      <c r="F1965" s="10" t="s">
        <v>2728</v>
      </c>
      <c r="G1965" s="10">
        <v>220</v>
      </c>
      <c r="H1965" s="11">
        <v>46098</v>
      </c>
      <c r="I1965" s="10" t="s">
        <v>2808</v>
      </c>
      <c r="J1965" s="12" t="str">
        <f>IF(OR(TED[[#This Row],[SITUACAO]]=1,TED[[#This Row],[SITUACAO]]=9,TED[[#This Row],[SITUACAO]]=18),"ATIVO","AFASTADO")</f>
        <v>ATIVO</v>
      </c>
      <c r="K1965" s="12">
        <v>1</v>
      </c>
    </row>
    <row r="1966" spans="1:11" x14ac:dyDescent="0.25">
      <c r="A1966" s="10">
        <v>45254</v>
      </c>
      <c r="B1966" s="9" t="s">
        <v>2428</v>
      </c>
      <c r="C1966" s="12" t="str">
        <f>IFERROR(VLOOKUP(TED[[#This Row],[CENTRO]],'CENTRO DE CUSTO'!B:E,4,FALSE)," ")</f>
        <v xml:space="preserve"> </v>
      </c>
      <c r="D1966" s="12">
        <v>295</v>
      </c>
      <c r="E1966" s="16">
        <v>295022</v>
      </c>
      <c r="F1966" s="10" t="s">
        <v>2740</v>
      </c>
      <c r="G1966" s="10">
        <v>220</v>
      </c>
      <c r="H1966" s="11">
        <v>46139</v>
      </c>
      <c r="I1966" s="10" t="s">
        <v>2807</v>
      </c>
      <c r="J1966" s="12" t="str">
        <f>IF(OR(TED[[#This Row],[SITUACAO]]=1,TED[[#This Row],[SITUACAO]]=9,TED[[#This Row],[SITUACAO]]=18),"ATIVO","AFASTADO")</f>
        <v>ATIVO</v>
      </c>
      <c r="K1966" s="12">
        <v>1</v>
      </c>
    </row>
    <row r="1967" spans="1:11" x14ac:dyDescent="0.25">
      <c r="A1967" s="10">
        <v>43344</v>
      </c>
      <c r="B1967" s="9" t="s">
        <v>2429</v>
      </c>
      <c r="C1967" s="12" t="str">
        <f>IFERROR(VLOOKUP(TED[[#This Row],[CENTRO]],'CENTRO DE CUSTO'!B:E,4,FALSE)," ")</f>
        <v xml:space="preserve"> </v>
      </c>
      <c r="D1967" s="12">
        <v>295</v>
      </c>
      <c r="E1967" s="16">
        <v>295003</v>
      </c>
      <c r="F1967" s="10" t="s">
        <v>2725</v>
      </c>
      <c r="G1967" s="10">
        <v>220</v>
      </c>
      <c r="H1967" s="11">
        <v>46048</v>
      </c>
      <c r="I1967" s="10" t="s">
        <v>2807</v>
      </c>
      <c r="J1967" s="12" t="str">
        <f>IF(OR(TED[[#This Row],[SITUACAO]]=1,TED[[#This Row],[SITUACAO]]=9,TED[[#This Row],[SITUACAO]]=18),"ATIVO","AFASTADO")</f>
        <v>ATIVO</v>
      </c>
      <c r="K1967" s="12">
        <v>1</v>
      </c>
    </row>
    <row r="1968" spans="1:11" x14ac:dyDescent="0.25">
      <c r="A1968" s="10">
        <v>41959</v>
      </c>
      <c r="B1968" s="9" t="s">
        <v>2430</v>
      </c>
      <c r="C1968" s="12" t="str">
        <f>IFERROR(VLOOKUP(TED[[#This Row],[CENTRO]],'CENTRO DE CUSTO'!B:E,4,FALSE)," ")</f>
        <v xml:space="preserve"> </v>
      </c>
      <c r="D1968" s="12">
        <v>295</v>
      </c>
      <c r="E1968" s="16">
        <v>295030</v>
      </c>
      <c r="F1968" s="10" t="s">
        <v>2741</v>
      </c>
      <c r="G1968" s="10">
        <v>220</v>
      </c>
      <c r="H1968" s="11">
        <v>45964</v>
      </c>
      <c r="I1968" s="10" t="s">
        <v>612</v>
      </c>
      <c r="J1968" s="12" t="str">
        <f>IF(OR(TED[[#This Row],[SITUACAO]]=1,TED[[#This Row],[SITUACAO]]=9,TED[[#This Row],[SITUACAO]]=18),"ATIVO","AFASTADO")</f>
        <v>ATIVO</v>
      </c>
      <c r="K1968" s="12">
        <v>1</v>
      </c>
    </row>
    <row r="1969" spans="1:11" x14ac:dyDescent="0.25">
      <c r="A1969" s="10">
        <v>44652</v>
      </c>
      <c r="B1969" s="9" t="s">
        <v>2431</v>
      </c>
      <c r="C1969" s="12" t="str">
        <f>IFERROR(VLOOKUP(TED[[#This Row],[CENTRO]],'CENTRO DE CUSTO'!B:E,4,FALSE)," ")</f>
        <v xml:space="preserve"> </v>
      </c>
      <c r="D1969" s="12">
        <v>295</v>
      </c>
      <c r="E1969" s="16">
        <v>295010</v>
      </c>
      <c r="F1969" s="10" t="s">
        <v>2730</v>
      </c>
      <c r="G1969" s="10">
        <v>220</v>
      </c>
      <c r="H1969" s="11">
        <v>46100</v>
      </c>
      <c r="I1969" s="10" t="s">
        <v>2807</v>
      </c>
      <c r="J1969" s="12" t="str">
        <f>IF(OR(TED[[#This Row],[SITUACAO]]=1,TED[[#This Row],[SITUACAO]]=9,TED[[#This Row],[SITUACAO]]=18),"ATIVO","AFASTADO")</f>
        <v>ATIVO</v>
      </c>
      <c r="K1969" s="12">
        <v>1</v>
      </c>
    </row>
    <row r="1970" spans="1:11" x14ac:dyDescent="0.25">
      <c r="A1970" s="10">
        <v>42071</v>
      </c>
      <c r="B1970" s="9" t="s">
        <v>2432</v>
      </c>
      <c r="C1970" s="12" t="str">
        <f>IFERROR(VLOOKUP(TED[[#This Row],[CENTRO]],'CENTRO DE CUSTO'!B:E,4,FALSE)," ")</f>
        <v xml:space="preserve"> </v>
      </c>
      <c r="D1970" s="12">
        <v>295</v>
      </c>
      <c r="E1970" s="16">
        <v>295023</v>
      </c>
      <c r="F1970" s="10" t="s">
        <v>2734</v>
      </c>
      <c r="G1970" s="10">
        <v>220</v>
      </c>
      <c r="H1970" s="11">
        <v>45971</v>
      </c>
      <c r="I1970" s="10" t="s">
        <v>2807</v>
      </c>
      <c r="J1970" s="12" t="str">
        <f>IF(OR(TED[[#This Row],[SITUACAO]]=1,TED[[#This Row],[SITUACAO]]=9,TED[[#This Row],[SITUACAO]]=18),"ATIVO","AFASTADO")</f>
        <v>ATIVO</v>
      </c>
      <c r="K1970" s="12">
        <v>1</v>
      </c>
    </row>
    <row r="1971" spans="1:11" x14ac:dyDescent="0.25">
      <c r="A1971" s="10">
        <v>45331</v>
      </c>
      <c r="B1971" s="9" t="s">
        <v>2433</v>
      </c>
      <c r="C1971" s="12" t="str">
        <f>IFERROR(VLOOKUP(TED[[#This Row],[CENTRO]],'CENTRO DE CUSTO'!B:E,4,FALSE)," ")</f>
        <v xml:space="preserve"> </v>
      </c>
      <c r="D1971" s="12">
        <v>295</v>
      </c>
      <c r="E1971" s="16">
        <v>295031</v>
      </c>
      <c r="F1971" s="10" t="s">
        <v>2728</v>
      </c>
      <c r="G1971" s="10">
        <v>220</v>
      </c>
      <c r="H1971" s="11">
        <v>46146</v>
      </c>
      <c r="I1971" s="10" t="s">
        <v>2808</v>
      </c>
      <c r="J1971" s="12" t="str">
        <f>IF(OR(TED[[#This Row],[SITUACAO]]=1,TED[[#This Row],[SITUACAO]]=9,TED[[#This Row],[SITUACAO]]=18),"ATIVO","AFASTADO")</f>
        <v>ATIVO</v>
      </c>
      <c r="K1971" s="12">
        <v>1</v>
      </c>
    </row>
    <row r="1972" spans="1:11" x14ac:dyDescent="0.25">
      <c r="A1972" s="10">
        <v>43723</v>
      </c>
      <c r="B1972" s="9" t="s">
        <v>2434</v>
      </c>
      <c r="C1972" s="12" t="str">
        <f>IFERROR(VLOOKUP(TED[[#This Row],[CENTRO]],'CENTRO DE CUSTO'!B:E,4,FALSE)," ")</f>
        <v xml:space="preserve"> </v>
      </c>
      <c r="D1972" s="12">
        <v>295</v>
      </c>
      <c r="E1972" s="16">
        <v>295010</v>
      </c>
      <c r="F1972" s="10" t="s">
        <v>2730</v>
      </c>
      <c r="G1972" s="10">
        <v>220</v>
      </c>
      <c r="H1972" s="11">
        <v>46057</v>
      </c>
      <c r="I1972" s="10" t="s">
        <v>2807</v>
      </c>
      <c r="J1972" s="12" t="str">
        <f>IF(OR(TED[[#This Row],[SITUACAO]]=1,TED[[#This Row],[SITUACAO]]=9,TED[[#This Row],[SITUACAO]]=18),"ATIVO","AFASTADO")</f>
        <v>ATIVO</v>
      </c>
      <c r="K1972" s="12">
        <v>1</v>
      </c>
    </row>
    <row r="1973" spans="1:11" x14ac:dyDescent="0.25">
      <c r="A1973" s="10">
        <v>42040</v>
      </c>
      <c r="B1973" s="9" t="s">
        <v>2435</v>
      </c>
      <c r="C1973" s="12" t="str">
        <f>IFERROR(VLOOKUP(TED[[#This Row],[CENTRO]],'CENTRO DE CUSTO'!B:E,4,FALSE)," ")</f>
        <v xml:space="preserve"> </v>
      </c>
      <c r="D1973" s="12">
        <v>295</v>
      </c>
      <c r="E1973" s="16">
        <v>295021</v>
      </c>
      <c r="F1973" s="10" t="s">
        <v>2737</v>
      </c>
      <c r="G1973" s="10">
        <v>220</v>
      </c>
      <c r="H1973" s="11">
        <v>45971</v>
      </c>
      <c r="I1973" s="10" t="s">
        <v>2807</v>
      </c>
      <c r="J1973" s="12" t="str">
        <f>IF(OR(TED[[#This Row],[SITUACAO]]=1,TED[[#This Row],[SITUACAO]]=9,TED[[#This Row],[SITUACAO]]=18),"ATIVO","AFASTADO")</f>
        <v>ATIVO</v>
      </c>
      <c r="K1973" s="12">
        <v>1</v>
      </c>
    </row>
    <row r="1974" spans="1:11" x14ac:dyDescent="0.25">
      <c r="A1974" s="10">
        <v>43455</v>
      </c>
      <c r="B1974" s="9" t="s">
        <v>2436</v>
      </c>
      <c r="C1974" s="12" t="str">
        <f>IFERROR(VLOOKUP(TED[[#This Row],[CENTRO]],'CENTRO DE CUSTO'!B:E,4,FALSE)," ")</f>
        <v xml:space="preserve"> </v>
      </c>
      <c r="D1974" s="12">
        <v>295</v>
      </c>
      <c r="E1974" s="16">
        <v>295011</v>
      </c>
      <c r="F1974" s="10" t="s">
        <v>2733</v>
      </c>
      <c r="G1974" s="10">
        <v>220</v>
      </c>
      <c r="H1974" s="11">
        <v>46048</v>
      </c>
      <c r="I1974" s="10" t="s">
        <v>2807</v>
      </c>
      <c r="J1974" s="12" t="str">
        <f>IF(OR(TED[[#This Row],[SITUACAO]]=1,TED[[#This Row],[SITUACAO]]=9,TED[[#This Row],[SITUACAO]]=18),"ATIVO","AFASTADO")</f>
        <v>ATIVO</v>
      </c>
      <c r="K1974" s="12">
        <v>1</v>
      </c>
    </row>
    <row r="1975" spans="1:11" x14ac:dyDescent="0.25">
      <c r="A1975" s="10">
        <v>43789</v>
      </c>
      <c r="B1975" s="9" t="s">
        <v>2437</v>
      </c>
      <c r="C1975" s="12" t="str">
        <f>IFERROR(VLOOKUP(TED[[#This Row],[CENTRO]],'CENTRO DE CUSTO'!B:E,4,FALSE)," ")</f>
        <v xml:space="preserve"> </v>
      </c>
      <c r="D1975" s="12">
        <v>295</v>
      </c>
      <c r="E1975" s="16">
        <v>295019</v>
      </c>
      <c r="F1975" s="10" t="s">
        <v>2732</v>
      </c>
      <c r="G1975" s="10">
        <v>220</v>
      </c>
      <c r="H1975" s="11">
        <v>46058</v>
      </c>
      <c r="I1975" s="10" t="s">
        <v>2807</v>
      </c>
      <c r="J1975" s="12" t="str">
        <f>IF(OR(TED[[#This Row],[SITUACAO]]=1,TED[[#This Row],[SITUACAO]]=9,TED[[#This Row],[SITUACAO]]=18),"ATIVO","AFASTADO")</f>
        <v>ATIVO</v>
      </c>
      <c r="K1975" s="12">
        <v>1</v>
      </c>
    </row>
    <row r="1976" spans="1:11" x14ac:dyDescent="0.25">
      <c r="A1976" s="10">
        <v>44725</v>
      </c>
      <c r="B1976" s="9" t="s">
        <v>2438</v>
      </c>
      <c r="C1976" s="12" t="str">
        <f>IFERROR(VLOOKUP(TED[[#This Row],[CENTRO]],'CENTRO DE CUSTO'!B:E,4,FALSE)," ")</f>
        <v xml:space="preserve"> </v>
      </c>
      <c r="D1976" s="12">
        <v>295</v>
      </c>
      <c r="E1976" s="16">
        <v>295002</v>
      </c>
      <c r="F1976" s="10" t="s">
        <v>2727</v>
      </c>
      <c r="G1976" s="10">
        <v>220</v>
      </c>
      <c r="H1976" s="11">
        <v>46105</v>
      </c>
      <c r="I1976" s="10" t="s">
        <v>2807</v>
      </c>
      <c r="J1976" s="12" t="str">
        <f>IF(OR(TED[[#This Row],[SITUACAO]]=1,TED[[#This Row],[SITUACAO]]=9,TED[[#This Row],[SITUACAO]]=18),"ATIVO","AFASTADO")</f>
        <v>ATIVO</v>
      </c>
      <c r="K1976" s="12">
        <v>1</v>
      </c>
    </row>
    <row r="1977" spans="1:11" x14ac:dyDescent="0.25">
      <c r="A1977" s="10">
        <v>45631</v>
      </c>
      <c r="B1977" s="9" t="s">
        <v>2439</v>
      </c>
      <c r="C1977" s="12" t="str">
        <f>IFERROR(VLOOKUP(TED[[#This Row],[CENTRO]],'CENTRO DE CUSTO'!B:E,4,FALSE)," ")</f>
        <v xml:space="preserve"> </v>
      </c>
      <c r="D1977" s="12">
        <v>295</v>
      </c>
      <c r="E1977" s="16">
        <v>295010</v>
      </c>
      <c r="F1977" s="10" t="s">
        <v>2730</v>
      </c>
      <c r="G1977" s="10">
        <v>220</v>
      </c>
      <c r="H1977" s="11">
        <v>46160</v>
      </c>
      <c r="I1977" s="10" t="s">
        <v>2807</v>
      </c>
      <c r="J1977" s="12" t="str">
        <f>IF(OR(TED[[#This Row],[SITUACAO]]=1,TED[[#This Row],[SITUACAO]]=9,TED[[#This Row],[SITUACAO]]=18),"ATIVO","AFASTADO")</f>
        <v>ATIVO</v>
      </c>
      <c r="K1977" s="12">
        <v>1</v>
      </c>
    </row>
    <row r="1978" spans="1:11" x14ac:dyDescent="0.25">
      <c r="A1978" s="10">
        <v>43456</v>
      </c>
      <c r="B1978" s="9" t="s">
        <v>2440</v>
      </c>
      <c r="C1978" s="12" t="str">
        <f>IFERROR(VLOOKUP(TED[[#This Row],[CENTRO]],'CENTRO DE CUSTO'!B:E,4,FALSE)," ")</f>
        <v xml:space="preserve"> </v>
      </c>
      <c r="D1978" s="12">
        <v>295</v>
      </c>
      <c r="E1978" s="16">
        <v>295006</v>
      </c>
      <c r="F1978" s="10" t="s">
        <v>2736</v>
      </c>
      <c r="G1978" s="10">
        <v>220</v>
      </c>
      <c r="H1978" s="11">
        <v>46048</v>
      </c>
      <c r="I1978" s="10" t="s">
        <v>2807</v>
      </c>
      <c r="J1978" s="12" t="str">
        <f>IF(OR(TED[[#This Row],[SITUACAO]]=1,TED[[#This Row],[SITUACAO]]=9,TED[[#This Row],[SITUACAO]]=18),"ATIVO","AFASTADO")</f>
        <v>ATIVO</v>
      </c>
      <c r="K1978" s="12">
        <v>1</v>
      </c>
    </row>
    <row r="1979" spans="1:11" x14ac:dyDescent="0.25">
      <c r="A1979" s="10">
        <v>45629</v>
      </c>
      <c r="B1979" s="9" t="s">
        <v>2441</v>
      </c>
      <c r="C1979" s="12" t="str">
        <f>IFERROR(VLOOKUP(TED[[#This Row],[CENTRO]],'CENTRO DE CUSTO'!B:E,4,FALSE)," ")</f>
        <v xml:space="preserve"> </v>
      </c>
      <c r="D1979" s="12">
        <v>295</v>
      </c>
      <c r="E1979" s="16">
        <v>295011</v>
      </c>
      <c r="F1979" s="10" t="s">
        <v>2733</v>
      </c>
      <c r="G1979" s="10">
        <v>220</v>
      </c>
      <c r="H1979" s="11">
        <v>46156</v>
      </c>
      <c r="I1979" s="10" t="s">
        <v>2807</v>
      </c>
      <c r="J1979" s="12" t="str">
        <f>IF(OR(TED[[#This Row],[SITUACAO]]=1,TED[[#This Row],[SITUACAO]]=9,TED[[#This Row],[SITUACAO]]=18),"ATIVO","AFASTADO")</f>
        <v>ATIVO</v>
      </c>
      <c r="K1979" s="12">
        <v>1</v>
      </c>
    </row>
    <row r="1980" spans="1:11" x14ac:dyDescent="0.25">
      <c r="A1980" s="10">
        <v>42039</v>
      </c>
      <c r="B1980" s="9" t="s">
        <v>2442</v>
      </c>
      <c r="C1980" s="12" t="str">
        <f>IFERROR(VLOOKUP(TED[[#This Row],[CENTRO]],'CENTRO DE CUSTO'!B:E,4,FALSE)," ")</f>
        <v xml:space="preserve"> </v>
      </c>
      <c r="D1980" s="12">
        <v>295</v>
      </c>
      <c r="E1980" s="16">
        <v>295021</v>
      </c>
      <c r="F1980" s="10" t="s">
        <v>2737</v>
      </c>
      <c r="G1980" s="10">
        <v>220</v>
      </c>
      <c r="H1980" s="11">
        <v>45971</v>
      </c>
      <c r="I1980" s="10" t="s">
        <v>2807</v>
      </c>
      <c r="J1980" s="12" t="str">
        <f>IF(OR(TED[[#This Row],[SITUACAO]]=1,TED[[#This Row],[SITUACAO]]=9,TED[[#This Row],[SITUACAO]]=18),"ATIVO","AFASTADO")</f>
        <v>ATIVO</v>
      </c>
      <c r="K1980" s="12">
        <v>1</v>
      </c>
    </row>
    <row r="1981" spans="1:11" x14ac:dyDescent="0.25">
      <c r="A1981" s="10">
        <v>43468</v>
      </c>
      <c r="B1981" s="9" t="s">
        <v>2443</v>
      </c>
      <c r="C1981" s="12" t="str">
        <f>IFERROR(VLOOKUP(TED[[#This Row],[CENTRO]],'CENTRO DE CUSTO'!B:E,4,FALSE)," ")</f>
        <v xml:space="preserve"> </v>
      </c>
      <c r="D1981" s="12">
        <v>295</v>
      </c>
      <c r="E1981" s="16">
        <v>295000</v>
      </c>
      <c r="F1981" s="10" t="s">
        <v>2735</v>
      </c>
      <c r="G1981" s="10">
        <v>220</v>
      </c>
      <c r="H1981" s="11">
        <v>46048</v>
      </c>
      <c r="I1981" s="10" t="s">
        <v>2807</v>
      </c>
      <c r="J1981" s="12" t="str">
        <f>IF(OR(TED[[#This Row],[SITUACAO]]=1,TED[[#This Row],[SITUACAO]]=9,TED[[#This Row],[SITUACAO]]=18),"ATIVO","AFASTADO")</f>
        <v>ATIVO</v>
      </c>
      <c r="K1981" s="12">
        <v>1</v>
      </c>
    </row>
    <row r="1982" spans="1:11" x14ac:dyDescent="0.25">
      <c r="A1982" s="10">
        <v>45166</v>
      </c>
      <c r="B1982" s="9" t="s">
        <v>2444</v>
      </c>
      <c r="C1982" s="12" t="str">
        <f>IFERROR(VLOOKUP(TED[[#This Row],[CENTRO]],'CENTRO DE CUSTO'!B:E,4,FALSE)," ")</f>
        <v xml:space="preserve"> </v>
      </c>
      <c r="D1982" s="12">
        <v>295</v>
      </c>
      <c r="E1982" s="16">
        <v>295004</v>
      </c>
      <c r="F1982" s="10" t="s">
        <v>2721</v>
      </c>
      <c r="G1982" s="10">
        <v>220</v>
      </c>
      <c r="H1982" s="11">
        <v>46134</v>
      </c>
      <c r="I1982" s="10" t="s">
        <v>2807</v>
      </c>
      <c r="J1982" s="12" t="str">
        <f>IF(OR(TED[[#This Row],[SITUACAO]]=1,TED[[#This Row],[SITUACAO]]=9,TED[[#This Row],[SITUACAO]]=18),"ATIVO","AFASTADO")</f>
        <v>ATIVO</v>
      </c>
      <c r="K1982" s="12">
        <v>1</v>
      </c>
    </row>
    <row r="1983" spans="1:11" x14ac:dyDescent="0.25">
      <c r="A1983" s="10">
        <v>42986</v>
      </c>
      <c r="B1983" s="9" t="s">
        <v>2445</v>
      </c>
      <c r="C1983" s="12" t="str">
        <f>IFERROR(VLOOKUP(TED[[#This Row],[CENTRO]],'CENTRO DE CUSTO'!B:E,4,FALSE)," ")</f>
        <v xml:space="preserve"> </v>
      </c>
      <c r="D1983" s="12">
        <v>295</v>
      </c>
      <c r="E1983" s="16">
        <v>295023</v>
      </c>
      <c r="F1983" s="10" t="s">
        <v>2734</v>
      </c>
      <c r="G1983" s="10">
        <v>220</v>
      </c>
      <c r="H1983" s="11">
        <v>45995</v>
      </c>
      <c r="I1983" s="10" t="s">
        <v>2807</v>
      </c>
      <c r="J1983" s="12" t="str">
        <f>IF(OR(TED[[#This Row],[SITUACAO]]=1,TED[[#This Row],[SITUACAO]]=9,TED[[#This Row],[SITUACAO]]=18),"ATIVO","AFASTADO")</f>
        <v>ATIVO</v>
      </c>
      <c r="K1983" s="12">
        <v>1</v>
      </c>
    </row>
    <row r="1984" spans="1:11" x14ac:dyDescent="0.25">
      <c r="A1984" s="10">
        <v>43489</v>
      </c>
      <c r="B1984" s="9" t="s">
        <v>2446</v>
      </c>
      <c r="C1984" s="12" t="str">
        <f>IFERROR(VLOOKUP(TED[[#This Row],[CENTRO]],'CENTRO DE CUSTO'!B:E,4,FALSE)," ")</f>
        <v xml:space="preserve"> </v>
      </c>
      <c r="D1984" s="12">
        <v>295</v>
      </c>
      <c r="E1984" s="16">
        <v>295003</v>
      </c>
      <c r="F1984" s="10" t="s">
        <v>2725</v>
      </c>
      <c r="G1984" s="10">
        <v>220</v>
      </c>
      <c r="H1984" s="11">
        <v>46049</v>
      </c>
      <c r="I1984" s="10" t="s">
        <v>2807</v>
      </c>
      <c r="J1984" s="12" t="str">
        <f>IF(OR(TED[[#This Row],[SITUACAO]]=1,TED[[#This Row],[SITUACAO]]=9,TED[[#This Row],[SITUACAO]]=18),"ATIVO","AFASTADO")</f>
        <v>ATIVO</v>
      </c>
      <c r="K1984" s="12">
        <v>1</v>
      </c>
    </row>
    <row r="1985" spans="1:11" x14ac:dyDescent="0.25">
      <c r="A1985" s="10">
        <v>45002</v>
      </c>
      <c r="B1985" s="9" t="s">
        <v>2447</v>
      </c>
      <c r="C1985" s="12" t="str">
        <f>IFERROR(VLOOKUP(TED[[#This Row],[CENTRO]],'CENTRO DE CUSTO'!B:E,4,FALSE)," ")</f>
        <v xml:space="preserve"> </v>
      </c>
      <c r="D1985" s="12">
        <v>295</v>
      </c>
      <c r="E1985" s="16">
        <v>295019</v>
      </c>
      <c r="F1985" s="10" t="s">
        <v>2732</v>
      </c>
      <c r="G1985" s="10">
        <v>220</v>
      </c>
      <c r="H1985" s="11">
        <v>46120</v>
      </c>
      <c r="I1985" s="10" t="s">
        <v>2807</v>
      </c>
      <c r="J1985" s="12" t="str">
        <f>IF(OR(TED[[#This Row],[SITUACAO]]=1,TED[[#This Row],[SITUACAO]]=9,TED[[#This Row],[SITUACAO]]=18),"ATIVO","AFASTADO")</f>
        <v>ATIVO</v>
      </c>
      <c r="K1985" s="12">
        <v>1</v>
      </c>
    </row>
    <row r="1986" spans="1:11" x14ac:dyDescent="0.25">
      <c r="A1986" s="10">
        <v>43563</v>
      </c>
      <c r="B1986" s="9" t="s">
        <v>2448</v>
      </c>
      <c r="C1986" s="12" t="str">
        <f>IFERROR(VLOOKUP(TED[[#This Row],[CENTRO]],'CENTRO DE CUSTO'!B:E,4,FALSE)," ")</f>
        <v xml:space="preserve"> </v>
      </c>
      <c r="D1986" s="12">
        <v>295</v>
      </c>
      <c r="E1986" s="16">
        <v>295007</v>
      </c>
      <c r="F1986" s="10" t="s">
        <v>2722</v>
      </c>
      <c r="G1986" s="10">
        <v>220</v>
      </c>
      <c r="H1986" s="11">
        <v>46052</v>
      </c>
      <c r="I1986" s="10" t="s">
        <v>2807</v>
      </c>
      <c r="J1986" s="12" t="str">
        <f>IF(OR(TED[[#This Row],[SITUACAO]]=1,TED[[#This Row],[SITUACAO]]=9,TED[[#This Row],[SITUACAO]]=18),"ATIVO","AFASTADO")</f>
        <v>ATIVO</v>
      </c>
      <c r="K1986" s="12">
        <v>1</v>
      </c>
    </row>
    <row r="1987" spans="1:11" x14ac:dyDescent="0.25">
      <c r="A1987" s="10">
        <v>43452</v>
      </c>
      <c r="B1987" s="9" t="s">
        <v>2449</v>
      </c>
      <c r="C1987" s="12" t="str">
        <f>IFERROR(VLOOKUP(TED[[#This Row],[CENTRO]],'CENTRO DE CUSTO'!B:E,4,FALSE)," ")</f>
        <v xml:space="preserve"> </v>
      </c>
      <c r="D1987" s="12">
        <v>295</v>
      </c>
      <c r="E1987" s="16">
        <v>295004</v>
      </c>
      <c r="F1987" s="10" t="s">
        <v>2721</v>
      </c>
      <c r="G1987" s="10">
        <v>220</v>
      </c>
      <c r="H1987" s="11">
        <v>46048</v>
      </c>
      <c r="I1987" s="10" t="s">
        <v>2807</v>
      </c>
      <c r="J1987" s="12" t="str">
        <f>IF(OR(TED[[#This Row],[SITUACAO]]=1,TED[[#This Row],[SITUACAO]]=9,TED[[#This Row],[SITUACAO]]=18),"ATIVO","AFASTADO")</f>
        <v>ATIVO</v>
      </c>
      <c r="K1987" s="12">
        <v>1</v>
      </c>
    </row>
    <row r="1988" spans="1:11" x14ac:dyDescent="0.25">
      <c r="A1988" s="10">
        <v>45689</v>
      </c>
      <c r="B1988" s="9" t="s">
        <v>2450</v>
      </c>
      <c r="C1988" s="12" t="str">
        <f>IFERROR(VLOOKUP(TED[[#This Row],[CENTRO]],'CENTRO DE CUSTO'!B:E,4,FALSE)," ")</f>
        <v xml:space="preserve"> </v>
      </c>
      <c r="D1988" s="12">
        <v>295</v>
      </c>
      <c r="E1988" s="16">
        <v>295026</v>
      </c>
      <c r="F1988" s="10" t="s">
        <v>2738</v>
      </c>
      <c r="G1988" s="10">
        <v>220</v>
      </c>
      <c r="H1988" s="11">
        <v>46161</v>
      </c>
      <c r="I1988" s="10" t="s">
        <v>2807</v>
      </c>
      <c r="J1988" s="12" t="str">
        <f>IF(OR(TED[[#This Row],[SITUACAO]]=1,TED[[#This Row],[SITUACAO]]=9,TED[[#This Row],[SITUACAO]]=18),"ATIVO","AFASTADO")</f>
        <v>ATIVO</v>
      </c>
      <c r="K1988" s="12">
        <v>1</v>
      </c>
    </row>
    <row r="1989" spans="1:11" x14ac:dyDescent="0.25">
      <c r="A1989" s="10">
        <v>44581</v>
      </c>
      <c r="B1989" s="9" t="s">
        <v>2451</v>
      </c>
      <c r="C1989" s="12" t="str">
        <f>IFERROR(VLOOKUP(TED[[#This Row],[CENTRO]],'CENTRO DE CUSTO'!B:E,4,FALSE)," ")</f>
        <v xml:space="preserve"> </v>
      </c>
      <c r="D1989" s="12">
        <v>295</v>
      </c>
      <c r="E1989" s="16">
        <v>295009</v>
      </c>
      <c r="F1989" s="10" t="s">
        <v>2729</v>
      </c>
      <c r="G1989" s="10">
        <v>220</v>
      </c>
      <c r="H1989" s="11">
        <v>46098</v>
      </c>
      <c r="I1989" s="10" t="s">
        <v>2807</v>
      </c>
      <c r="J1989" s="12" t="str">
        <f>IF(OR(TED[[#This Row],[SITUACAO]]=1,TED[[#This Row],[SITUACAO]]=9,TED[[#This Row],[SITUACAO]]=18),"ATIVO","AFASTADO")</f>
        <v>ATIVO</v>
      </c>
      <c r="K1989" s="12">
        <v>1</v>
      </c>
    </row>
    <row r="1990" spans="1:11" x14ac:dyDescent="0.25">
      <c r="A1990" s="10">
        <v>43517</v>
      </c>
      <c r="B1990" s="9" t="s">
        <v>2452</v>
      </c>
      <c r="C1990" s="12" t="str">
        <f>IFERROR(VLOOKUP(TED[[#This Row],[CENTRO]],'CENTRO DE CUSTO'!B:E,4,FALSE)," ")</f>
        <v xml:space="preserve"> </v>
      </c>
      <c r="D1990" s="12">
        <v>295</v>
      </c>
      <c r="E1990" s="16">
        <v>295005</v>
      </c>
      <c r="F1990" s="10" t="s">
        <v>2723</v>
      </c>
      <c r="G1990" s="10">
        <v>220</v>
      </c>
      <c r="H1990" s="11">
        <v>46050</v>
      </c>
      <c r="I1990" s="10" t="s">
        <v>2807</v>
      </c>
      <c r="J1990" s="12" t="str">
        <f>IF(OR(TED[[#This Row],[SITUACAO]]=1,TED[[#This Row],[SITUACAO]]=9,TED[[#This Row],[SITUACAO]]=18),"ATIVO","AFASTADO")</f>
        <v>ATIVO</v>
      </c>
      <c r="K1990" s="12">
        <v>1</v>
      </c>
    </row>
    <row r="1991" spans="1:11" x14ac:dyDescent="0.25">
      <c r="A1991" s="10">
        <v>45959</v>
      </c>
      <c r="B1991" s="9" t="s">
        <v>2453</v>
      </c>
      <c r="C1991" s="12" t="str">
        <f>IFERROR(VLOOKUP(TED[[#This Row],[CENTRO]],'CENTRO DE CUSTO'!B:E,4,FALSE)," ")</f>
        <v xml:space="preserve"> </v>
      </c>
      <c r="D1991" s="12">
        <v>295</v>
      </c>
      <c r="E1991" s="16">
        <v>295006</v>
      </c>
      <c r="F1991" s="10" t="s">
        <v>2736</v>
      </c>
      <c r="G1991" s="10">
        <v>220</v>
      </c>
      <c r="H1991" s="11">
        <v>46174</v>
      </c>
      <c r="I1991" s="10" t="s">
        <v>2807</v>
      </c>
      <c r="J1991" s="12" t="str">
        <f>IF(OR(TED[[#This Row],[SITUACAO]]=1,TED[[#This Row],[SITUACAO]]=9,TED[[#This Row],[SITUACAO]]=18),"ATIVO","AFASTADO")</f>
        <v>ATIVO</v>
      </c>
      <c r="K1991" s="12">
        <v>1</v>
      </c>
    </row>
    <row r="1992" spans="1:11" x14ac:dyDescent="0.25">
      <c r="A1992" s="10">
        <v>43632</v>
      </c>
      <c r="B1992" s="9" t="s">
        <v>2454</v>
      </c>
      <c r="C1992" s="12" t="str">
        <f>IFERROR(VLOOKUP(TED[[#This Row],[CENTRO]],'CENTRO DE CUSTO'!B:E,4,FALSE)," ")</f>
        <v xml:space="preserve"> </v>
      </c>
      <c r="D1992" s="12">
        <v>295</v>
      </c>
      <c r="E1992" s="16">
        <v>295031</v>
      </c>
      <c r="F1992" s="10" t="s">
        <v>2728</v>
      </c>
      <c r="G1992" s="10">
        <v>220</v>
      </c>
      <c r="H1992" s="11">
        <v>46055</v>
      </c>
      <c r="I1992" s="10" t="s">
        <v>2808</v>
      </c>
      <c r="J1992" s="12" t="str">
        <f>IF(OR(TED[[#This Row],[SITUACAO]]=1,TED[[#This Row],[SITUACAO]]=9,TED[[#This Row],[SITUACAO]]=18),"ATIVO","AFASTADO")</f>
        <v>ATIVO</v>
      </c>
      <c r="K1992" s="12">
        <v>1</v>
      </c>
    </row>
    <row r="1993" spans="1:11" x14ac:dyDescent="0.25">
      <c r="A1993" s="10">
        <v>44468</v>
      </c>
      <c r="B1993" s="9" t="s">
        <v>2455</v>
      </c>
      <c r="C1993" s="12" t="str">
        <f>IFERROR(VLOOKUP(TED[[#This Row],[CENTRO]],'CENTRO DE CUSTO'!B:E,4,FALSE)," ")</f>
        <v xml:space="preserve"> </v>
      </c>
      <c r="D1993" s="12">
        <v>295</v>
      </c>
      <c r="E1993" s="16">
        <v>295020</v>
      </c>
      <c r="F1993" s="10" t="s">
        <v>2724</v>
      </c>
      <c r="G1993" s="10">
        <v>220</v>
      </c>
      <c r="H1993" s="11">
        <v>46092</v>
      </c>
      <c r="I1993" s="10" t="s">
        <v>2807</v>
      </c>
      <c r="J1993" s="12" t="str">
        <f>IF(OR(TED[[#This Row],[SITUACAO]]=1,TED[[#This Row],[SITUACAO]]=9,TED[[#This Row],[SITUACAO]]=18),"ATIVO","AFASTADO")</f>
        <v>ATIVO</v>
      </c>
      <c r="K1993" s="12">
        <v>1</v>
      </c>
    </row>
    <row r="1994" spans="1:11" x14ac:dyDescent="0.25">
      <c r="A1994" s="10">
        <v>45184</v>
      </c>
      <c r="B1994" s="9" t="s">
        <v>2456</v>
      </c>
      <c r="C1994" s="12" t="str">
        <f>IFERROR(VLOOKUP(TED[[#This Row],[CENTRO]],'CENTRO DE CUSTO'!B:E,4,FALSE)," ")</f>
        <v xml:space="preserve"> </v>
      </c>
      <c r="D1994" s="12">
        <v>295</v>
      </c>
      <c r="E1994" s="16">
        <v>295023</v>
      </c>
      <c r="F1994" s="10" t="s">
        <v>2734</v>
      </c>
      <c r="G1994" s="10">
        <v>220</v>
      </c>
      <c r="H1994" s="11">
        <v>46135</v>
      </c>
      <c r="I1994" s="10" t="s">
        <v>2807</v>
      </c>
      <c r="J1994" s="12" t="str">
        <f>IF(OR(TED[[#This Row],[SITUACAO]]=1,TED[[#This Row],[SITUACAO]]=9,TED[[#This Row],[SITUACAO]]=18),"ATIVO","AFASTADO")</f>
        <v>ATIVO</v>
      </c>
      <c r="K1994" s="12">
        <v>1</v>
      </c>
    </row>
    <row r="1995" spans="1:11" x14ac:dyDescent="0.25">
      <c r="A1995" s="10">
        <v>45332</v>
      </c>
      <c r="B1995" s="9" t="s">
        <v>2457</v>
      </c>
      <c r="C1995" s="12" t="str">
        <f>IFERROR(VLOOKUP(TED[[#This Row],[CENTRO]],'CENTRO DE CUSTO'!B:E,4,FALSE)," ")</f>
        <v xml:space="preserve"> </v>
      </c>
      <c r="D1995" s="12">
        <v>295</v>
      </c>
      <c r="E1995" s="16">
        <v>295005</v>
      </c>
      <c r="F1995" s="10" t="s">
        <v>2723</v>
      </c>
      <c r="G1995" s="10">
        <v>220</v>
      </c>
      <c r="H1995" s="11">
        <v>46146</v>
      </c>
      <c r="I1995" s="10" t="s">
        <v>2807</v>
      </c>
      <c r="J1995" s="12" t="str">
        <f>IF(OR(TED[[#This Row],[SITUACAO]]=1,TED[[#This Row],[SITUACAO]]=9,TED[[#This Row],[SITUACAO]]=18),"ATIVO","AFASTADO")</f>
        <v>ATIVO</v>
      </c>
      <c r="K1995" s="12">
        <v>1</v>
      </c>
    </row>
    <row r="1996" spans="1:11" x14ac:dyDescent="0.25">
      <c r="A1996" s="10">
        <v>43457</v>
      </c>
      <c r="B1996" s="9" t="s">
        <v>2458</v>
      </c>
      <c r="C1996" s="12" t="str">
        <f>IFERROR(VLOOKUP(TED[[#This Row],[CENTRO]],'CENTRO DE CUSTO'!B:E,4,FALSE)," ")</f>
        <v xml:space="preserve"> </v>
      </c>
      <c r="D1996" s="12">
        <v>295</v>
      </c>
      <c r="E1996" s="16">
        <v>295010</v>
      </c>
      <c r="F1996" s="10" t="s">
        <v>2730</v>
      </c>
      <c r="G1996" s="10">
        <v>220</v>
      </c>
      <c r="H1996" s="11">
        <v>46048</v>
      </c>
      <c r="I1996" s="10" t="s">
        <v>2807</v>
      </c>
      <c r="J1996" s="12" t="str">
        <f>IF(OR(TED[[#This Row],[SITUACAO]]=1,TED[[#This Row],[SITUACAO]]=9,TED[[#This Row],[SITUACAO]]=18),"ATIVO","AFASTADO")</f>
        <v>ATIVO</v>
      </c>
      <c r="K1996" s="12">
        <v>1</v>
      </c>
    </row>
    <row r="1997" spans="1:11" x14ac:dyDescent="0.25">
      <c r="A1997" s="10">
        <v>46976</v>
      </c>
      <c r="B1997" s="9" t="s">
        <v>2459</v>
      </c>
      <c r="C1997" s="12" t="str">
        <f>IFERROR(VLOOKUP(TED[[#This Row],[CENTRO]],'CENTRO DE CUSTO'!B:E,4,FALSE)," ")</f>
        <v xml:space="preserve"> </v>
      </c>
      <c r="D1997" s="12">
        <v>295</v>
      </c>
      <c r="E1997" s="16">
        <v>295007</v>
      </c>
      <c r="F1997" s="10" t="s">
        <v>2722</v>
      </c>
      <c r="G1997" s="10">
        <v>220</v>
      </c>
      <c r="H1997" s="11">
        <v>46196</v>
      </c>
      <c r="I1997" s="10" t="s">
        <v>2807</v>
      </c>
      <c r="J1997" s="12" t="str">
        <f>IF(OR(TED[[#This Row],[SITUACAO]]=1,TED[[#This Row],[SITUACAO]]=9,TED[[#This Row],[SITUACAO]]=18),"ATIVO","AFASTADO")</f>
        <v>ATIVO</v>
      </c>
      <c r="K1997" s="12">
        <v>1</v>
      </c>
    </row>
    <row r="1998" spans="1:11" x14ac:dyDescent="0.25">
      <c r="A1998" s="10">
        <v>43558</v>
      </c>
      <c r="B1998" s="9" t="s">
        <v>2460</v>
      </c>
      <c r="C1998" s="12" t="str">
        <f>IFERROR(VLOOKUP(TED[[#This Row],[CENTRO]],'CENTRO DE CUSTO'!B:E,4,FALSE)," ")</f>
        <v xml:space="preserve"> </v>
      </c>
      <c r="D1998" s="12">
        <v>295</v>
      </c>
      <c r="E1998" s="16">
        <v>295010</v>
      </c>
      <c r="F1998" s="10" t="s">
        <v>2730</v>
      </c>
      <c r="G1998" s="10">
        <v>220</v>
      </c>
      <c r="H1998" s="11">
        <v>46050</v>
      </c>
      <c r="I1998" s="10" t="s">
        <v>2807</v>
      </c>
      <c r="J1998" s="12" t="str">
        <f>IF(OR(TED[[#This Row],[SITUACAO]]=1,TED[[#This Row],[SITUACAO]]=9,TED[[#This Row],[SITUACAO]]=18),"ATIVO","AFASTADO")</f>
        <v>ATIVO</v>
      </c>
      <c r="K1998" s="12">
        <v>1</v>
      </c>
    </row>
    <row r="1999" spans="1:11" x14ac:dyDescent="0.25">
      <c r="A1999" s="10">
        <v>46267</v>
      </c>
      <c r="B1999" s="9" t="s">
        <v>2461</v>
      </c>
      <c r="C1999" s="12" t="str">
        <f>IFERROR(VLOOKUP(TED[[#This Row],[CENTRO]],'CENTRO DE CUSTO'!B:E,4,FALSE)," ")</f>
        <v xml:space="preserve"> </v>
      </c>
      <c r="D1999" s="12">
        <v>295</v>
      </c>
      <c r="E1999" s="16">
        <v>295002</v>
      </c>
      <c r="F1999" s="10" t="s">
        <v>2727</v>
      </c>
      <c r="G1999" s="10">
        <v>220</v>
      </c>
      <c r="H1999" s="11">
        <v>46190</v>
      </c>
      <c r="I1999" s="10" t="s">
        <v>2807</v>
      </c>
      <c r="J1999" s="12" t="str">
        <f>IF(OR(TED[[#This Row],[SITUACAO]]=1,TED[[#This Row],[SITUACAO]]=9,TED[[#This Row],[SITUACAO]]=18),"ATIVO","AFASTADO")</f>
        <v>ATIVO</v>
      </c>
      <c r="K1999" s="12">
        <v>1</v>
      </c>
    </row>
    <row r="2000" spans="1:11" x14ac:dyDescent="0.25">
      <c r="A2000" s="10">
        <v>44278</v>
      </c>
      <c r="B2000" s="9" t="s">
        <v>2462</v>
      </c>
      <c r="C2000" s="12" t="str">
        <f>IFERROR(VLOOKUP(TED[[#This Row],[CENTRO]],'CENTRO DE CUSTO'!B:E,4,FALSE)," ")</f>
        <v xml:space="preserve"> </v>
      </c>
      <c r="D2000" s="12">
        <v>295</v>
      </c>
      <c r="E2000" s="16">
        <v>295004</v>
      </c>
      <c r="F2000" s="10" t="s">
        <v>2721</v>
      </c>
      <c r="G2000" s="10">
        <v>220</v>
      </c>
      <c r="H2000" s="11">
        <v>46080</v>
      </c>
      <c r="I2000" s="10" t="s">
        <v>2807</v>
      </c>
      <c r="J2000" s="12" t="str">
        <f>IF(OR(TED[[#This Row],[SITUACAO]]=1,TED[[#This Row],[SITUACAO]]=9,TED[[#This Row],[SITUACAO]]=18),"ATIVO","AFASTADO")</f>
        <v>ATIVO</v>
      </c>
      <c r="K2000" s="12">
        <v>1</v>
      </c>
    </row>
    <row r="2001" spans="1:11" x14ac:dyDescent="0.25">
      <c r="A2001" s="10">
        <v>43349</v>
      </c>
      <c r="B2001" s="9" t="s">
        <v>2463</v>
      </c>
      <c r="C2001" s="12" t="str">
        <f>IFERROR(VLOOKUP(TED[[#This Row],[CENTRO]],'CENTRO DE CUSTO'!B:E,4,FALSE)," ")</f>
        <v xml:space="preserve"> </v>
      </c>
      <c r="D2001" s="12">
        <v>295</v>
      </c>
      <c r="E2001" s="16">
        <v>295009</v>
      </c>
      <c r="F2001" s="10" t="s">
        <v>2729</v>
      </c>
      <c r="G2001" s="10">
        <v>220</v>
      </c>
      <c r="H2001" s="11">
        <v>46048</v>
      </c>
      <c r="I2001" s="10" t="s">
        <v>2807</v>
      </c>
      <c r="J2001" s="12" t="str">
        <f>IF(OR(TED[[#This Row],[SITUACAO]]=1,TED[[#This Row],[SITUACAO]]=9,TED[[#This Row],[SITUACAO]]=18),"ATIVO","AFASTADO")</f>
        <v>ATIVO</v>
      </c>
      <c r="K2001" s="12">
        <v>1</v>
      </c>
    </row>
    <row r="2002" spans="1:11" x14ac:dyDescent="0.25">
      <c r="A2002" s="10">
        <v>45450</v>
      </c>
      <c r="B2002" s="9" t="s">
        <v>2464</v>
      </c>
      <c r="C2002" s="12" t="str">
        <f>IFERROR(VLOOKUP(TED[[#This Row],[CENTRO]],'CENTRO DE CUSTO'!B:E,4,FALSE)," ")</f>
        <v xml:space="preserve"> </v>
      </c>
      <c r="D2002" s="12">
        <v>295</v>
      </c>
      <c r="E2002" s="16">
        <v>295017</v>
      </c>
      <c r="F2002" s="10" t="s">
        <v>2720</v>
      </c>
      <c r="G2002" s="10">
        <v>220</v>
      </c>
      <c r="H2002" s="11">
        <v>46147</v>
      </c>
      <c r="I2002" s="10" t="s">
        <v>2807</v>
      </c>
      <c r="J2002" s="12" t="str">
        <f>IF(OR(TED[[#This Row],[SITUACAO]]=1,TED[[#This Row],[SITUACAO]]=9,TED[[#This Row],[SITUACAO]]=18),"ATIVO","AFASTADO")</f>
        <v>ATIVO</v>
      </c>
      <c r="K2002" s="12">
        <v>1</v>
      </c>
    </row>
    <row r="2003" spans="1:11" x14ac:dyDescent="0.25">
      <c r="A2003" s="10">
        <v>46242</v>
      </c>
      <c r="B2003" s="9" t="s">
        <v>2465</v>
      </c>
      <c r="C2003" s="12" t="str">
        <f>IFERROR(VLOOKUP(TED[[#This Row],[CENTRO]],'CENTRO DE CUSTO'!B:E,4,FALSE)," ")</f>
        <v xml:space="preserve"> </v>
      </c>
      <c r="D2003" s="12">
        <v>295</v>
      </c>
      <c r="E2003" s="16">
        <v>295006</v>
      </c>
      <c r="F2003" s="10" t="s">
        <v>2736</v>
      </c>
      <c r="G2003" s="10">
        <v>220</v>
      </c>
      <c r="H2003" s="11">
        <v>46191</v>
      </c>
      <c r="I2003" s="10" t="s">
        <v>2807</v>
      </c>
      <c r="J2003" s="12" t="str">
        <f>IF(OR(TED[[#This Row],[SITUACAO]]=1,TED[[#This Row],[SITUACAO]]=9,TED[[#This Row],[SITUACAO]]=18),"ATIVO","AFASTADO")</f>
        <v>ATIVO</v>
      </c>
      <c r="K2003" s="12">
        <v>1</v>
      </c>
    </row>
    <row r="2004" spans="1:11" x14ac:dyDescent="0.25">
      <c r="A2004" s="10">
        <v>43487</v>
      </c>
      <c r="B2004" s="9" t="s">
        <v>2466</v>
      </c>
      <c r="C2004" s="12" t="str">
        <f>IFERROR(VLOOKUP(TED[[#This Row],[CENTRO]],'CENTRO DE CUSTO'!B:E,4,FALSE)," ")</f>
        <v xml:space="preserve"> </v>
      </c>
      <c r="D2004" s="12">
        <v>295</v>
      </c>
      <c r="E2004" s="16">
        <v>295005</v>
      </c>
      <c r="F2004" s="10" t="s">
        <v>2723</v>
      </c>
      <c r="G2004" s="10">
        <v>220</v>
      </c>
      <c r="H2004" s="11">
        <v>46049</v>
      </c>
      <c r="I2004" s="10" t="s">
        <v>2807</v>
      </c>
      <c r="J2004" s="12" t="str">
        <f>IF(OR(TED[[#This Row],[SITUACAO]]=1,TED[[#This Row],[SITUACAO]]=9,TED[[#This Row],[SITUACAO]]=18),"ATIVO","AFASTADO")</f>
        <v>ATIVO</v>
      </c>
      <c r="K2004" s="12">
        <v>1</v>
      </c>
    </row>
    <row r="2005" spans="1:11" x14ac:dyDescent="0.25">
      <c r="A2005" s="10">
        <v>43561</v>
      </c>
      <c r="B2005" s="9" t="s">
        <v>2467</v>
      </c>
      <c r="C2005" s="12" t="str">
        <f>IFERROR(VLOOKUP(TED[[#This Row],[CENTRO]],'CENTRO DE CUSTO'!B:E,4,FALSE)," ")</f>
        <v xml:space="preserve"> </v>
      </c>
      <c r="D2005" s="12">
        <v>295</v>
      </c>
      <c r="E2005" s="16">
        <v>295000</v>
      </c>
      <c r="F2005" s="10" t="s">
        <v>2735</v>
      </c>
      <c r="G2005" s="10">
        <v>220</v>
      </c>
      <c r="H2005" s="11">
        <v>46052</v>
      </c>
      <c r="I2005" s="10" t="s">
        <v>2807</v>
      </c>
      <c r="J2005" s="12" t="str">
        <f>IF(OR(TED[[#This Row],[SITUACAO]]=1,TED[[#This Row],[SITUACAO]]=9,TED[[#This Row],[SITUACAO]]=18),"ATIVO","AFASTADO")</f>
        <v>ATIVO</v>
      </c>
      <c r="K2005" s="12">
        <v>1</v>
      </c>
    </row>
    <row r="2006" spans="1:11" x14ac:dyDescent="0.25">
      <c r="A2006" s="10">
        <v>45517</v>
      </c>
      <c r="B2006" s="9" t="s">
        <v>2468</v>
      </c>
      <c r="C2006" s="12" t="str">
        <f>IFERROR(VLOOKUP(TED[[#This Row],[CENTRO]],'CENTRO DE CUSTO'!B:E,4,FALSE)," ")</f>
        <v xml:space="preserve"> </v>
      </c>
      <c r="D2006" s="12">
        <v>295</v>
      </c>
      <c r="E2006" s="16">
        <v>295007</v>
      </c>
      <c r="F2006" s="10" t="s">
        <v>2722</v>
      </c>
      <c r="G2006" s="10">
        <v>220</v>
      </c>
      <c r="H2006" s="11">
        <v>46150</v>
      </c>
      <c r="I2006" s="10" t="s">
        <v>2807</v>
      </c>
      <c r="J2006" s="12" t="str">
        <f>IF(OR(TED[[#This Row],[SITUACAO]]=1,TED[[#This Row],[SITUACAO]]=9,TED[[#This Row],[SITUACAO]]=18),"ATIVO","AFASTADO")</f>
        <v>ATIVO</v>
      </c>
      <c r="K2006" s="12">
        <v>1</v>
      </c>
    </row>
    <row r="2007" spans="1:11" x14ac:dyDescent="0.25">
      <c r="A2007" s="10">
        <v>43409</v>
      </c>
      <c r="B2007" s="9" t="s">
        <v>2469</v>
      </c>
      <c r="C2007" s="12" t="str">
        <f>IFERROR(VLOOKUP(TED[[#This Row],[CENTRO]],'CENTRO DE CUSTO'!B:E,4,FALSE)," ")</f>
        <v xml:space="preserve"> </v>
      </c>
      <c r="D2007" s="12">
        <v>295</v>
      </c>
      <c r="E2007" s="16">
        <v>295006</v>
      </c>
      <c r="F2007" s="10" t="s">
        <v>2736</v>
      </c>
      <c r="G2007" s="10">
        <v>220</v>
      </c>
      <c r="H2007" s="11">
        <v>46048</v>
      </c>
      <c r="I2007" s="10" t="s">
        <v>2807</v>
      </c>
      <c r="J2007" s="12" t="str">
        <f>IF(OR(TED[[#This Row],[SITUACAO]]=1,TED[[#This Row],[SITUACAO]]=9,TED[[#This Row],[SITUACAO]]=18),"ATIVO","AFASTADO")</f>
        <v>ATIVO</v>
      </c>
      <c r="K2007" s="12">
        <v>1</v>
      </c>
    </row>
    <row r="2008" spans="1:11" x14ac:dyDescent="0.25">
      <c r="A2008" s="10">
        <v>44599</v>
      </c>
      <c r="B2008" s="9" t="s">
        <v>2470</v>
      </c>
      <c r="C2008" s="12" t="str">
        <f>IFERROR(VLOOKUP(TED[[#This Row],[CENTRO]],'CENTRO DE CUSTO'!B:E,4,FALSE)," ")</f>
        <v xml:space="preserve"> </v>
      </c>
      <c r="D2008" s="12">
        <v>295</v>
      </c>
      <c r="E2008" s="16">
        <v>295025</v>
      </c>
      <c r="F2008" s="10" t="s">
        <v>2726</v>
      </c>
      <c r="G2008" s="10">
        <v>220</v>
      </c>
      <c r="H2008" s="11">
        <v>46099</v>
      </c>
      <c r="I2008" s="10" t="s">
        <v>2807</v>
      </c>
      <c r="J2008" s="12" t="str">
        <f>IF(OR(TED[[#This Row],[SITUACAO]]=1,TED[[#This Row],[SITUACAO]]=9,TED[[#This Row],[SITUACAO]]=18),"ATIVO","AFASTADO")</f>
        <v>ATIVO</v>
      </c>
      <c r="K2008" s="12">
        <v>1</v>
      </c>
    </row>
    <row r="2009" spans="1:11" x14ac:dyDescent="0.25">
      <c r="A2009" s="10">
        <v>44286</v>
      </c>
      <c r="B2009" s="9" t="s">
        <v>2471</v>
      </c>
      <c r="C2009" s="12" t="str">
        <f>IFERROR(VLOOKUP(TED[[#This Row],[CENTRO]],'CENTRO DE CUSTO'!B:E,4,FALSE)," ")</f>
        <v xml:space="preserve"> </v>
      </c>
      <c r="D2009" s="12">
        <v>295</v>
      </c>
      <c r="E2009" s="16">
        <v>295019</v>
      </c>
      <c r="F2009" s="10" t="s">
        <v>2732</v>
      </c>
      <c r="G2009" s="10">
        <v>220</v>
      </c>
      <c r="H2009" s="11">
        <v>46080</v>
      </c>
      <c r="I2009" s="10" t="s">
        <v>2807</v>
      </c>
      <c r="J2009" s="12" t="str">
        <f>IF(OR(TED[[#This Row],[SITUACAO]]=1,TED[[#This Row],[SITUACAO]]=9,TED[[#This Row],[SITUACAO]]=18),"ATIVO","AFASTADO")</f>
        <v>ATIVO</v>
      </c>
      <c r="K2009" s="12">
        <v>1</v>
      </c>
    </row>
    <row r="2010" spans="1:11" x14ac:dyDescent="0.25">
      <c r="A2010" s="10">
        <v>44410</v>
      </c>
      <c r="B2010" s="9" t="s">
        <v>2472</v>
      </c>
      <c r="C2010" s="12" t="str">
        <f>IFERROR(VLOOKUP(TED[[#This Row],[CENTRO]],'CENTRO DE CUSTO'!B:E,4,FALSE)," ")</f>
        <v xml:space="preserve"> </v>
      </c>
      <c r="D2010" s="12">
        <v>295</v>
      </c>
      <c r="E2010" s="16">
        <v>295010</v>
      </c>
      <c r="F2010" s="10" t="s">
        <v>2730</v>
      </c>
      <c r="G2010" s="10">
        <v>220</v>
      </c>
      <c r="H2010" s="11">
        <v>46090</v>
      </c>
      <c r="I2010" s="10" t="s">
        <v>2807</v>
      </c>
      <c r="J2010" s="12" t="str">
        <f>IF(OR(TED[[#This Row],[SITUACAO]]=1,TED[[#This Row],[SITUACAO]]=9,TED[[#This Row],[SITUACAO]]=18),"ATIVO","AFASTADO")</f>
        <v>ATIVO</v>
      </c>
      <c r="K2010" s="12">
        <v>1</v>
      </c>
    </row>
    <row r="2011" spans="1:11" x14ac:dyDescent="0.25">
      <c r="A2011" s="10">
        <v>43389</v>
      </c>
      <c r="B2011" s="9" t="s">
        <v>2473</v>
      </c>
      <c r="C2011" s="12" t="str">
        <f>IFERROR(VLOOKUP(TED[[#This Row],[CENTRO]],'CENTRO DE CUSTO'!B:E,4,FALSE)," ")</f>
        <v xml:space="preserve"> </v>
      </c>
      <c r="D2011" s="12">
        <v>295</v>
      </c>
      <c r="E2011" s="16">
        <v>295009</v>
      </c>
      <c r="F2011" s="10" t="s">
        <v>2729</v>
      </c>
      <c r="G2011" s="10">
        <v>220</v>
      </c>
      <c r="H2011" s="11">
        <v>46048</v>
      </c>
      <c r="I2011" s="10" t="s">
        <v>2807</v>
      </c>
      <c r="J2011" s="12" t="str">
        <f>IF(OR(TED[[#This Row],[SITUACAO]]=1,TED[[#This Row],[SITUACAO]]=9,TED[[#This Row],[SITUACAO]]=18),"ATIVO","AFASTADO")</f>
        <v>ATIVO</v>
      </c>
      <c r="K2011" s="12">
        <v>1</v>
      </c>
    </row>
    <row r="2012" spans="1:11" x14ac:dyDescent="0.25">
      <c r="A2012" s="10">
        <v>43469</v>
      </c>
      <c r="B2012" s="9" t="s">
        <v>2474</v>
      </c>
      <c r="C2012" s="12" t="str">
        <f>IFERROR(VLOOKUP(TED[[#This Row],[CENTRO]],'CENTRO DE CUSTO'!B:E,4,FALSE)," ")</f>
        <v xml:space="preserve"> </v>
      </c>
      <c r="D2012" s="12">
        <v>295</v>
      </c>
      <c r="E2012" s="16">
        <v>295002</v>
      </c>
      <c r="F2012" s="10" t="s">
        <v>2727</v>
      </c>
      <c r="G2012" s="10">
        <v>220</v>
      </c>
      <c r="H2012" s="11">
        <v>46048</v>
      </c>
      <c r="I2012" s="10" t="s">
        <v>2807</v>
      </c>
      <c r="J2012" s="12" t="str">
        <f>IF(OR(TED[[#This Row],[SITUACAO]]=1,TED[[#This Row],[SITUACAO]]=9,TED[[#This Row],[SITUACAO]]=18),"ATIVO","AFASTADO")</f>
        <v>AFASTADO</v>
      </c>
      <c r="K2012" s="12">
        <v>12</v>
      </c>
    </row>
    <row r="2013" spans="1:11" x14ac:dyDescent="0.25">
      <c r="A2013" s="10">
        <v>43451</v>
      </c>
      <c r="B2013" s="9" t="s">
        <v>2475</v>
      </c>
      <c r="C2013" s="12" t="str">
        <f>IFERROR(VLOOKUP(TED[[#This Row],[CENTRO]],'CENTRO DE CUSTO'!B:E,4,FALSE)," ")</f>
        <v xml:space="preserve"> </v>
      </c>
      <c r="D2013" s="12">
        <v>295</v>
      </c>
      <c r="E2013" s="16">
        <v>295004</v>
      </c>
      <c r="F2013" s="10" t="s">
        <v>2721</v>
      </c>
      <c r="G2013" s="10">
        <v>220</v>
      </c>
      <c r="H2013" s="11">
        <v>46048</v>
      </c>
      <c r="I2013" s="10" t="s">
        <v>2807</v>
      </c>
      <c r="J2013" s="12" t="str">
        <f>IF(OR(TED[[#This Row],[SITUACAO]]=1,TED[[#This Row],[SITUACAO]]=9,TED[[#This Row],[SITUACAO]]=18),"ATIVO","AFASTADO")</f>
        <v>ATIVO</v>
      </c>
      <c r="K2013" s="12">
        <v>1</v>
      </c>
    </row>
    <row r="2014" spans="1:11" x14ac:dyDescent="0.25">
      <c r="A2014" s="10">
        <v>43390</v>
      </c>
      <c r="B2014" s="9" t="s">
        <v>2476</v>
      </c>
      <c r="C2014" s="12" t="str">
        <f>IFERROR(VLOOKUP(TED[[#This Row],[CENTRO]],'CENTRO DE CUSTO'!B:E,4,FALSE)," ")</f>
        <v xml:space="preserve"> </v>
      </c>
      <c r="D2014" s="12">
        <v>295</v>
      </c>
      <c r="E2014" s="16">
        <v>295009</v>
      </c>
      <c r="F2014" s="10" t="s">
        <v>2729</v>
      </c>
      <c r="G2014" s="10">
        <v>220</v>
      </c>
      <c r="H2014" s="11">
        <v>46048</v>
      </c>
      <c r="I2014" s="10" t="s">
        <v>2807</v>
      </c>
      <c r="J2014" s="12" t="str">
        <f>IF(OR(TED[[#This Row],[SITUACAO]]=1,TED[[#This Row],[SITUACAO]]=9,TED[[#This Row],[SITUACAO]]=18),"ATIVO","AFASTADO")</f>
        <v>ATIVO</v>
      </c>
      <c r="K2014" s="12">
        <v>1</v>
      </c>
    </row>
    <row r="2015" spans="1:11" x14ac:dyDescent="0.25">
      <c r="A2015" s="10">
        <v>43346</v>
      </c>
      <c r="B2015" s="9" t="s">
        <v>2477</v>
      </c>
      <c r="C2015" s="12" t="str">
        <f>IFERROR(VLOOKUP(TED[[#This Row],[CENTRO]],'CENTRO DE CUSTO'!B:E,4,FALSE)," ")</f>
        <v xml:space="preserve"> </v>
      </c>
      <c r="D2015" s="12">
        <v>295</v>
      </c>
      <c r="E2015" s="16">
        <v>295003</v>
      </c>
      <c r="F2015" s="10" t="s">
        <v>2725</v>
      </c>
      <c r="G2015" s="10">
        <v>220</v>
      </c>
      <c r="H2015" s="11">
        <v>46048</v>
      </c>
      <c r="I2015" s="10" t="s">
        <v>2807</v>
      </c>
      <c r="J2015" s="12" t="str">
        <f>IF(OR(TED[[#This Row],[SITUACAO]]=1,TED[[#This Row],[SITUACAO]]=9,TED[[#This Row],[SITUACAO]]=18),"ATIVO","AFASTADO")</f>
        <v>ATIVO</v>
      </c>
      <c r="K2015" s="12">
        <v>1</v>
      </c>
    </row>
    <row r="2016" spans="1:11" x14ac:dyDescent="0.25">
      <c r="A2016" s="10">
        <v>44526</v>
      </c>
      <c r="B2016" s="9" t="s">
        <v>2478</v>
      </c>
      <c r="C2016" s="12" t="str">
        <f>IFERROR(VLOOKUP(TED[[#This Row],[CENTRO]],'CENTRO DE CUSTO'!B:E,4,FALSE)," ")</f>
        <v xml:space="preserve"> </v>
      </c>
      <c r="D2016" s="12">
        <v>295</v>
      </c>
      <c r="E2016" s="16">
        <v>295023</v>
      </c>
      <c r="F2016" s="10" t="s">
        <v>2734</v>
      </c>
      <c r="G2016" s="10">
        <v>220</v>
      </c>
      <c r="H2016" s="11">
        <v>46097</v>
      </c>
      <c r="I2016" s="10" t="s">
        <v>2807</v>
      </c>
      <c r="J2016" s="12" t="str">
        <f>IF(OR(TED[[#This Row],[SITUACAO]]=1,TED[[#This Row],[SITUACAO]]=9,TED[[#This Row],[SITUACAO]]=18),"ATIVO","AFASTADO")</f>
        <v>ATIVO</v>
      </c>
      <c r="K2016" s="12">
        <v>1</v>
      </c>
    </row>
    <row r="2017" spans="1:11" x14ac:dyDescent="0.25">
      <c r="A2017" s="10">
        <v>45921</v>
      </c>
      <c r="B2017" s="9" t="s">
        <v>2479</v>
      </c>
      <c r="C2017" s="12" t="str">
        <f>IFERROR(VLOOKUP(TED[[#This Row],[CENTRO]],'CENTRO DE CUSTO'!B:E,4,FALSE)," ")</f>
        <v xml:space="preserve"> </v>
      </c>
      <c r="D2017" s="12">
        <v>295</v>
      </c>
      <c r="E2017" s="16">
        <v>295002</v>
      </c>
      <c r="F2017" s="10" t="s">
        <v>2727</v>
      </c>
      <c r="G2017" s="10">
        <v>220</v>
      </c>
      <c r="H2017" s="11">
        <v>46168</v>
      </c>
      <c r="I2017" s="10" t="s">
        <v>2807</v>
      </c>
      <c r="J2017" s="12" t="str">
        <f>IF(OR(TED[[#This Row],[SITUACAO]]=1,TED[[#This Row],[SITUACAO]]=9,TED[[#This Row],[SITUACAO]]=18),"ATIVO","AFASTADO")</f>
        <v>ATIVO</v>
      </c>
      <c r="K2017" s="12">
        <v>1</v>
      </c>
    </row>
    <row r="2018" spans="1:11" x14ac:dyDescent="0.25">
      <c r="A2018" s="10">
        <v>42312</v>
      </c>
      <c r="B2018" s="9" t="s">
        <v>2480</v>
      </c>
      <c r="C2018" s="12" t="str">
        <f>IFERROR(VLOOKUP(TED[[#This Row],[CENTRO]],'CENTRO DE CUSTO'!B:E,4,FALSE)," ")</f>
        <v xml:space="preserve"> </v>
      </c>
      <c r="D2018" s="12">
        <v>295</v>
      </c>
      <c r="E2018" s="16">
        <v>295016</v>
      </c>
      <c r="F2018" s="10" t="s">
        <v>2742</v>
      </c>
      <c r="G2018" s="10">
        <v>220</v>
      </c>
      <c r="H2018" s="11">
        <v>45979</v>
      </c>
      <c r="I2018" s="10" t="s">
        <v>2807</v>
      </c>
      <c r="J2018" s="12" t="str">
        <f>IF(OR(TED[[#This Row],[SITUACAO]]=1,TED[[#This Row],[SITUACAO]]=9,TED[[#This Row],[SITUACAO]]=18),"ATIVO","AFASTADO")</f>
        <v>ATIVO</v>
      </c>
      <c r="K2018" s="12">
        <v>1</v>
      </c>
    </row>
    <row r="2019" spans="1:11" x14ac:dyDescent="0.25">
      <c r="A2019" s="10">
        <v>46216</v>
      </c>
      <c r="B2019" s="9" t="s">
        <v>2481</v>
      </c>
      <c r="C2019" s="12" t="str">
        <f>IFERROR(VLOOKUP(TED[[#This Row],[CENTRO]],'CENTRO DE CUSTO'!B:E,4,FALSE)," ")</f>
        <v xml:space="preserve"> </v>
      </c>
      <c r="D2019" s="12">
        <v>295</v>
      </c>
      <c r="E2019" s="16">
        <v>295004</v>
      </c>
      <c r="F2019" s="10" t="s">
        <v>2721</v>
      </c>
      <c r="G2019" s="10">
        <v>220</v>
      </c>
      <c r="H2019" s="11">
        <v>46189</v>
      </c>
      <c r="I2019" s="10" t="s">
        <v>2807</v>
      </c>
      <c r="J2019" s="12" t="str">
        <f>IF(OR(TED[[#This Row],[SITUACAO]]=1,TED[[#This Row],[SITUACAO]]=9,TED[[#This Row],[SITUACAO]]=18),"ATIVO","AFASTADO")</f>
        <v>ATIVO</v>
      </c>
      <c r="K2019" s="12">
        <v>1</v>
      </c>
    </row>
    <row r="2020" spans="1:11" x14ac:dyDescent="0.25">
      <c r="A2020" s="10">
        <v>45630</v>
      </c>
      <c r="B2020" s="9" t="s">
        <v>2482</v>
      </c>
      <c r="C2020" s="12" t="str">
        <f>IFERROR(VLOOKUP(TED[[#This Row],[CENTRO]],'CENTRO DE CUSTO'!B:E,4,FALSE)," ")</f>
        <v xml:space="preserve"> </v>
      </c>
      <c r="D2020" s="12">
        <v>295</v>
      </c>
      <c r="E2020" s="16">
        <v>295006</v>
      </c>
      <c r="F2020" s="10" t="s">
        <v>2736</v>
      </c>
      <c r="G2020" s="10">
        <v>220</v>
      </c>
      <c r="H2020" s="11">
        <v>46156</v>
      </c>
      <c r="I2020" s="10" t="s">
        <v>2807</v>
      </c>
      <c r="J2020" s="12" t="str">
        <f>IF(OR(TED[[#This Row],[SITUACAO]]=1,TED[[#This Row],[SITUACAO]]=9,TED[[#This Row],[SITUACAO]]=18),"ATIVO","AFASTADO")</f>
        <v>ATIVO</v>
      </c>
      <c r="K2020" s="12">
        <v>1</v>
      </c>
    </row>
    <row r="2021" spans="1:11" x14ac:dyDescent="0.25">
      <c r="A2021" s="10">
        <v>43635</v>
      </c>
      <c r="B2021" s="9" t="s">
        <v>2483</v>
      </c>
      <c r="C2021" s="12" t="str">
        <f>IFERROR(VLOOKUP(TED[[#This Row],[CENTRO]],'CENTRO DE CUSTO'!B:E,4,FALSE)," ")</f>
        <v xml:space="preserve"> </v>
      </c>
      <c r="D2021" s="12">
        <v>295</v>
      </c>
      <c r="E2021" s="16">
        <v>295026</v>
      </c>
      <c r="F2021" s="10" t="s">
        <v>2738</v>
      </c>
      <c r="G2021" s="10">
        <v>220</v>
      </c>
      <c r="H2021" s="11">
        <v>46055</v>
      </c>
      <c r="I2021" s="10" t="s">
        <v>2807</v>
      </c>
      <c r="J2021" s="12" t="str">
        <f>IF(OR(TED[[#This Row],[SITUACAO]]=1,TED[[#This Row],[SITUACAO]]=9,TED[[#This Row],[SITUACAO]]=18),"ATIVO","AFASTADO")</f>
        <v>ATIVO</v>
      </c>
      <c r="K2021" s="12">
        <v>1</v>
      </c>
    </row>
    <row r="2022" spans="1:11" x14ac:dyDescent="0.25">
      <c r="A2022" s="10">
        <v>43410</v>
      </c>
      <c r="B2022" s="9" t="s">
        <v>2484</v>
      </c>
      <c r="C2022" s="12" t="str">
        <f>IFERROR(VLOOKUP(TED[[#This Row],[CENTRO]],'CENTRO DE CUSTO'!B:E,4,FALSE)," ")</f>
        <v xml:space="preserve"> </v>
      </c>
      <c r="D2022" s="12">
        <v>295</v>
      </c>
      <c r="E2022" s="16">
        <v>295002</v>
      </c>
      <c r="F2022" s="10" t="s">
        <v>2727</v>
      </c>
      <c r="G2022" s="10">
        <v>220</v>
      </c>
      <c r="H2022" s="11">
        <v>46048</v>
      </c>
      <c r="I2022" s="10" t="s">
        <v>2807</v>
      </c>
      <c r="J2022" s="12" t="str">
        <f>IF(OR(TED[[#This Row],[SITUACAO]]=1,TED[[#This Row],[SITUACAO]]=9,TED[[#This Row],[SITUACAO]]=18),"ATIVO","AFASTADO")</f>
        <v>ATIVO</v>
      </c>
      <c r="K2022" s="12">
        <v>1</v>
      </c>
    </row>
    <row r="2023" spans="1:11" x14ac:dyDescent="0.25">
      <c r="A2023" s="10">
        <v>43633</v>
      </c>
      <c r="B2023" s="9" t="s">
        <v>2485</v>
      </c>
      <c r="C2023" s="12" t="str">
        <f>IFERROR(VLOOKUP(TED[[#This Row],[CENTRO]],'CENTRO DE CUSTO'!B:E,4,FALSE)," ")</f>
        <v xml:space="preserve"> </v>
      </c>
      <c r="D2023" s="12">
        <v>295</v>
      </c>
      <c r="E2023" s="16">
        <v>295017</v>
      </c>
      <c r="F2023" s="10" t="s">
        <v>2720</v>
      </c>
      <c r="G2023" s="10">
        <v>220</v>
      </c>
      <c r="H2023" s="11">
        <v>46055</v>
      </c>
      <c r="I2023" s="10" t="s">
        <v>2807</v>
      </c>
      <c r="J2023" s="12" t="str">
        <f>IF(OR(TED[[#This Row],[SITUACAO]]=1,TED[[#This Row],[SITUACAO]]=9,TED[[#This Row],[SITUACAO]]=18),"ATIVO","AFASTADO")</f>
        <v>ATIVO</v>
      </c>
      <c r="K2023" s="12">
        <v>1</v>
      </c>
    </row>
    <row r="2024" spans="1:11" x14ac:dyDescent="0.25">
      <c r="A2024" s="10">
        <v>44538</v>
      </c>
      <c r="B2024" s="9" t="s">
        <v>2486</v>
      </c>
      <c r="C2024" s="12" t="str">
        <f>IFERROR(VLOOKUP(TED[[#This Row],[CENTRO]],'CENTRO DE CUSTO'!B:E,4,FALSE)," ")</f>
        <v xml:space="preserve"> </v>
      </c>
      <c r="D2024" s="12">
        <v>295</v>
      </c>
      <c r="E2024" s="16">
        <v>295017</v>
      </c>
      <c r="F2024" s="10" t="s">
        <v>2720</v>
      </c>
      <c r="G2024" s="10">
        <v>220</v>
      </c>
      <c r="H2024" s="11">
        <v>46094</v>
      </c>
      <c r="I2024" s="10" t="s">
        <v>2807</v>
      </c>
      <c r="J2024" s="12" t="str">
        <f>IF(OR(TED[[#This Row],[SITUACAO]]=1,TED[[#This Row],[SITUACAO]]=9,TED[[#This Row],[SITUACAO]]=18),"ATIVO","AFASTADO")</f>
        <v>ATIVO</v>
      </c>
      <c r="K2024" s="12">
        <v>1</v>
      </c>
    </row>
    <row r="2025" spans="1:11" x14ac:dyDescent="0.25">
      <c r="A2025" s="10">
        <v>43424</v>
      </c>
      <c r="B2025" s="9" t="s">
        <v>2487</v>
      </c>
      <c r="C2025" s="12" t="str">
        <f>IFERROR(VLOOKUP(TED[[#This Row],[CENTRO]],'CENTRO DE CUSTO'!B:E,4,FALSE)," ")</f>
        <v xml:space="preserve"> </v>
      </c>
      <c r="D2025" s="12">
        <v>295</v>
      </c>
      <c r="E2025" s="16">
        <v>295005</v>
      </c>
      <c r="F2025" s="10" t="s">
        <v>2723</v>
      </c>
      <c r="G2025" s="10">
        <v>220</v>
      </c>
      <c r="H2025" s="11">
        <v>46048</v>
      </c>
      <c r="I2025" s="10" t="s">
        <v>2807</v>
      </c>
      <c r="J2025" s="12" t="str">
        <f>IF(OR(TED[[#This Row],[SITUACAO]]=1,TED[[#This Row],[SITUACAO]]=9,TED[[#This Row],[SITUACAO]]=18),"ATIVO","AFASTADO")</f>
        <v>ATIVO</v>
      </c>
      <c r="K2025" s="12">
        <v>1</v>
      </c>
    </row>
    <row r="2026" spans="1:11" x14ac:dyDescent="0.25">
      <c r="A2026" s="10">
        <v>44391</v>
      </c>
      <c r="B2026" s="9" t="s">
        <v>2488</v>
      </c>
      <c r="C2026" s="12" t="str">
        <f>IFERROR(VLOOKUP(TED[[#This Row],[CENTRO]],'CENTRO DE CUSTO'!B:E,4,FALSE)," ")</f>
        <v xml:space="preserve"> </v>
      </c>
      <c r="D2026" s="12">
        <v>295</v>
      </c>
      <c r="E2026" s="16">
        <v>295007</v>
      </c>
      <c r="F2026" s="10" t="s">
        <v>2722</v>
      </c>
      <c r="G2026" s="10">
        <v>220</v>
      </c>
      <c r="H2026" s="11">
        <v>46090</v>
      </c>
      <c r="I2026" s="10" t="s">
        <v>2807</v>
      </c>
      <c r="J2026" s="12" t="str">
        <f>IF(OR(TED[[#This Row],[SITUACAO]]=1,TED[[#This Row],[SITUACAO]]=9,TED[[#This Row],[SITUACAO]]=18),"ATIVO","AFASTADO")</f>
        <v>ATIVO</v>
      </c>
      <c r="K2026" s="12">
        <v>1</v>
      </c>
    </row>
    <row r="2027" spans="1:11" x14ac:dyDescent="0.25">
      <c r="A2027" s="10">
        <v>43351</v>
      </c>
      <c r="B2027" s="9" t="s">
        <v>2489</v>
      </c>
      <c r="C2027" s="12" t="str">
        <f>IFERROR(VLOOKUP(TED[[#This Row],[CENTRO]],'CENTRO DE CUSTO'!B:E,4,FALSE)," ")</f>
        <v xml:space="preserve"> </v>
      </c>
      <c r="D2027" s="12">
        <v>295</v>
      </c>
      <c r="E2027" s="16">
        <v>295009</v>
      </c>
      <c r="F2027" s="10" t="s">
        <v>2729</v>
      </c>
      <c r="G2027" s="10">
        <v>220</v>
      </c>
      <c r="H2027" s="11">
        <v>46048</v>
      </c>
      <c r="I2027" s="10" t="s">
        <v>2807</v>
      </c>
      <c r="J2027" s="12" t="str">
        <f>IF(OR(TED[[#This Row],[SITUACAO]]=1,TED[[#This Row],[SITUACAO]]=9,TED[[#This Row],[SITUACAO]]=18),"ATIVO","AFASTADO")</f>
        <v>ATIVO</v>
      </c>
      <c r="K2027" s="12">
        <v>1</v>
      </c>
    </row>
    <row r="2028" spans="1:11" x14ac:dyDescent="0.25">
      <c r="A2028" s="10">
        <v>43485</v>
      </c>
      <c r="B2028" s="9" t="s">
        <v>2490</v>
      </c>
      <c r="C2028" s="12" t="str">
        <f>IFERROR(VLOOKUP(TED[[#This Row],[CENTRO]],'CENTRO DE CUSTO'!B:E,4,FALSE)," ")</f>
        <v xml:space="preserve"> </v>
      </c>
      <c r="D2028" s="12">
        <v>295</v>
      </c>
      <c r="E2028" s="16">
        <v>295002</v>
      </c>
      <c r="F2028" s="10" t="s">
        <v>2727</v>
      </c>
      <c r="G2028" s="10">
        <v>220</v>
      </c>
      <c r="H2028" s="11">
        <v>46049</v>
      </c>
      <c r="I2028" s="10" t="s">
        <v>2807</v>
      </c>
      <c r="J2028" s="12" t="str">
        <f>IF(OR(TED[[#This Row],[SITUACAO]]=1,TED[[#This Row],[SITUACAO]]=9,TED[[#This Row],[SITUACAO]]=18),"ATIVO","AFASTADO")</f>
        <v>ATIVO</v>
      </c>
      <c r="K2028" s="12">
        <v>1</v>
      </c>
    </row>
    <row r="2029" spans="1:11" x14ac:dyDescent="0.25">
      <c r="A2029" s="10">
        <v>43449</v>
      </c>
      <c r="B2029" s="9" t="s">
        <v>2491</v>
      </c>
      <c r="C2029" s="12" t="str">
        <f>IFERROR(VLOOKUP(TED[[#This Row],[CENTRO]],'CENTRO DE CUSTO'!B:E,4,FALSE)," ")</f>
        <v xml:space="preserve"> </v>
      </c>
      <c r="D2029" s="12">
        <v>295</v>
      </c>
      <c r="E2029" s="16">
        <v>295004</v>
      </c>
      <c r="F2029" s="10" t="s">
        <v>2721</v>
      </c>
      <c r="G2029" s="10">
        <v>220</v>
      </c>
      <c r="H2029" s="11">
        <v>46048</v>
      </c>
      <c r="I2029" s="10" t="s">
        <v>2807</v>
      </c>
      <c r="J2029" s="12" t="str">
        <f>IF(OR(TED[[#This Row],[SITUACAO]]=1,TED[[#This Row],[SITUACAO]]=9,TED[[#This Row],[SITUACAO]]=18),"ATIVO","AFASTADO")</f>
        <v>ATIVO</v>
      </c>
      <c r="K2029" s="12">
        <v>1</v>
      </c>
    </row>
    <row r="2030" spans="1:11" x14ac:dyDescent="0.25">
      <c r="A2030" s="10">
        <v>43466</v>
      </c>
      <c r="B2030" s="9" t="s">
        <v>2492</v>
      </c>
      <c r="C2030" s="12" t="str">
        <f>IFERROR(VLOOKUP(TED[[#This Row],[CENTRO]],'CENTRO DE CUSTO'!B:E,4,FALSE)," ")</f>
        <v xml:space="preserve"> </v>
      </c>
      <c r="D2030" s="12">
        <v>295</v>
      </c>
      <c r="E2030" s="16">
        <v>295010</v>
      </c>
      <c r="F2030" s="10" t="s">
        <v>2730</v>
      </c>
      <c r="G2030" s="10">
        <v>220</v>
      </c>
      <c r="H2030" s="11">
        <v>46048</v>
      </c>
      <c r="I2030" s="10" t="s">
        <v>2807</v>
      </c>
      <c r="J2030" s="12" t="str">
        <f>IF(OR(TED[[#This Row],[SITUACAO]]=1,TED[[#This Row],[SITUACAO]]=9,TED[[#This Row],[SITUACAO]]=18),"ATIVO","AFASTADO")</f>
        <v>ATIVO</v>
      </c>
      <c r="K2030" s="12">
        <v>1</v>
      </c>
    </row>
    <row r="2031" spans="1:11" x14ac:dyDescent="0.25">
      <c r="A2031" s="10">
        <v>43599</v>
      </c>
      <c r="B2031" s="9" t="s">
        <v>2493</v>
      </c>
      <c r="C2031" s="12" t="str">
        <f>IFERROR(VLOOKUP(TED[[#This Row],[CENTRO]],'CENTRO DE CUSTO'!B:E,4,FALSE)," ")</f>
        <v xml:space="preserve"> </v>
      </c>
      <c r="D2031" s="12">
        <v>295</v>
      </c>
      <c r="E2031" s="16">
        <v>295024</v>
      </c>
      <c r="F2031" s="10" t="s">
        <v>2739</v>
      </c>
      <c r="G2031" s="10">
        <v>220</v>
      </c>
      <c r="H2031" s="11">
        <v>46055</v>
      </c>
      <c r="I2031" s="10" t="s">
        <v>2807</v>
      </c>
      <c r="J2031" s="12" t="str">
        <f>IF(OR(TED[[#This Row],[SITUACAO]]=1,TED[[#This Row],[SITUACAO]]=9,TED[[#This Row],[SITUACAO]]=18),"ATIVO","AFASTADO")</f>
        <v>ATIVO</v>
      </c>
      <c r="K2031" s="12">
        <v>1</v>
      </c>
    </row>
    <row r="2032" spans="1:11" x14ac:dyDescent="0.25">
      <c r="A2032" s="10">
        <v>44384</v>
      </c>
      <c r="B2032" s="9" t="s">
        <v>2494</v>
      </c>
      <c r="C2032" s="12" t="str">
        <f>IFERROR(VLOOKUP(TED[[#This Row],[CENTRO]],'CENTRO DE CUSTO'!B:E,4,FALSE)," ")</f>
        <v xml:space="preserve"> </v>
      </c>
      <c r="D2032" s="12">
        <v>295</v>
      </c>
      <c r="E2032" s="16">
        <v>295017</v>
      </c>
      <c r="F2032" s="10" t="s">
        <v>2720</v>
      </c>
      <c r="G2032" s="10">
        <v>220</v>
      </c>
      <c r="H2032" s="11">
        <v>46086</v>
      </c>
      <c r="I2032" s="10" t="s">
        <v>2807</v>
      </c>
      <c r="J2032" s="12" t="str">
        <f>IF(OR(TED[[#This Row],[SITUACAO]]=1,TED[[#This Row],[SITUACAO]]=9,TED[[#This Row],[SITUACAO]]=18),"ATIVO","AFASTADO")</f>
        <v>ATIVO</v>
      </c>
      <c r="K2032" s="12">
        <v>1</v>
      </c>
    </row>
    <row r="2033" spans="1:11" x14ac:dyDescent="0.25">
      <c r="A2033" s="10">
        <v>43420</v>
      </c>
      <c r="B2033" s="9" t="s">
        <v>2495</v>
      </c>
      <c r="C2033" s="12" t="str">
        <f>IFERROR(VLOOKUP(TED[[#This Row],[CENTRO]],'CENTRO DE CUSTO'!B:E,4,FALSE)," ")</f>
        <v xml:space="preserve"> </v>
      </c>
      <c r="D2033" s="12">
        <v>295</v>
      </c>
      <c r="E2033" s="16">
        <v>295001</v>
      </c>
      <c r="F2033" s="10" t="s">
        <v>2731</v>
      </c>
      <c r="G2033" s="10">
        <v>220</v>
      </c>
      <c r="H2033" s="11">
        <v>46048</v>
      </c>
      <c r="I2033" s="10" t="s">
        <v>2807</v>
      </c>
      <c r="J2033" s="12" t="str">
        <f>IF(OR(TED[[#This Row],[SITUACAO]]=1,TED[[#This Row],[SITUACAO]]=9,TED[[#This Row],[SITUACAO]]=18),"ATIVO","AFASTADO")</f>
        <v>ATIVO</v>
      </c>
      <c r="K2033" s="12">
        <v>1</v>
      </c>
    </row>
    <row r="2034" spans="1:11" x14ac:dyDescent="0.25">
      <c r="A2034" s="10">
        <v>43598</v>
      </c>
      <c r="B2034" s="9" t="s">
        <v>2496</v>
      </c>
      <c r="C2034" s="12" t="str">
        <f>IFERROR(VLOOKUP(TED[[#This Row],[CENTRO]],'CENTRO DE CUSTO'!B:E,4,FALSE)," ")</f>
        <v xml:space="preserve"> </v>
      </c>
      <c r="D2034" s="12">
        <v>295</v>
      </c>
      <c r="E2034" s="16">
        <v>295011</v>
      </c>
      <c r="F2034" s="10" t="s">
        <v>2733</v>
      </c>
      <c r="G2034" s="10">
        <v>220</v>
      </c>
      <c r="H2034" s="11">
        <v>46055</v>
      </c>
      <c r="I2034" s="10" t="s">
        <v>2807</v>
      </c>
      <c r="J2034" s="12" t="str">
        <f>IF(OR(TED[[#This Row],[SITUACAO]]=1,TED[[#This Row],[SITUACAO]]=9,TED[[#This Row],[SITUACAO]]=18),"ATIVO","AFASTADO")</f>
        <v>ATIVO</v>
      </c>
      <c r="K2034" s="12">
        <v>1</v>
      </c>
    </row>
    <row r="2035" spans="1:11" x14ac:dyDescent="0.25">
      <c r="A2035" s="10">
        <v>44594</v>
      </c>
      <c r="B2035" s="9" t="s">
        <v>2497</v>
      </c>
      <c r="C2035" s="12" t="str">
        <f>IFERROR(VLOOKUP(TED[[#This Row],[CENTRO]],'CENTRO DE CUSTO'!B:E,4,FALSE)," ")</f>
        <v xml:space="preserve"> </v>
      </c>
      <c r="D2035" s="12">
        <v>295</v>
      </c>
      <c r="E2035" s="16">
        <v>295000</v>
      </c>
      <c r="F2035" s="10" t="s">
        <v>2735</v>
      </c>
      <c r="G2035" s="10">
        <v>220</v>
      </c>
      <c r="H2035" s="11">
        <v>46098</v>
      </c>
      <c r="I2035" s="10" t="s">
        <v>2807</v>
      </c>
      <c r="J2035" s="12" t="str">
        <f>IF(OR(TED[[#This Row],[SITUACAO]]=1,TED[[#This Row],[SITUACAO]]=9,TED[[#This Row],[SITUACAO]]=18),"ATIVO","AFASTADO")</f>
        <v>ATIVO</v>
      </c>
      <c r="K2035" s="12">
        <v>1</v>
      </c>
    </row>
    <row r="2036" spans="1:11" x14ac:dyDescent="0.25">
      <c r="A2036" s="10">
        <v>45774</v>
      </c>
      <c r="B2036" s="9" t="s">
        <v>2498</v>
      </c>
      <c r="C2036" s="12" t="str">
        <f>IFERROR(VLOOKUP(TED[[#This Row],[CENTRO]],'CENTRO DE CUSTO'!B:E,4,FALSE)," ")</f>
        <v xml:space="preserve"> </v>
      </c>
      <c r="D2036" s="12">
        <v>295</v>
      </c>
      <c r="E2036" s="16">
        <v>295000</v>
      </c>
      <c r="F2036" s="10" t="s">
        <v>2735</v>
      </c>
      <c r="G2036" s="10">
        <v>220</v>
      </c>
      <c r="H2036" s="11">
        <v>46164</v>
      </c>
      <c r="I2036" s="10" t="s">
        <v>2807</v>
      </c>
      <c r="J2036" s="12" t="str">
        <f>IF(OR(TED[[#This Row],[SITUACAO]]=1,TED[[#This Row],[SITUACAO]]=9,TED[[#This Row],[SITUACAO]]=18),"ATIVO","AFASTADO")</f>
        <v>ATIVO</v>
      </c>
      <c r="K2036" s="12">
        <v>1</v>
      </c>
    </row>
    <row r="2037" spans="1:11" x14ac:dyDescent="0.25">
      <c r="A2037" s="10">
        <v>46634</v>
      </c>
      <c r="B2037" s="9" t="s">
        <v>2499</v>
      </c>
      <c r="C2037" s="12" t="str">
        <f>IFERROR(VLOOKUP(TED[[#This Row],[CENTRO]],'CENTRO DE CUSTO'!B:E,4,FALSE)," ")</f>
        <v xml:space="preserve"> </v>
      </c>
      <c r="D2037" s="12">
        <v>295</v>
      </c>
      <c r="E2037" s="16">
        <v>295006</v>
      </c>
      <c r="F2037" s="10" t="s">
        <v>2736</v>
      </c>
      <c r="G2037" s="10">
        <v>220</v>
      </c>
      <c r="H2037" s="11">
        <v>46195</v>
      </c>
      <c r="I2037" s="10" t="s">
        <v>2807</v>
      </c>
      <c r="J2037" s="12" t="str">
        <f>IF(OR(TED[[#This Row],[SITUACAO]]=1,TED[[#This Row],[SITUACAO]]=9,TED[[#This Row],[SITUACAO]]=18),"ATIVO","AFASTADO")</f>
        <v>ATIVO</v>
      </c>
      <c r="K2037" s="12">
        <v>1</v>
      </c>
    </row>
    <row r="2038" spans="1:11" x14ac:dyDescent="0.25">
      <c r="A2038" s="10">
        <v>43340</v>
      </c>
      <c r="B2038" s="9" t="s">
        <v>2500</v>
      </c>
      <c r="C2038" s="12" t="str">
        <f>IFERROR(VLOOKUP(TED[[#This Row],[CENTRO]],'CENTRO DE CUSTO'!B:E,4,FALSE)," ")</f>
        <v xml:space="preserve"> </v>
      </c>
      <c r="D2038" s="12">
        <v>295</v>
      </c>
      <c r="E2038" s="16">
        <v>295003</v>
      </c>
      <c r="F2038" s="10" t="s">
        <v>2725</v>
      </c>
      <c r="G2038" s="10">
        <v>220</v>
      </c>
      <c r="H2038" s="11">
        <v>46048</v>
      </c>
      <c r="I2038" s="10" t="s">
        <v>2807</v>
      </c>
      <c r="J2038" s="12" t="str">
        <f>IF(OR(TED[[#This Row],[SITUACAO]]=1,TED[[#This Row],[SITUACAO]]=9,TED[[#This Row],[SITUACAO]]=18),"ATIVO","AFASTADO")</f>
        <v>ATIVO</v>
      </c>
      <c r="K2038" s="12">
        <v>1</v>
      </c>
    </row>
    <row r="2039" spans="1:11" x14ac:dyDescent="0.25">
      <c r="A2039" s="10">
        <v>43555</v>
      </c>
      <c r="B2039" s="9" t="s">
        <v>2501</v>
      </c>
      <c r="C2039" s="12" t="str">
        <f>IFERROR(VLOOKUP(TED[[#This Row],[CENTRO]],'CENTRO DE CUSTO'!B:E,4,FALSE)," ")</f>
        <v xml:space="preserve"> </v>
      </c>
      <c r="D2039" s="12">
        <v>295</v>
      </c>
      <c r="E2039" s="16">
        <v>295010</v>
      </c>
      <c r="F2039" s="10" t="s">
        <v>2730</v>
      </c>
      <c r="G2039" s="10">
        <v>220</v>
      </c>
      <c r="H2039" s="11">
        <v>46052</v>
      </c>
      <c r="I2039" s="10" t="s">
        <v>2807</v>
      </c>
      <c r="J2039" s="12" t="str">
        <f>IF(OR(TED[[#This Row],[SITUACAO]]=1,TED[[#This Row],[SITUACAO]]=9,TED[[#This Row],[SITUACAO]]=18),"ATIVO","AFASTADO")</f>
        <v>ATIVO</v>
      </c>
      <c r="K2039" s="12">
        <v>1</v>
      </c>
    </row>
    <row r="2040" spans="1:11" x14ac:dyDescent="0.25">
      <c r="A2040" s="10">
        <v>43566</v>
      </c>
      <c r="B2040" s="9" t="s">
        <v>2502</v>
      </c>
      <c r="C2040" s="12" t="str">
        <f>IFERROR(VLOOKUP(TED[[#This Row],[CENTRO]],'CENTRO DE CUSTO'!B:E,4,FALSE)," ")</f>
        <v xml:space="preserve"> </v>
      </c>
      <c r="D2040" s="12">
        <v>295</v>
      </c>
      <c r="E2040" s="16">
        <v>295004</v>
      </c>
      <c r="F2040" s="10" t="s">
        <v>2721</v>
      </c>
      <c r="G2040" s="10">
        <v>220</v>
      </c>
      <c r="H2040" s="11">
        <v>46052</v>
      </c>
      <c r="I2040" s="10" t="s">
        <v>2807</v>
      </c>
      <c r="J2040" s="12" t="str">
        <f>IF(OR(TED[[#This Row],[SITUACAO]]=1,TED[[#This Row],[SITUACAO]]=9,TED[[#This Row],[SITUACAO]]=18),"ATIVO","AFASTADO")</f>
        <v>ATIVO</v>
      </c>
      <c r="K2040" s="12">
        <v>1</v>
      </c>
    </row>
    <row r="2041" spans="1:11" x14ac:dyDescent="0.25">
      <c r="A2041" s="10">
        <v>43484</v>
      </c>
      <c r="B2041" s="9" t="s">
        <v>2503</v>
      </c>
      <c r="C2041" s="12" t="str">
        <f>IFERROR(VLOOKUP(TED[[#This Row],[CENTRO]],'CENTRO DE CUSTO'!B:E,4,FALSE)," ")</f>
        <v xml:space="preserve"> </v>
      </c>
      <c r="D2041" s="12">
        <v>295</v>
      </c>
      <c r="E2041" s="16">
        <v>295010</v>
      </c>
      <c r="F2041" s="10" t="s">
        <v>2730</v>
      </c>
      <c r="G2041" s="10">
        <v>220</v>
      </c>
      <c r="H2041" s="11">
        <v>46049</v>
      </c>
      <c r="I2041" s="10" t="s">
        <v>2807</v>
      </c>
      <c r="J2041" s="12" t="str">
        <f>IF(OR(TED[[#This Row],[SITUACAO]]=1,TED[[#This Row],[SITUACAO]]=9,TED[[#This Row],[SITUACAO]]=18),"ATIVO","AFASTADO")</f>
        <v>ATIVO</v>
      </c>
      <c r="K2041" s="12">
        <v>1</v>
      </c>
    </row>
    <row r="2042" spans="1:11" x14ac:dyDescent="0.25">
      <c r="A2042" s="10">
        <v>43899</v>
      </c>
      <c r="B2042" s="9" t="s">
        <v>2504</v>
      </c>
      <c r="C2042" s="12" t="str">
        <f>IFERROR(VLOOKUP(TED[[#This Row],[CENTRO]],'CENTRO DE CUSTO'!B:E,4,FALSE)," ")</f>
        <v xml:space="preserve"> </v>
      </c>
      <c r="D2042" s="12">
        <v>295</v>
      </c>
      <c r="E2042" s="16">
        <v>295011</v>
      </c>
      <c r="F2042" s="10" t="s">
        <v>2733</v>
      </c>
      <c r="G2042" s="10">
        <v>220</v>
      </c>
      <c r="H2042" s="11">
        <v>46063</v>
      </c>
      <c r="I2042" s="10" t="s">
        <v>2807</v>
      </c>
      <c r="J2042" s="12" t="str">
        <f>IF(OR(TED[[#This Row],[SITUACAO]]=1,TED[[#This Row],[SITUACAO]]=9,TED[[#This Row],[SITUACAO]]=18),"ATIVO","AFASTADO")</f>
        <v>ATIVO</v>
      </c>
      <c r="K2042" s="12">
        <v>1</v>
      </c>
    </row>
    <row r="2043" spans="1:11" x14ac:dyDescent="0.25">
      <c r="A2043" s="10">
        <v>43350</v>
      </c>
      <c r="B2043" s="9" t="s">
        <v>2505</v>
      </c>
      <c r="C2043" s="12" t="str">
        <f>IFERROR(VLOOKUP(TED[[#This Row],[CENTRO]],'CENTRO DE CUSTO'!B:E,4,FALSE)," ")</f>
        <v xml:space="preserve"> </v>
      </c>
      <c r="D2043" s="12">
        <v>295</v>
      </c>
      <c r="E2043" s="16">
        <v>295009</v>
      </c>
      <c r="F2043" s="10" t="s">
        <v>2729</v>
      </c>
      <c r="G2043" s="10">
        <v>220</v>
      </c>
      <c r="H2043" s="11">
        <v>46048</v>
      </c>
      <c r="I2043" s="10" t="s">
        <v>2807</v>
      </c>
      <c r="J2043" s="12" t="str">
        <f>IF(OR(TED[[#This Row],[SITUACAO]]=1,TED[[#This Row],[SITUACAO]]=9,TED[[#This Row],[SITUACAO]]=18),"ATIVO","AFASTADO")</f>
        <v>ATIVO</v>
      </c>
      <c r="K2043" s="12">
        <v>1</v>
      </c>
    </row>
    <row r="2044" spans="1:11" x14ac:dyDescent="0.25">
      <c r="A2044" s="10">
        <v>45790</v>
      </c>
      <c r="B2044" s="9" t="s">
        <v>2506</v>
      </c>
      <c r="C2044" s="12" t="str">
        <f>IFERROR(VLOOKUP(TED[[#This Row],[CENTRO]],'CENTRO DE CUSTO'!B:E,4,FALSE)," ")</f>
        <v xml:space="preserve"> </v>
      </c>
      <c r="D2044" s="12">
        <v>295</v>
      </c>
      <c r="E2044" s="16">
        <v>295002</v>
      </c>
      <c r="F2044" s="10" t="s">
        <v>2727</v>
      </c>
      <c r="G2044" s="10">
        <v>220</v>
      </c>
      <c r="H2044" s="11">
        <v>46164</v>
      </c>
      <c r="I2044" s="10" t="s">
        <v>2807</v>
      </c>
      <c r="J2044" s="12" t="str">
        <f>IF(OR(TED[[#This Row],[SITUACAO]]=1,TED[[#This Row],[SITUACAO]]=9,TED[[#This Row],[SITUACAO]]=18),"ATIVO","AFASTADO")</f>
        <v>ATIVO</v>
      </c>
      <c r="K2044" s="12">
        <v>1</v>
      </c>
    </row>
    <row r="2045" spans="1:11" x14ac:dyDescent="0.25">
      <c r="A2045" s="10">
        <v>43432</v>
      </c>
      <c r="B2045" s="9" t="s">
        <v>2507</v>
      </c>
      <c r="C2045" s="12" t="str">
        <f>IFERROR(VLOOKUP(TED[[#This Row],[CENTRO]],'CENTRO DE CUSTO'!B:E,4,FALSE)," ")</f>
        <v xml:space="preserve"> </v>
      </c>
      <c r="D2045" s="12">
        <v>295</v>
      </c>
      <c r="E2045" s="16">
        <v>295003</v>
      </c>
      <c r="F2045" s="10" t="s">
        <v>2725</v>
      </c>
      <c r="G2045" s="10">
        <v>220</v>
      </c>
      <c r="H2045" s="11">
        <v>46048</v>
      </c>
      <c r="I2045" s="10" t="s">
        <v>2807</v>
      </c>
      <c r="J2045" s="12" t="str">
        <f>IF(OR(TED[[#This Row],[SITUACAO]]=1,TED[[#This Row],[SITUACAO]]=9,TED[[#This Row],[SITUACAO]]=18),"ATIVO","AFASTADO")</f>
        <v>ATIVO</v>
      </c>
      <c r="K2045" s="12">
        <v>1</v>
      </c>
    </row>
    <row r="2046" spans="1:11" x14ac:dyDescent="0.25">
      <c r="A2046" s="10">
        <v>43434</v>
      </c>
      <c r="B2046" s="9" t="s">
        <v>2508</v>
      </c>
      <c r="C2046" s="12" t="str">
        <f>IFERROR(VLOOKUP(TED[[#This Row],[CENTRO]],'CENTRO DE CUSTO'!B:E,4,FALSE)," ")</f>
        <v xml:space="preserve"> </v>
      </c>
      <c r="D2046" s="12">
        <v>295</v>
      </c>
      <c r="E2046" s="16">
        <v>295003</v>
      </c>
      <c r="F2046" s="10" t="s">
        <v>2725</v>
      </c>
      <c r="G2046" s="10">
        <v>220</v>
      </c>
      <c r="H2046" s="11">
        <v>46048</v>
      </c>
      <c r="I2046" s="10" t="s">
        <v>2807</v>
      </c>
      <c r="J2046" s="12" t="str">
        <f>IF(OR(TED[[#This Row],[SITUACAO]]=1,TED[[#This Row],[SITUACAO]]=9,TED[[#This Row],[SITUACAO]]=18),"ATIVO","AFASTADO")</f>
        <v>ATIVO</v>
      </c>
      <c r="K2046" s="12">
        <v>1</v>
      </c>
    </row>
    <row r="2047" spans="1:11" x14ac:dyDescent="0.25">
      <c r="A2047" s="10">
        <v>45702</v>
      </c>
      <c r="B2047" s="9" t="s">
        <v>2509</v>
      </c>
      <c r="C2047" s="12" t="str">
        <f>IFERROR(VLOOKUP(TED[[#This Row],[CENTRO]],'CENTRO DE CUSTO'!B:E,4,FALSE)," ")</f>
        <v xml:space="preserve"> </v>
      </c>
      <c r="D2047" s="12">
        <v>295</v>
      </c>
      <c r="E2047" s="16">
        <v>295007</v>
      </c>
      <c r="F2047" s="10" t="s">
        <v>2722</v>
      </c>
      <c r="G2047" s="10">
        <v>220</v>
      </c>
      <c r="H2047" s="11">
        <v>46161</v>
      </c>
      <c r="I2047" s="10" t="s">
        <v>2807</v>
      </c>
      <c r="J2047" s="12" t="str">
        <f>IF(OR(TED[[#This Row],[SITUACAO]]=1,TED[[#This Row],[SITUACAO]]=9,TED[[#This Row],[SITUACAO]]=18),"ATIVO","AFASTADO")</f>
        <v>ATIVO</v>
      </c>
      <c r="K2047" s="12">
        <v>1</v>
      </c>
    </row>
    <row r="2048" spans="1:11" x14ac:dyDescent="0.25">
      <c r="A2048" s="10">
        <v>43811</v>
      </c>
      <c r="B2048" s="9" t="s">
        <v>2510</v>
      </c>
      <c r="C2048" s="12" t="str">
        <f>IFERROR(VLOOKUP(TED[[#This Row],[CENTRO]],'CENTRO DE CUSTO'!B:E,4,FALSE)," ")</f>
        <v xml:space="preserve"> </v>
      </c>
      <c r="D2048" s="12">
        <v>295</v>
      </c>
      <c r="E2048" s="16">
        <v>295006</v>
      </c>
      <c r="F2048" s="10" t="s">
        <v>2736</v>
      </c>
      <c r="G2048" s="10">
        <v>220</v>
      </c>
      <c r="H2048" s="11">
        <v>46059</v>
      </c>
      <c r="I2048" s="10" t="s">
        <v>2807</v>
      </c>
      <c r="J2048" s="12" t="str">
        <f>IF(OR(TED[[#This Row],[SITUACAO]]=1,TED[[#This Row],[SITUACAO]]=9,TED[[#This Row],[SITUACAO]]=18),"ATIVO","AFASTADO")</f>
        <v>ATIVO</v>
      </c>
      <c r="K2048" s="12">
        <v>1</v>
      </c>
    </row>
    <row r="2049" spans="1:11" x14ac:dyDescent="0.25">
      <c r="A2049" s="10">
        <v>46131</v>
      </c>
      <c r="B2049" s="9" t="s">
        <v>2511</v>
      </c>
      <c r="C2049" s="12" t="str">
        <f>IFERROR(VLOOKUP(TED[[#This Row],[CENTRO]],'CENTRO DE CUSTO'!B:E,4,FALSE)," ")</f>
        <v xml:space="preserve"> </v>
      </c>
      <c r="D2049" s="12">
        <v>295</v>
      </c>
      <c r="E2049" s="16">
        <v>295000</v>
      </c>
      <c r="F2049" s="10" t="s">
        <v>2735</v>
      </c>
      <c r="G2049" s="10">
        <v>220</v>
      </c>
      <c r="H2049" s="11">
        <v>46184</v>
      </c>
      <c r="I2049" s="10" t="s">
        <v>2807</v>
      </c>
      <c r="J2049" s="12" t="str">
        <f>IF(OR(TED[[#This Row],[SITUACAO]]=1,TED[[#This Row],[SITUACAO]]=9,TED[[#This Row],[SITUACAO]]=18),"ATIVO","AFASTADO")</f>
        <v>ATIVO</v>
      </c>
      <c r="K2049" s="12">
        <v>1</v>
      </c>
    </row>
    <row r="2050" spans="1:11" x14ac:dyDescent="0.25">
      <c r="A2050" s="10">
        <v>43465</v>
      </c>
      <c r="B2050" s="9" t="s">
        <v>2512</v>
      </c>
      <c r="C2050" s="12" t="str">
        <f>IFERROR(VLOOKUP(TED[[#This Row],[CENTRO]],'CENTRO DE CUSTO'!B:E,4,FALSE)," ")</f>
        <v xml:space="preserve"> </v>
      </c>
      <c r="D2050" s="12">
        <v>295</v>
      </c>
      <c r="E2050" s="16">
        <v>295000</v>
      </c>
      <c r="F2050" s="10" t="s">
        <v>2735</v>
      </c>
      <c r="G2050" s="10">
        <v>220</v>
      </c>
      <c r="H2050" s="11">
        <v>46048</v>
      </c>
      <c r="I2050" s="10" t="s">
        <v>2807</v>
      </c>
      <c r="J2050" s="12" t="str">
        <f>IF(OR(TED[[#This Row],[SITUACAO]]=1,TED[[#This Row],[SITUACAO]]=9,TED[[#This Row],[SITUACAO]]=18),"ATIVO","AFASTADO")</f>
        <v>ATIVO</v>
      </c>
      <c r="K2050" s="12">
        <v>1</v>
      </c>
    </row>
    <row r="2051" spans="1:11" x14ac:dyDescent="0.25">
      <c r="A2051" s="10">
        <v>44765</v>
      </c>
      <c r="B2051" s="9" t="s">
        <v>2513</v>
      </c>
      <c r="C2051" s="12" t="str">
        <f>IFERROR(VLOOKUP(TED[[#This Row],[CENTRO]],'CENTRO DE CUSTO'!B:E,4,FALSE)," ")</f>
        <v xml:space="preserve"> </v>
      </c>
      <c r="D2051" s="12">
        <v>295</v>
      </c>
      <c r="E2051" s="16">
        <v>295004</v>
      </c>
      <c r="F2051" s="10" t="s">
        <v>2721</v>
      </c>
      <c r="G2051" s="10">
        <v>220</v>
      </c>
      <c r="H2051" s="11">
        <v>46108</v>
      </c>
      <c r="I2051" s="10" t="s">
        <v>2807</v>
      </c>
      <c r="J2051" s="12" t="str">
        <f>IF(OR(TED[[#This Row],[SITUACAO]]=1,TED[[#This Row],[SITUACAO]]=9,TED[[#This Row],[SITUACAO]]=18),"ATIVO","AFASTADO")</f>
        <v>ATIVO</v>
      </c>
      <c r="K2051" s="12">
        <v>1</v>
      </c>
    </row>
    <row r="2052" spans="1:11" x14ac:dyDescent="0.25">
      <c r="A2052" s="10">
        <v>43369</v>
      </c>
      <c r="B2052" s="9" t="s">
        <v>2514</v>
      </c>
      <c r="C2052" s="12" t="str">
        <f>IFERROR(VLOOKUP(TED[[#This Row],[CENTRO]],'CENTRO DE CUSTO'!B:E,4,FALSE)," ")</f>
        <v xml:space="preserve"> </v>
      </c>
      <c r="D2052" s="12">
        <v>295</v>
      </c>
      <c r="E2052" s="16">
        <v>295009</v>
      </c>
      <c r="F2052" s="10" t="s">
        <v>2729</v>
      </c>
      <c r="G2052" s="10">
        <v>220</v>
      </c>
      <c r="H2052" s="11">
        <v>46048</v>
      </c>
      <c r="I2052" s="10" t="s">
        <v>2807</v>
      </c>
      <c r="J2052" s="12" t="str">
        <f>IF(OR(TED[[#This Row],[SITUACAO]]=1,TED[[#This Row],[SITUACAO]]=9,TED[[#This Row],[SITUACAO]]=18),"ATIVO","AFASTADO")</f>
        <v>ATIVO</v>
      </c>
      <c r="K2052" s="12">
        <v>1</v>
      </c>
    </row>
    <row r="2053" spans="1:11" x14ac:dyDescent="0.25">
      <c r="A2053" s="10">
        <v>43419</v>
      </c>
      <c r="B2053" s="9" t="s">
        <v>2515</v>
      </c>
      <c r="C2053" s="12" t="str">
        <f>IFERROR(VLOOKUP(TED[[#This Row],[CENTRO]],'CENTRO DE CUSTO'!B:E,4,FALSE)," ")</f>
        <v xml:space="preserve"> </v>
      </c>
      <c r="D2053" s="12">
        <v>295</v>
      </c>
      <c r="E2053" s="16">
        <v>295010</v>
      </c>
      <c r="F2053" s="10" t="s">
        <v>2730</v>
      </c>
      <c r="G2053" s="10">
        <v>220</v>
      </c>
      <c r="H2053" s="11">
        <v>46048</v>
      </c>
      <c r="I2053" s="10" t="s">
        <v>2807</v>
      </c>
      <c r="J2053" s="12" t="str">
        <f>IF(OR(TED[[#This Row],[SITUACAO]]=1,TED[[#This Row],[SITUACAO]]=9,TED[[#This Row],[SITUACAO]]=18),"ATIVO","AFASTADO")</f>
        <v>ATIVO</v>
      </c>
      <c r="K2053" s="12">
        <v>1</v>
      </c>
    </row>
    <row r="2054" spans="1:11" x14ac:dyDescent="0.25">
      <c r="A2054" s="10">
        <v>43557</v>
      </c>
      <c r="B2054" s="9" t="s">
        <v>2516</v>
      </c>
      <c r="C2054" s="12" t="str">
        <f>IFERROR(VLOOKUP(TED[[#This Row],[CENTRO]],'CENTRO DE CUSTO'!B:E,4,FALSE)," ")</f>
        <v xml:space="preserve"> </v>
      </c>
      <c r="D2054" s="12">
        <v>295</v>
      </c>
      <c r="E2054" s="16">
        <v>295029</v>
      </c>
      <c r="F2054" s="10" t="s">
        <v>2743</v>
      </c>
      <c r="G2054" s="10">
        <v>220</v>
      </c>
      <c r="H2054" s="11">
        <v>46052</v>
      </c>
      <c r="I2054" s="10" t="s">
        <v>2807</v>
      </c>
      <c r="J2054" s="12" t="str">
        <f>IF(OR(TED[[#This Row],[SITUACAO]]=1,TED[[#This Row],[SITUACAO]]=9,TED[[#This Row],[SITUACAO]]=18),"ATIVO","AFASTADO")</f>
        <v>ATIVO</v>
      </c>
      <c r="K2054" s="12">
        <v>1</v>
      </c>
    </row>
    <row r="2055" spans="1:11" x14ac:dyDescent="0.25">
      <c r="A2055" s="10">
        <v>43396</v>
      </c>
      <c r="B2055" s="9" t="s">
        <v>2517</v>
      </c>
      <c r="C2055" s="12" t="str">
        <f>IFERROR(VLOOKUP(TED[[#This Row],[CENTRO]],'CENTRO DE CUSTO'!B:E,4,FALSE)," ")</f>
        <v xml:space="preserve"> </v>
      </c>
      <c r="D2055" s="12">
        <v>295</v>
      </c>
      <c r="E2055" s="16">
        <v>295006</v>
      </c>
      <c r="F2055" s="10" t="s">
        <v>2736</v>
      </c>
      <c r="G2055" s="10">
        <v>220</v>
      </c>
      <c r="H2055" s="11">
        <v>46048</v>
      </c>
      <c r="I2055" s="10" t="s">
        <v>2807</v>
      </c>
      <c r="J2055" s="12" t="str">
        <f>IF(OR(TED[[#This Row],[SITUACAO]]=1,TED[[#This Row],[SITUACAO]]=9,TED[[#This Row],[SITUACAO]]=18),"ATIVO","AFASTADO")</f>
        <v>ATIVO</v>
      </c>
      <c r="K2055" s="12">
        <v>1</v>
      </c>
    </row>
    <row r="2056" spans="1:11" x14ac:dyDescent="0.25">
      <c r="A2056" s="10">
        <v>43634</v>
      </c>
      <c r="B2056" s="9" t="s">
        <v>2518</v>
      </c>
      <c r="C2056" s="12" t="str">
        <f>IFERROR(VLOOKUP(TED[[#This Row],[CENTRO]],'CENTRO DE CUSTO'!B:E,4,FALSE)," ")</f>
        <v xml:space="preserve"> </v>
      </c>
      <c r="D2056" s="12">
        <v>295</v>
      </c>
      <c r="E2056" s="16">
        <v>295031</v>
      </c>
      <c r="F2056" s="10" t="s">
        <v>2728</v>
      </c>
      <c r="G2056" s="10">
        <v>220</v>
      </c>
      <c r="H2056" s="11">
        <v>46055</v>
      </c>
      <c r="I2056" s="10" t="s">
        <v>2808</v>
      </c>
      <c r="J2056" s="12" t="str">
        <f>IF(OR(TED[[#This Row],[SITUACAO]]=1,TED[[#This Row],[SITUACAO]]=9,TED[[#This Row],[SITUACAO]]=18),"ATIVO","AFASTADO")</f>
        <v>ATIVO</v>
      </c>
      <c r="K2056" s="12">
        <v>1</v>
      </c>
    </row>
    <row r="2057" spans="1:11" x14ac:dyDescent="0.25">
      <c r="A2057" s="10">
        <v>43348</v>
      </c>
      <c r="B2057" s="9" t="s">
        <v>2519</v>
      </c>
      <c r="C2057" s="12" t="str">
        <f>IFERROR(VLOOKUP(TED[[#This Row],[CENTRO]],'CENTRO DE CUSTO'!B:E,4,FALSE)," ")</f>
        <v xml:space="preserve"> </v>
      </c>
      <c r="D2057" s="12">
        <v>295</v>
      </c>
      <c r="E2057" s="16">
        <v>295009</v>
      </c>
      <c r="F2057" s="10" t="s">
        <v>2729</v>
      </c>
      <c r="G2057" s="10">
        <v>220</v>
      </c>
      <c r="H2057" s="11">
        <v>46048</v>
      </c>
      <c r="I2057" s="10" t="s">
        <v>2807</v>
      </c>
      <c r="J2057" s="12" t="str">
        <f>IF(OR(TED[[#This Row],[SITUACAO]]=1,TED[[#This Row],[SITUACAO]]=9,TED[[#This Row],[SITUACAO]]=18),"ATIVO","AFASTADO")</f>
        <v>AFASTADO</v>
      </c>
      <c r="K2057" s="12">
        <v>6</v>
      </c>
    </row>
    <row r="2058" spans="1:11" x14ac:dyDescent="0.25">
      <c r="A2058" s="10">
        <v>44558</v>
      </c>
      <c r="B2058" s="9" t="s">
        <v>2520</v>
      </c>
      <c r="C2058" s="12" t="str">
        <f>IFERROR(VLOOKUP(TED[[#This Row],[CENTRO]],'CENTRO DE CUSTO'!B:E,4,FALSE)," ")</f>
        <v xml:space="preserve"> </v>
      </c>
      <c r="D2058" s="12">
        <v>295</v>
      </c>
      <c r="E2058" s="16">
        <v>295005</v>
      </c>
      <c r="F2058" s="10" t="s">
        <v>2723</v>
      </c>
      <c r="G2058" s="10">
        <v>220</v>
      </c>
      <c r="H2058" s="11">
        <v>46097</v>
      </c>
      <c r="I2058" s="10" t="s">
        <v>2807</v>
      </c>
      <c r="J2058" s="12" t="str">
        <f>IF(OR(TED[[#This Row],[SITUACAO]]=1,TED[[#This Row],[SITUACAO]]=9,TED[[#This Row],[SITUACAO]]=18),"ATIVO","AFASTADO")</f>
        <v>ATIVO</v>
      </c>
      <c r="K2058" s="12">
        <v>1</v>
      </c>
    </row>
    <row r="2059" spans="1:11" x14ac:dyDescent="0.25">
      <c r="A2059" s="10">
        <v>43407</v>
      </c>
      <c r="B2059" s="9" t="s">
        <v>2521</v>
      </c>
      <c r="C2059" s="12" t="str">
        <f>IFERROR(VLOOKUP(TED[[#This Row],[CENTRO]],'CENTRO DE CUSTO'!B:E,4,FALSE)," ")</f>
        <v xml:space="preserve"> </v>
      </c>
      <c r="D2059" s="12">
        <v>295</v>
      </c>
      <c r="E2059" s="16">
        <v>295011</v>
      </c>
      <c r="F2059" s="10" t="s">
        <v>2733</v>
      </c>
      <c r="G2059" s="10">
        <v>220</v>
      </c>
      <c r="H2059" s="11">
        <v>46048</v>
      </c>
      <c r="I2059" s="10" t="s">
        <v>2807</v>
      </c>
      <c r="J2059" s="12" t="str">
        <f>IF(OR(TED[[#This Row],[SITUACAO]]=1,TED[[#This Row],[SITUACAO]]=9,TED[[#This Row],[SITUACAO]]=18),"ATIVO","AFASTADO")</f>
        <v>ATIVO</v>
      </c>
      <c r="K2059" s="12">
        <v>1</v>
      </c>
    </row>
    <row r="2060" spans="1:11" x14ac:dyDescent="0.25">
      <c r="A2060" s="10">
        <v>45905</v>
      </c>
      <c r="B2060" s="9" t="s">
        <v>2522</v>
      </c>
      <c r="C2060" s="12" t="str">
        <f>IFERROR(VLOOKUP(TED[[#This Row],[CENTRO]],'CENTRO DE CUSTO'!B:E,4,FALSE)," ")</f>
        <v xml:space="preserve"> </v>
      </c>
      <c r="D2060" s="12">
        <v>295</v>
      </c>
      <c r="E2060" s="16">
        <v>295002</v>
      </c>
      <c r="F2060" s="10" t="s">
        <v>2727</v>
      </c>
      <c r="G2060" s="10">
        <v>220</v>
      </c>
      <c r="H2060" s="11">
        <v>46168</v>
      </c>
      <c r="I2060" s="10" t="s">
        <v>2807</v>
      </c>
      <c r="J2060" s="12" t="str">
        <f>IF(OR(TED[[#This Row],[SITUACAO]]=1,TED[[#This Row],[SITUACAO]]=9,TED[[#This Row],[SITUACAO]]=18),"ATIVO","AFASTADO")</f>
        <v>ATIVO</v>
      </c>
      <c r="K2060" s="12">
        <v>1</v>
      </c>
    </row>
    <row r="2061" spans="1:11" x14ac:dyDescent="0.25">
      <c r="A2061" s="10">
        <v>43397</v>
      </c>
      <c r="B2061" s="9" t="s">
        <v>2523</v>
      </c>
      <c r="C2061" s="12" t="str">
        <f>IFERROR(VLOOKUP(TED[[#This Row],[CENTRO]],'CENTRO DE CUSTO'!B:E,4,FALSE)," ")</f>
        <v xml:space="preserve"> </v>
      </c>
      <c r="D2061" s="12">
        <v>295</v>
      </c>
      <c r="E2061" s="16">
        <v>295002</v>
      </c>
      <c r="F2061" s="10" t="s">
        <v>2727</v>
      </c>
      <c r="G2061" s="10">
        <v>220</v>
      </c>
      <c r="H2061" s="11">
        <v>46048</v>
      </c>
      <c r="I2061" s="10" t="s">
        <v>2807</v>
      </c>
      <c r="J2061" s="12" t="str">
        <f>IF(OR(TED[[#This Row],[SITUACAO]]=1,TED[[#This Row],[SITUACAO]]=9,TED[[#This Row],[SITUACAO]]=18),"ATIVO","AFASTADO")</f>
        <v>ATIVO</v>
      </c>
      <c r="K2061" s="12">
        <v>1</v>
      </c>
    </row>
    <row r="2062" spans="1:11" x14ac:dyDescent="0.25">
      <c r="A2062" s="10">
        <v>44052</v>
      </c>
      <c r="B2062" s="9" t="s">
        <v>2524</v>
      </c>
      <c r="C2062" s="12" t="str">
        <f>IFERROR(VLOOKUP(TED[[#This Row],[CENTRO]],'CENTRO DE CUSTO'!B:E,4,FALSE)," ")</f>
        <v xml:space="preserve"> </v>
      </c>
      <c r="D2062" s="12">
        <v>295</v>
      </c>
      <c r="E2062" s="16">
        <v>295016</v>
      </c>
      <c r="F2062" s="10" t="s">
        <v>2742</v>
      </c>
      <c r="G2062" s="10">
        <v>220</v>
      </c>
      <c r="H2062" s="11">
        <v>46072</v>
      </c>
      <c r="I2062" s="10" t="s">
        <v>2807</v>
      </c>
      <c r="J2062" s="12" t="str">
        <f>IF(OR(TED[[#This Row],[SITUACAO]]=1,TED[[#This Row],[SITUACAO]]=9,TED[[#This Row],[SITUACAO]]=18),"ATIVO","AFASTADO")</f>
        <v>ATIVO</v>
      </c>
      <c r="K2062" s="12">
        <v>1</v>
      </c>
    </row>
    <row r="2063" spans="1:11" x14ac:dyDescent="0.25">
      <c r="A2063" s="10">
        <v>43385</v>
      </c>
      <c r="B2063" s="9" t="s">
        <v>2525</v>
      </c>
      <c r="C2063" s="12" t="str">
        <f>IFERROR(VLOOKUP(TED[[#This Row],[CENTRO]],'CENTRO DE CUSTO'!B:E,4,FALSE)," ")</f>
        <v xml:space="preserve"> </v>
      </c>
      <c r="D2063" s="12">
        <v>295</v>
      </c>
      <c r="E2063" s="16">
        <v>295004</v>
      </c>
      <c r="F2063" s="10" t="s">
        <v>2721</v>
      </c>
      <c r="G2063" s="10">
        <v>220</v>
      </c>
      <c r="H2063" s="11">
        <v>46048</v>
      </c>
      <c r="I2063" s="10" t="s">
        <v>2807</v>
      </c>
      <c r="J2063" s="12" t="str">
        <f>IF(OR(TED[[#This Row],[SITUACAO]]=1,TED[[#This Row],[SITUACAO]]=9,TED[[#This Row],[SITUACAO]]=18),"ATIVO","AFASTADO")</f>
        <v>ATIVO</v>
      </c>
      <c r="K2063" s="12">
        <v>1</v>
      </c>
    </row>
    <row r="2064" spans="1:11" x14ac:dyDescent="0.25">
      <c r="A2064" s="10">
        <v>43564</v>
      </c>
      <c r="B2064" s="9" t="s">
        <v>2526</v>
      </c>
      <c r="C2064" s="12" t="str">
        <f>IFERROR(VLOOKUP(TED[[#This Row],[CENTRO]],'CENTRO DE CUSTO'!B:E,4,FALSE)," ")</f>
        <v xml:space="preserve"> </v>
      </c>
      <c r="D2064" s="12">
        <v>295</v>
      </c>
      <c r="E2064" s="16">
        <v>295005</v>
      </c>
      <c r="F2064" s="10" t="s">
        <v>2723</v>
      </c>
      <c r="G2064" s="10">
        <v>220</v>
      </c>
      <c r="H2064" s="11">
        <v>46052</v>
      </c>
      <c r="I2064" s="10" t="s">
        <v>2807</v>
      </c>
      <c r="J2064" s="12" t="str">
        <f>IF(OR(TED[[#This Row],[SITUACAO]]=1,TED[[#This Row],[SITUACAO]]=9,TED[[#This Row],[SITUACAO]]=18),"ATIVO","AFASTADO")</f>
        <v>ATIVO</v>
      </c>
      <c r="K2064" s="12">
        <v>1</v>
      </c>
    </row>
    <row r="2065" spans="1:11" x14ac:dyDescent="0.25">
      <c r="A2065" s="10">
        <v>43408</v>
      </c>
      <c r="B2065" s="9" t="s">
        <v>2527</v>
      </c>
      <c r="C2065" s="12" t="str">
        <f>IFERROR(VLOOKUP(TED[[#This Row],[CENTRO]],'CENTRO DE CUSTO'!B:E,4,FALSE)," ")</f>
        <v xml:space="preserve"> </v>
      </c>
      <c r="D2065" s="12">
        <v>295</v>
      </c>
      <c r="E2065" s="16">
        <v>295005</v>
      </c>
      <c r="F2065" s="10" t="s">
        <v>2723</v>
      </c>
      <c r="G2065" s="10">
        <v>220</v>
      </c>
      <c r="H2065" s="11">
        <v>46048</v>
      </c>
      <c r="I2065" s="10" t="s">
        <v>2807</v>
      </c>
      <c r="J2065" s="12" t="str">
        <f>IF(OR(TED[[#This Row],[SITUACAO]]=1,TED[[#This Row],[SITUACAO]]=9,TED[[#This Row],[SITUACAO]]=18),"ATIVO","AFASTADO")</f>
        <v>ATIVO</v>
      </c>
      <c r="K2065" s="12">
        <v>1</v>
      </c>
    </row>
    <row r="2066" spans="1:11" x14ac:dyDescent="0.25">
      <c r="A2066" s="10">
        <v>45537</v>
      </c>
      <c r="B2066" s="9" t="s">
        <v>2528</v>
      </c>
      <c r="C2066" s="12" t="str">
        <f>IFERROR(VLOOKUP(TED[[#This Row],[CENTRO]],'CENTRO DE CUSTO'!B:E,4,FALSE)," ")</f>
        <v xml:space="preserve"> </v>
      </c>
      <c r="D2066" s="12">
        <v>295</v>
      </c>
      <c r="E2066" s="16">
        <v>295014</v>
      </c>
      <c r="F2066" s="10" t="s">
        <v>2744</v>
      </c>
      <c r="G2066" s="10">
        <v>220</v>
      </c>
      <c r="H2066" s="11">
        <v>46153</v>
      </c>
      <c r="I2066" s="10" t="s">
        <v>2807</v>
      </c>
      <c r="J2066" s="12" t="str">
        <f>IF(OR(TED[[#This Row],[SITUACAO]]=1,TED[[#This Row],[SITUACAO]]=9,TED[[#This Row],[SITUACAO]]=18),"ATIVO","AFASTADO")</f>
        <v>ATIVO</v>
      </c>
      <c r="K2066" s="12">
        <v>1</v>
      </c>
    </row>
    <row r="2067" spans="1:11" x14ac:dyDescent="0.25">
      <c r="A2067" s="10">
        <v>44788</v>
      </c>
      <c r="B2067" s="9" t="s">
        <v>2529</v>
      </c>
      <c r="C2067" s="12" t="str">
        <f>IFERROR(VLOOKUP(TED[[#This Row],[CENTRO]],'CENTRO DE CUSTO'!B:E,4,FALSE)," ")</f>
        <v xml:space="preserve"> </v>
      </c>
      <c r="D2067" s="12">
        <v>295</v>
      </c>
      <c r="E2067" s="16">
        <v>295026</v>
      </c>
      <c r="F2067" s="10" t="s">
        <v>2738</v>
      </c>
      <c r="G2067" s="10">
        <v>220</v>
      </c>
      <c r="H2067" s="11">
        <v>46111</v>
      </c>
      <c r="I2067" s="10" t="s">
        <v>2807</v>
      </c>
      <c r="J2067" s="12" t="str">
        <f>IF(OR(TED[[#This Row],[SITUACAO]]=1,TED[[#This Row],[SITUACAO]]=9,TED[[#This Row],[SITUACAO]]=18),"ATIVO","AFASTADO")</f>
        <v>ATIVO</v>
      </c>
      <c r="K2067" s="12">
        <v>1</v>
      </c>
    </row>
    <row r="2068" spans="1:11" x14ac:dyDescent="0.25">
      <c r="A2068" s="10">
        <v>45627</v>
      </c>
      <c r="B2068" s="9" t="s">
        <v>2530</v>
      </c>
      <c r="C2068" s="12" t="str">
        <f>IFERROR(VLOOKUP(TED[[#This Row],[CENTRO]],'CENTRO DE CUSTO'!B:E,4,FALSE)," ")</f>
        <v xml:space="preserve"> </v>
      </c>
      <c r="D2068" s="12">
        <v>295</v>
      </c>
      <c r="E2068" s="16">
        <v>295002</v>
      </c>
      <c r="F2068" s="10" t="s">
        <v>2727</v>
      </c>
      <c r="G2068" s="10">
        <v>220</v>
      </c>
      <c r="H2068" s="11">
        <v>46156</v>
      </c>
      <c r="I2068" s="10" t="s">
        <v>2807</v>
      </c>
      <c r="J2068" s="12" t="str">
        <f>IF(OR(TED[[#This Row],[SITUACAO]]=1,TED[[#This Row],[SITUACAO]]=9,TED[[#This Row],[SITUACAO]]=18),"ATIVO","AFASTADO")</f>
        <v>ATIVO</v>
      </c>
      <c r="K2068" s="12">
        <v>1</v>
      </c>
    </row>
    <row r="2069" spans="1:11" x14ac:dyDescent="0.25">
      <c r="A2069" s="10">
        <v>44380</v>
      </c>
      <c r="B2069" s="9" t="s">
        <v>2531</v>
      </c>
      <c r="C2069" s="12" t="str">
        <f>IFERROR(VLOOKUP(TED[[#This Row],[CENTRO]],'CENTRO DE CUSTO'!B:E,4,FALSE)," ")</f>
        <v xml:space="preserve"> </v>
      </c>
      <c r="D2069" s="12">
        <v>295</v>
      </c>
      <c r="E2069" s="16">
        <v>295000</v>
      </c>
      <c r="F2069" s="10" t="s">
        <v>2735</v>
      </c>
      <c r="G2069" s="10">
        <v>220</v>
      </c>
      <c r="H2069" s="11">
        <v>46086</v>
      </c>
      <c r="I2069" s="10" t="s">
        <v>2807</v>
      </c>
      <c r="J2069" s="12" t="str">
        <f>IF(OR(TED[[#This Row],[SITUACAO]]=1,TED[[#This Row],[SITUACAO]]=9,TED[[#This Row],[SITUACAO]]=18),"ATIVO","AFASTADO")</f>
        <v>ATIVO</v>
      </c>
      <c r="K2069" s="12">
        <v>1</v>
      </c>
    </row>
    <row r="2070" spans="1:11" x14ac:dyDescent="0.25">
      <c r="A2070" s="10">
        <v>44523</v>
      </c>
      <c r="B2070" s="9" t="s">
        <v>2532</v>
      </c>
      <c r="C2070" s="12" t="str">
        <f>IFERROR(VLOOKUP(TED[[#This Row],[CENTRO]],'CENTRO DE CUSTO'!B:E,4,FALSE)," ")</f>
        <v xml:space="preserve"> </v>
      </c>
      <c r="D2070" s="12">
        <v>295</v>
      </c>
      <c r="E2070" s="16">
        <v>295028</v>
      </c>
      <c r="F2070" s="10" t="s">
        <v>2745</v>
      </c>
      <c r="G2070" s="10">
        <v>220</v>
      </c>
      <c r="H2070" s="11">
        <v>46097</v>
      </c>
      <c r="I2070" s="10" t="s">
        <v>2807</v>
      </c>
      <c r="J2070" s="12" t="str">
        <f>IF(OR(TED[[#This Row],[SITUACAO]]=1,TED[[#This Row],[SITUACAO]]=9,TED[[#This Row],[SITUACAO]]=18),"ATIVO","AFASTADO")</f>
        <v>ATIVO</v>
      </c>
      <c r="K2070" s="12">
        <v>1</v>
      </c>
    </row>
    <row r="2071" spans="1:11" x14ac:dyDescent="0.25">
      <c r="A2071" s="10">
        <v>43472</v>
      </c>
      <c r="B2071" s="9" t="s">
        <v>2533</v>
      </c>
      <c r="C2071" s="12" t="str">
        <f>IFERROR(VLOOKUP(TED[[#This Row],[CENTRO]],'CENTRO DE CUSTO'!B:E,4,FALSE)," ")</f>
        <v xml:space="preserve"> </v>
      </c>
      <c r="D2071" s="12">
        <v>295</v>
      </c>
      <c r="E2071" s="16">
        <v>295006</v>
      </c>
      <c r="F2071" s="10" t="s">
        <v>2736</v>
      </c>
      <c r="G2071" s="10">
        <v>220</v>
      </c>
      <c r="H2071" s="11">
        <v>46048</v>
      </c>
      <c r="I2071" s="10" t="s">
        <v>2807</v>
      </c>
      <c r="J2071" s="12" t="str">
        <f>IF(OR(TED[[#This Row],[SITUACAO]]=1,TED[[#This Row],[SITUACAO]]=9,TED[[#This Row],[SITUACAO]]=18),"ATIVO","AFASTADO")</f>
        <v>ATIVO</v>
      </c>
      <c r="K2071" s="12">
        <v>1</v>
      </c>
    </row>
    <row r="2072" spans="1:11" x14ac:dyDescent="0.25">
      <c r="A2072" s="10">
        <v>45659</v>
      </c>
      <c r="B2072" s="9" t="s">
        <v>2534</v>
      </c>
      <c r="C2072" s="12" t="str">
        <f>IFERROR(VLOOKUP(TED[[#This Row],[CENTRO]],'CENTRO DE CUSTO'!B:E,4,FALSE)," ")</f>
        <v xml:space="preserve"> </v>
      </c>
      <c r="D2072" s="12">
        <v>295</v>
      </c>
      <c r="E2072" s="16">
        <v>295011</v>
      </c>
      <c r="F2072" s="10" t="s">
        <v>2733</v>
      </c>
      <c r="G2072" s="10">
        <v>220</v>
      </c>
      <c r="H2072" s="11">
        <v>46157</v>
      </c>
      <c r="I2072" s="10" t="s">
        <v>2807</v>
      </c>
      <c r="J2072" s="12" t="str">
        <f>IF(OR(TED[[#This Row],[SITUACAO]]=1,TED[[#This Row],[SITUACAO]]=9,TED[[#This Row],[SITUACAO]]=18),"ATIVO","AFASTADO")</f>
        <v>ATIVO</v>
      </c>
      <c r="K2072" s="12">
        <v>1</v>
      </c>
    </row>
    <row r="2073" spans="1:11" x14ac:dyDescent="0.25">
      <c r="A2073" s="10">
        <v>43450</v>
      </c>
      <c r="B2073" s="9" t="s">
        <v>2535</v>
      </c>
      <c r="C2073" s="12" t="str">
        <f>IFERROR(VLOOKUP(TED[[#This Row],[CENTRO]],'CENTRO DE CUSTO'!B:E,4,FALSE)," ")</f>
        <v xml:space="preserve"> </v>
      </c>
      <c r="D2073" s="12">
        <v>295</v>
      </c>
      <c r="E2073" s="16">
        <v>295004</v>
      </c>
      <c r="F2073" s="10" t="s">
        <v>2721</v>
      </c>
      <c r="G2073" s="10">
        <v>220</v>
      </c>
      <c r="H2073" s="11">
        <v>46048</v>
      </c>
      <c r="I2073" s="10" t="s">
        <v>2807</v>
      </c>
      <c r="J2073" s="12" t="str">
        <f>IF(OR(TED[[#This Row],[SITUACAO]]=1,TED[[#This Row],[SITUACAO]]=9,TED[[#This Row],[SITUACAO]]=18),"ATIVO","AFASTADO")</f>
        <v>ATIVO</v>
      </c>
      <c r="K2073" s="12">
        <v>1</v>
      </c>
    </row>
    <row r="2074" spans="1:11" x14ac:dyDescent="0.25">
      <c r="A2074" s="10">
        <v>43429</v>
      </c>
      <c r="B2074" s="9" t="s">
        <v>2536</v>
      </c>
      <c r="C2074" s="12" t="str">
        <f>IFERROR(VLOOKUP(TED[[#This Row],[CENTRO]],'CENTRO DE CUSTO'!B:E,4,FALSE)," ")</f>
        <v xml:space="preserve"> </v>
      </c>
      <c r="D2074" s="12">
        <v>295</v>
      </c>
      <c r="E2074" s="16">
        <v>295006</v>
      </c>
      <c r="F2074" s="10" t="s">
        <v>2736</v>
      </c>
      <c r="G2074" s="10">
        <v>220</v>
      </c>
      <c r="H2074" s="11">
        <v>46048</v>
      </c>
      <c r="I2074" s="10" t="s">
        <v>2807</v>
      </c>
      <c r="J2074" s="12" t="str">
        <f>IF(OR(TED[[#This Row],[SITUACAO]]=1,TED[[#This Row],[SITUACAO]]=9,TED[[#This Row],[SITUACAO]]=18),"ATIVO","AFASTADO")</f>
        <v>ATIVO</v>
      </c>
      <c r="K2074" s="12">
        <v>1</v>
      </c>
    </row>
    <row r="2075" spans="1:11" x14ac:dyDescent="0.25">
      <c r="A2075" s="10">
        <v>43345</v>
      </c>
      <c r="B2075" s="9" t="s">
        <v>2537</v>
      </c>
      <c r="C2075" s="12" t="str">
        <f>IFERROR(VLOOKUP(TED[[#This Row],[CENTRO]],'CENTRO DE CUSTO'!B:E,4,FALSE)," ")</f>
        <v xml:space="preserve"> </v>
      </c>
      <c r="D2075" s="12">
        <v>295</v>
      </c>
      <c r="E2075" s="16">
        <v>295003</v>
      </c>
      <c r="F2075" s="10" t="s">
        <v>2725</v>
      </c>
      <c r="G2075" s="10">
        <v>220</v>
      </c>
      <c r="H2075" s="11">
        <v>46048</v>
      </c>
      <c r="I2075" s="10" t="s">
        <v>2807</v>
      </c>
      <c r="J2075" s="12" t="str">
        <f>IF(OR(TED[[#This Row],[SITUACAO]]=1,TED[[#This Row],[SITUACAO]]=9,TED[[#This Row],[SITUACAO]]=18),"ATIVO","AFASTADO")</f>
        <v>ATIVO</v>
      </c>
      <c r="K2075" s="12">
        <v>1</v>
      </c>
    </row>
    <row r="2076" spans="1:11" x14ac:dyDescent="0.25">
      <c r="A2076" s="10">
        <v>42059</v>
      </c>
      <c r="B2076" s="9" t="s">
        <v>2538</v>
      </c>
      <c r="C2076" s="12" t="str">
        <f>IFERROR(VLOOKUP(TED[[#This Row],[CENTRO]],'CENTRO DE CUSTO'!B:E,4,FALSE)," ")</f>
        <v xml:space="preserve"> </v>
      </c>
      <c r="D2076" s="12">
        <v>295</v>
      </c>
      <c r="E2076" s="16">
        <v>295024</v>
      </c>
      <c r="F2076" s="10" t="s">
        <v>2739</v>
      </c>
      <c r="G2076" s="10">
        <v>220</v>
      </c>
      <c r="H2076" s="11">
        <v>45971</v>
      </c>
      <c r="I2076" s="10" t="s">
        <v>2807</v>
      </c>
      <c r="J2076" s="12" t="str">
        <f>IF(OR(TED[[#This Row],[SITUACAO]]=1,TED[[#This Row],[SITUACAO]]=9,TED[[#This Row],[SITUACAO]]=18),"ATIVO","AFASTADO")</f>
        <v>ATIVO</v>
      </c>
      <c r="K2076" s="12">
        <v>1</v>
      </c>
    </row>
    <row r="2077" spans="1:11" x14ac:dyDescent="0.25">
      <c r="A2077" s="10">
        <v>44988</v>
      </c>
      <c r="B2077" s="9" t="s">
        <v>2539</v>
      </c>
      <c r="C2077" s="12" t="str">
        <f>IFERROR(VLOOKUP(TED[[#This Row],[CENTRO]],'CENTRO DE CUSTO'!B:E,4,FALSE)," ")</f>
        <v xml:space="preserve"> </v>
      </c>
      <c r="D2077" s="12">
        <v>295</v>
      </c>
      <c r="E2077" s="16">
        <v>295019</v>
      </c>
      <c r="F2077" s="10" t="s">
        <v>2732</v>
      </c>
      <c r="G2077" s="10">
        <v>220</v>
      </c>
      <c r="H2077" s="11">
        <v>46119</v>
      </c>
      <c r="I2077" s="10" t="s">
        <v>2807</v>
      </c>
      <c r="J2077" s="12" t="str">
        <f>IF(OR(TED[[#This Row],[SITUACAO]]=1,TED[[#This Row],[SITUACAO]]=9,TED[[#This Row],[SITUACAO]]=18),"ATIVO","AFASTADO")</f>
        <v>ATIVO</v>
      </c>
      <c r="K2077" s="12">
        <v>1</v>
      </c>
    </row>
    <row r="2078" spans="1:11" x14ac:dyDescent="0.25">
      <c r="A2078" s="10">
        <v>46315</v>
      </c>
      <c r="B2078" s="9" t="s">
        <v>2540</v>
      </c>
      <c r="C2078" s="12" t="str">
        <f>IFERROR(VLOOKUP(TED[[#This Row],[CENTRO]],'CENTRO DE CUSTO'!B:E,4,FALSE)," ")</f>
        <v xml:space="preserve"> </v>
      </c>
      <c r="D2078" s="12">
        <v>295</v>
      </c>
      <c r="E2078" s="16">
        <v>295027</v>
      </c>
      <c r="F2078" s="10" t="s">
        <v>2746</v>
      </c>
      <c r="G2078" s="10">
        <v>220</v>
      </c>
      <c r="H2078" s="11">
        <v>46190</v>
      </c>
      <c r="I2078" s="10" t="s">
        <v>2807</v>
      </c>
      <c r="J2078" s="12" t="str">
        <f>IF(OR(TED[[#This Row],[SITUACAO]]=1,TED[[#This Row],[SITUACAO]]=9,TED[[#This Row],[SITUACAO]]=18),"ATIVO","AFASTADO")</f>
        <v>ATIVO</v>
      </c>
      <c r="K2078" s="12">
        <v>1</v>
      </c>
    </row>
    <row r="2079" spans="1:11" x14ac:dyDescent="0.25">
      <c r="A2079" s="10">
        <v>43481</v>
      </c>
      <c r="B2079" s="9" t="s">
        <v>2541</v>
      </c>
      <c r="C2079" s="12" t="str">
        <f>IFERROR(VLOOKUP(TED[[#This Row],[CENTRO]],'CENTRO DE CUSTO'!B:E,4,FALSE)," ")</f>
        <v xml:space="preserve"> </v>
      </c>
      <c r="D2079" s="12">
        <v>295</v>
      </c>
      <c r="E2079" s="16">
        <v>295009</v>
      </c>
      <c r="F2079" s="10" t="s">
        <v>2729</v>
      </c>
      <c r="G2079" s="10">
        <v>220</v>
      </c>
      <c r="H2079" s="11">
        <v>46049</v>
      </c>
      <c r="I2079" s="10" t="s">
        <v>2807</v>
      </c>
      <c r="J2079" s="12" t="str">
        <f>IF(OR(TED[[#This Row],[SITUACAO]]=1,TED[[#This Row],[SITUACAO]]=9,TED[[#This Row],[SITUACAO]]=18),"ATIVO","AFASTADO")</f>
        <v>ATIVO</v>
      </c>
      <c r="K2079" s="12">
        <v>1</v>
      </c>
    </row>
    <row r="2080" spans="1:11" x14ac:dyDescent="0.25">
      <c r="A2080" s="10">
        <v>43786</v>
      </c>
      <c r="B2080" s="9" t="s">
        <v>2542</v>
      </c>
      <c r="C2080" s="12" t="str">
        <f>IFERROR(VLOOKUP(TED[[#This Row],[CENTRO]],'CENTRO DE CUSTO'!B:E,4,FALSE)," ")</f>
        <v xml:space="preserve"> </v>
      </c>
      <c r="D2080" s="12">
        <v>295</v>
      </c>
      <c r="E2080" s="16">
        <v>295004</v>
      </c>
      <c r="F2080" s="10" t="s">
        <v>2721</v>
      </c>
      <c r="G2080" s="10">
        <v>220</v>
      </c>
      <c r="H2080" s="11">
        <v>46058</v>
      </c>
      <c r="I2080" s="10" t="s">
        <v>2807</v>
      </c>
      <c r="J2080" s="12" t="str">
        <f>IF(OR(TED[[#This Row],[SITUACAO]]=1,TED[[#This Row],[SITUACAO]]=9,TED[[#This Row],[SITUACAO]]=18),"ATIVO","AFASTADO")</f>
        <v>ATIVO</v>
      </c>
      <c r="K2080" s="12">
        <v>1</v>
      </c>
    </row>
    <row r="2081" spans="1:11" x14ac:dyDescent="0.25">
      <c r="A2081" s="10">
        <v>44668</v>
      </c>
      <c r="B2081" s="9" t="s">
        <v>2543</v>
      </c>
      <c r="C2081" s="12" t="str">
        <f>IFERROR(VLOOKUP(TED[[#This Row],[CENTRO]],'CENTRO DE CUSTO'!B:E,4,FALSE)," ")</f>
        <v xml:space="preserve"> </v>
      </c>
      <c r="D2081" s="12">
        <v>295</v>
      </c>
      <c r="E2081" s="16">
        <v>295007</v>
      </c>
      <c r="F2081" s="10" t="s">
        <v>2722</v>
      </c>
      <c r="G2081" s="10">
        <v>220</v>
      </c>
      <c r="H2081" s="11">
        <v>46101</v>
      </c>
      <c r="I2081" s="10" t="s">
        <v>2807</v>
      </c>
      <c r="J2081" s="12" t="str">
        <f>IF(OR(TED[[#This Row],[SITUACAO]]=1,TED[[#This Row],[SITUACAO]]=9,TED[[#This Row],[SITUACAO]]=18),"ATIVO","AFASTADO")</f>
        <v>ATIVO</v>
      </c>
      <c r="K2081" s="12">
        <v>1</v>
      </c>
    </row>
    <row r="2082" spans="1:11" x14ac:dyDescent="0.25">
      <c r="A2082" s="10">
        <v>42035</v>
      </c>
      <c r="B2082" s="9" t="s">
        <v>2544</v>
      </c>
      <c r="C2082" s="12" t="str">
        <f>IFERROR(VLOOKUP(TED[[#This Row],[CENTRO]],'CENTRO DE CUSTO'!B:E,4,FALSE)," ")</f>
        <v xml:space="preserve"> </v>
      </c>
      <c r="D2082" s="12">
        <v>295</v>
      </c>
      <c r="E2082" s="16">
        <v>295031</v>
      </c>
      <c r="F2082" s="10" t="s">
        <v>2728</v>
      </c>
      <c r="G2082" s="10">
        <v>220</v>
      </c>
      <c r="H2082" s="11">
        <v>45971</v>
      </c>
      <c r="I2082" s="10" t="s">
        <v>2808</v>
      </c>
      <c r="J2082" s="12" t="str">
        <f>IF(OR(TED[[#This Row],[SITUACAO]]=1,TED[[#This Row],[SITUACAO]]=9,TED[[#This Row],[SITUACAO]]=18),"ATIVO","AFASTADO")</f>
        <v>ATIVO</v>
      </c>
      <c r="K2082" s="12">
        <v>1</v>
      </c>
    </row>
    <row r="2083" spans="1:11" x14ac:dyDescent="0.25">
      <c r="A2083" s="10">
        <v>43386</v>
      </c>
      <c r="B2083" s="9" t="s">
        <v>2545</v>
      </c>
      <c r="C2083" s="12" t="str">
        <f>IFERROR(VLOOKUP(TED[[#This Row],[CENTRO]],'CENTRO DE CUSTO'!B:E,4,FALSE)," ")</f>
        <v xml:space="preserve"> </v>
      </c>
      <c r="D2083" s="12">
        <v>295</v>
      </c>
      <c r="E2083" s="16">
        <v>295007</v>
      </c>
      <c r="F2083" s="10" t="s">
        <v>2722</v>
      </c>
      <c r="G2083" s="10">
        <v>220</v>
      </c>
      <c r="H2083" s="11">
        <v>46048</v>
      </c>
      <c r="I2083" s="10" t="s">
        <v>2807</v>
      </c>
      <c r="J2083" s="12" t="str">
        <f>IF(OR(TED[[#This Row],[SITUACAO]]=1,TED[[#This Row],[SITUACAO]]=9,TED[[#This Row],[SITUACAO]]=18),"ATIVO","AFASTADO")</f>
        <v>AFASTADO</v>
      </c>
      <c r="K2083" s="12">
        <v>12</v>
      </c>
    </row>
    <row r="2084" spans="1:11" x14ac:dyDescent="0.25">
      <c r="A2084" s="10">
        <v>43722</v>
      </c>
      <c r="B2084" s="9" t="s">
        <v>2546</v>
      </c>
      <c r="C2084" s="12" t="str">
        <f>IFERROR(VLOOKUP(TED[[#This Row],[CENTRO]],'CENTRO DE CUSTO'!B:E,4,FALSE)," ")</f>
        <v xml:space="preserve"> </v>
      </c>
      <c r="D2084" s="12">
        <v>295</v>
      </c>
      <c r="E2084" s="16">
        <v>295001</v>
      </c>
      <c r="F2084" s="10" t="s">
        <v>2731</v>
      </c>
      <c r="G2084" s="10">
        <v>220</v>
      </c>
      <c r="H2084" s="11">
        <v>46057</v>
      </c>
      <c r="I2084" s="10" t="s">
        <v>2807</v>
      </c>
      <c r="J2084" s="12" t="str">
        <f>IF(OR(TED[[#This Row],[SITUACAO]]=1,TED[[#This Row],[SITUACAO]]=9,TED[[#This Row],[SITUACAO]]=18),"ATIVO","AFASTADO")</f>
        <v>ATIVO</v>
      </c>
      <c r="K2084" s="12">
        <v>1</v>
      </c>
    </row>
    <row r="2085" spans="1:11" x14ac:dyDescent="0.25">
      <c r="A2085" s="10">
        <v>43730</v>
      </c>
      <c r="B2085" s="9" t="s">
        <v>2547</v>
      </c>
      <c r="C2085" s="12" t="str">
        <f>IFERROR(VLOOKUP(TED[[#This Row],[CENTRO]],'CENTRO DE CUSTO'!B:E,4,FALSE)," ")</f>
        <v xml:space="preserve"> </v>
      </c>
      <c r="D2085" s="12">
        <v>295</v>
      </c>
      <c r="E2085" s="16">
        <v>295025</v>
      </c>
      <c r="F2085" s="10" t="s">
        <v>2726</v>
      </c>
      <c r="G2085" s="10">
        <v>220</v>
      </c>
      <c r="H2085" s="11">
        <v>46057</v>
      </c>
      <c r="I2085" s="10" t="s">
        <v>2807</v>
      </c>
      <c r="J2085" s="12" t="str">
        <f>IF(OR(TED[[#This Row],[SITUACAO]]=1,TED[[#This Row],[SITUACAO]]=9,TED[[#This Row],[SITUACAO]]=18),"ATIVO","AFASTADO")</f>
        <v>ATIVO</v>
      </c>
      <c r="K2085" s="12">
        <v>1</v>
      </c>
    </row>
    <row r="2086" spans="1:11" x14ac:dyDescent="0.25">
      <c r="A2086" s="10">
        <v>43422</v>
      </c>
      <c r="B2086" s="9" t="s">
        <v>2548</v>
      </c>
      <c r="C2086" s="12" t="str">
        <f>IFERROR(VLOOKUP(TED[[#This Row],[CENTRO]],'CENTRO DE CUSTO'!B:E,4,FALSE)," ")</f>
        <v xml:space="preserve"> </v>
      </c>
      <c r="D2086" s="12">
        <v>295</v>
      </c>
      <c r="E2086" s="16">
        <v>295001</v>
      </c>
      <c r="F2086" s="10" t="s">
        <v>2731</v>
      </c>
      <c r="G2086" s="10">
        <v>220</v>
      </c>
      <c r="H2086" s="11">
        <v>46048</v>
      </c>
      <c r="I2086" s="10" t="s">
        <v>2807</v>
      </c>
      <c r="J2086" s="12" t="str">
        <f>IF(OR(TED[[#This Row],[SITUACAO]]=1,TED[[#This Row],[SITUACAO]]=9,TED[[#This Row],[SITUACAO]]=18),"ATIVO","AFASTADO")</f>
        <v>ATIVO</v>
      </c>
      <c r="K2086" s="12">
        <v>1</v>
      </c>
    </row>
    <row r="2087" spans="1:11" x14ac:dyDescent="0.25">
      <c r="A2087" s="10">
        <v>44649</v>
      </c>
      <c r="B2087" s="9" t="s">
        <v>2549</v>
      </c>
      <c r="C2087" s="12" t="str">
        <f>IFERROR(VLOOKUP(TED[[#This Row],[CENTRO]],'CENTRO DE CUSTO'!B:E,4,FALSE)," ")</f>
        <v xml:space="preserve"> </v>
      </c>
      <c r="D2087" s="12">
        <v>295</v>
      </c>
      <c r="E2087" s="16">
        <v>295022</v>
      </c>
      <c r="F2087" s="10" t="s">
        <v>2740</v>
      </c>
      <c r="G2087" s="10">
        <v>220</v>
      </c>
      <c r="H2087" s="11">
        <v>46100</v>
      </c>
      <c r="I2087" s="10" t="s">
        <v>2807</v>
      </c>
      <c r="J2087" s="12" t="str">
        <f>IF(OR(TED[[#This Row],[SITUACAO]]=1,TED[[#This Row],[SITUACAO]]=9,TED[[#This Row],[SITUACAO]]=18),"ATIVO","AFASTADO")</f>
        <v>ATIVO</v>
      </c>
      <c r="K2087" s="12">
        <v>1</v>
      </c>
    </row>
    <row r="2088" spans="1:11" x14ac:dyDescent="0.25">
      <c r="A2088" s="10">
        <v>43342</v>
      </c>
      <c r="B2088" s="9" t="s">
        <v>2550</v>
      </c>
      <c r="C2088" s="12" t="str">
        <f>IFERROR(VLOOKUP(TED[[#This Row],[CENTRO]],'CENTRO DE CUSTO'!B:E,4,FALSE)," ")</f>
        <v xml:space="preserve"> </v>
      </c>
      <c r="D2088" s="12">
        <v>295</v>
      </c>
      <c r="E2088" s="16">
        <v>295001</v>
      </c>
      <c r="F2088" s="10" t="s">
        <v>2731</v>
      </c>
      <c r="G2088" s="10">
        <v>220</v>
      </c>
      <c r="H2088" s="11">
        <v>46048</v>
      </c>
      <c r="I2088" s="10" t="s">
        <v>2807</v>
      </c>
      <c r="J2088" s="12" t="str">
        <f>IF(OR(TED[[#This Row],[SITUACAO]]=1,TED[[#This Row],[SITUACAO]]=9,TED[[#This Row],[SITUACAO]]=18),"ATIVO","AFASTADO")</f>
        <v>ATIVO</v>
      </c>
      <c r="K2088" s="12">
        <v>1</v>
      </c>
    </row>
    <row r="2089" spans="1:11" x14ac:dyDescent="0.25">
      <c r="A2089" s="10">
        <v>43343</v>
      </c>
      <c r="B2089" s="9" t="s">
        <v>2551</v>
      </c>
      <c r="C2089" s="12" t="str">
        <f>IFERROR(VLOOKUP(TED[[#This Row],[CENTRO]],'CENTRO DE CUSTO'!B:E,4,FALSE)," ")</f>
        <v xml:space="preserve"> </v>
      </c>
      <c r="D2089" s="12">
        <v>295</v>
      </c>
      <c r="E2089" s="16">
        <v>295021</v>
      </c>
      <c r="F2089" s="10" t="s">
        <v>2737</v>
      </c>
      <c r="G2089" s="10">
        <v>220</v>
      </c>
      <c r="H2089" s="11">
        <v>46048</v>
      </c>
      <c r="I2089" s="10" t="s">
        <v>2807</v>
      </c>
      <c r="J2089" s="12" t="str">
        <f>IF(OR(TED[[#This Row],[SITUACAO]]=1,TED[[#This Row],[SITUACAO]]=9,TED[[#This Row],[SITUACAO]]=18),"ATIVO","AFASTADO")</f>
        <v>ATIVO</v>
      </c>
      <c r="K2089" s="12">
        <v>1</v>
      </c>
    </row>
    <row r="2090" spans="1:11" x14ac:dyDescent="0.25">
      <c r="A2090" s="10">
        <v>43388</v>
      </c>
      <c r="B2090" s="9" t="s">
        <v>2552</v>
      </c>
      <c r="C2090" s="12" t="str">
        <f>IFERROR(VLOOKUP(TED[[#This Row],[CENTRO]],'CENTRO DE CUSTO'!B:E,4,FALSE)," ")</f>
        <v xml:space="preserve"> </v>
      </c>
      <c r="D2090" s="12">
        <v>295</v>
      </c>
      <c r="E2090" s="16">
        <v>295002</v>
      </c>
      <c r="F2090" s="10" t="s">
        <v>2727</v>
      </c>
      <c r="G2090" s="10">
        <v>220</v>
      </c>
      <c r="H2090" s="11">
        <v>46048</v>
      </c>
      <c r="I2090" s="10" t="s">
        <v>2807</v>
      </c>
      <c r="J2090" s="12" t="str">
        <f>IF(OR(TED[[#This Row],[SITUACAO]]=1,TED[[#This Row],[SITUACAO]]=9,TED[[#This Row],[SITUACAO]]=18),"ATIVO","AFASTADO")</f>
        <v>ATIVO</v>
      </c>
      <c r="K2090" s="12">
        <v>1</v>
      </c>
    </row>
    <row r="2091" spans="1:11" x14ac:dyDescent="0.25">
      <c r="A2091" s="10">
        <v>43405</v>
      </c>
      <c r="B2091" s="9" t="s">
        <v>2553</v>
      </c>
      <c r="C2091" s="12" t="str">
        <f>IFERROR(VLOOKUP(TED[[#This Row],[CENTRO]],'CENTRO DE CUSTO'!B:E,4,FALSE)," ")</f>
        <v xml:space="preserve"> </v>
      </c>
      <c r="D2091" s="12">
        <v>295</v>
      </c>
      <c r="E2091" s="16">
        <v>295011</v>
      </c>
      <c r="F2091" s="10" t="s">
        <v>2733</v>
      </c>
      <c r="G2091" s="10">
        <v>220</v>
      </c>
      <c r="H2091" s="11">
        <v>46048</v>
      </c>
      <c r="I2091" s="10" t="s">
        <v>2807</v>
      </c>
      <c r="J2091" s="12" t="str">
        <f>IF(OR(TED[[#This Row],[SITUACAO]]=1,TED[[#This Row],[SITUACAO]]=9,TED[[#This Row],[SITUACAO]]=18),"ATIVO","AFASTADO")</f>
        <v>ATIVO</v>
      </c>
      <c r="K2091" s="12">
        <v>1</v>
      </c>
    </row>
    <row r="2092" spans="1:11" x14ac:dyDescent="0.25">
      <c r="A2092" s="10">
        <v>43518</v>
      </c>
      <c r="B2092" s="9" t="s">
        <v>2554</v>
      </c>
      <c r="C2092" s="12" t="str">
        <f>IFERROR(VLOOKUP(TED[[#This Row],[CENTRO]],'CENTRO DE CUSTO'!B:E,4,FALSE)," ")</f>
        <v xml:space="preserve"> </v>
      </c>
      <c r="D2092" s="12">
        <v>295</v>
      </c>
      <c r="E2092" s="16">
        <v>295011</v>
      </c>
      <c r="F2092" s="10" t="s">
        <v>2733</v>
      </c>
      <c r="G2092" s="10">
        <v>220</v>
      </c>
      <c r="H2092" s="11">
        <v>46050</v>
      </c>
      <c r="I2092" s="10" t="s">
        <v>2807</v>
      </c>
      <c r="J2092" s="12" t="str">
        <f>IF(OR(TED[[#This Row],[SITUACAO]]=1,TED[[#This Row],[SITUACAO]]=9,TED[[#This Row],[SITUACAO]]=18),"ATIVO","AFASTADO")</f>
        <v>ATIVO</v>
      </c>
      <c r="K2092" s="12">
        <v>1</v>
      </c>
    </row>
    <row r="2093" spans="1:11" x14ac:dyDescent="0.25">
      <c r="A2093" s="10">
        <v>42150</v>
      </c>
      <c r="B2093" s="9" t="s">
        <v>2555</v>
      </c>
      <c r="C2093" s="12" t="str">
        <f>IFERROR(VLOOKUP(TED[[#This Row],[CENTRO]],'CENTRO DE CUSTO'!B:E,4,FALSE)," ")</f>
        <v xml:space="preserve"> </v>
      </c>
      <c r="D2093" s="12">
        <v>296</v>
      </c>
      <c r="E2093" s="16">
        <v>296037</v>
      </c>
      <c r="F2093" s="10" t="s">
        <v>2747</v>
      </c>
      <c r="G2093" s="10">
        <v>220</v>
      </c>
      <c r="H2093" s="11">
        <v>45978</v>
      </c>
      <c r="I2093" s="10" t="s">
        <v>2809</v>
      </c>
      <c r="J2093" s="12" t="str">
        <f>IF(OR(TED[[#This Row],[SITUACAO]]=1,TED[[#This Row],[SITUACAO]]=9,TED[[#This Row],[SITUACAO]]=18),"ATIVO","AFASTADO")</f>
        <v>ATIVO</v>
      </c>
      <c r="K2093" s="12">
        <v>1</v>
      </c>
    </row>
    <row r="2094" spans="1:11" x14ac:dyDescent="0.25">
      <c r="A2094" s="10">
        <v>42082</v>
      </c>
      <c r="B2094" s="9" t="s">
        <v>2556</v>
      </c>
      <c r="C2094" s="12" t="str">
        <f>IFERROR(VLOOKUP(TED[[#This Row],[CENTRO]],'CENTRO DE CUSTO'!B:E,4,FALSE)," ")</f>
        <v xml:space="preserve"> </v>
      </c>
      <c r="D2094" s="12">
        <v>296</v>
      </c>
      <c r="E2094" s="16">
        <v>296054</v>
      </c>
      <c r="F2094" s="10" t="s">
        <v>2748</v>
      </c>
      <c r="G2094" s="10">
        <v>220</v>
      </c>
      <c r="H2094" s="11">
        <v>45978</v>
      </c>
      <c r="I2094" s="10" t="s">
        <v>2809</v>
      </c>
      <c r="J2094" s="12" t="str">
        <f>IF(OR(TED[[#This Row],[SITUACAO]]=1,TED[[#This Row],[SITUACAO]]=9,TED[[#This Row],[SITUACAO]]=18),"ATIVO","AFASTADO")</f>
        <v>ATIVO</v>
      </c>
      <c r="K2094" s="12">
        <v>1</v>
      </c>
    </row>
    <row r="2095" spans="1:11" x14ac:dyDescent="0.25">
      <c r="A2095" s="10">
        <v>42280</v>
      </c>
      <c r="B2095" s="9" t="s">
        <v>2557</v>
      </c>
      <c r="C2095" s="12" t="str">
        <f>IFERROR(VLOOKUP(TED[[#This Row],[CENTRO]],'CENTRO DE CUSTO'!B:E,4,FALSE)," ")</f>
        <v xml:space="preserve"> </v>
      </c>
      <c r="D2095" s="12">
        <v>296</v>
      </c>
      <c r="E2095" s="16">
        <v>296052</v>
      </c>
      <c r="F2095" s="10" t="s">
        <v>2749</v>
      </c>
      <c r="G2095" s="10">
        <v>220</v>
      </c>
      <c r="H2095" s="11">
        <v>45978</v>
      </c>
      <c r="I2095" s="10" t="s">
        <v>2809</v>
      </c>
      <c r="J2095" s="12" t="str">
        <f>IF(OR(TED[[#This Row],[SITUACAO]]=1,TED[[#This Row],[SITUACAO]]=9,TED[[#This Row],[SITUACAO]]=18),"ATIVO","AFASTADO")</f>
        <v>AFASTADO</v>
      </c>
      <c r="K2095" s="12">
        <v>5</v>
      </c>
    </row>
    <row r="2096" spans="1:11" x14ac:dyDescent="0.25">
      <c r="A2096" s="10">
        <v>42235</v>
      </c>
      <c r="B2096" s="9" t="s">
        <v>2558</v>
      </c>
      <c r="C2096" s="12" t="str">
        <f>IFERROR(VLOOKUP(TED[[#This Row],[CENTRO]],'CENTRO DE CUSTO'!B:E,4,FALSE)," ")</f>
        <v xml:space="preserve"> </v>
      </c>
      <c r="D2096" s="12">
        <v>296</v>
      </c>
      <c r="E2096" s="16">
        <v>296053</v>
      </c>
      <c r="F2096" s="10" t="s">
        <v>2750</v>
      </c>
      <c r="G2096" s="10">
        <v>220</v>
      </c>
      <c r="H2096" s="11">
        <v>45978</v>
      </c>
      <c r="I2096" s="10" t="s">
        <v>2809</v>
      </c>
      <c r="J2096" s="12" t="str">
        <f>IF(OR(TED[[#This Row],[SITUACAO]]=1,TED[[#This Row],[SITUACAO]]=9,TED[[#This Row],[SITUACAO]]=18),"ATIVO","AFASTADO")</f>
        <v>ATIVO</v>
      </c>
      <c r="K2096" s="12">
        <v>1</v>
      </c>
    </row>
    <row r="2097" spans="1:11" x14ac:dyDescent="0.25">
      <c r="A2097" s="10">
        <v>42225</v>
      </c>
      <c r="B2097" s="9" t="s">
        <v>2559</v>
      </c>
      <c r="C2097" s="12" t="str">
        <f>IFERROR(VLOOKUP(TED[[#This Row],[CENTRO]],'CENTRO DE CUSTO'!B:E,4,FALSE)," ")</f>
        <v xml:space="preserve"> </v>
      </c>
      <c r="D2097" s="12">
        <v>296</v>
      </c>
      <c r="E2097" s="16">
        <v>296014</v>
      </c>
      <c r="F2097" s="10" t="s">
        <v>2751</v>
      </c>
      <c r="G2097" s="10">
        <v>220</v>
      </c>
      <c r="H2097" s="11">
        <v>45978</v>
      </c>
      <c r="I2097" s="10" t="s">
        <v>2809</v>
      </c>
      <c r="J2097" s="12" t="str">
        <f>IF(OR(TED[[#This Row],[SITUACAO]]=1,TED[[#This Row],[SITUACAO]]=9,TED[[#This Row],[SITUACAO]]=18),"ATIVO","AFASTADO")</f>
        <v>ATIVO</v>
      </c>
      <c r="K2097" s="12">
        <v>1</v>
      </c>
    </row>
    <row r="2098" spans="1:11" x14ac:dyDescent="0.25">
      <c r="A2098" s="10">
        <v>45248</v>
      </c>
      <c r="B2098" s="9" t="s">
        <v>2560</v>
      </c>
      <c r="C2098" s="12" t="str">
        <f>IFERROR(VLOOKUP(TED[[#This Row],[CENTRO]],'CENTRO DE CUSTO'!B:E,4,FALSE)," ")</f>
        <v xml:space="preserve"> </v>
      </c>
      <c r="D2098" s="12">
        <v>296</v>
      </c>
      <c r="E2098" s="16">
        <v>296014</v>
      </c>
      <c r="F2098" s="10" t="s">
        <v>2751</v>
      </c>
      <c r="G2098" s="10">
        <v>220</v>
      </c>
      <c r="H2098" s="11">
        <v>46136</v>
      </c>
      <c r="I2098" s="10" t="s">
        <v>2809</v>
      </c>
      <c r="J2098" s="12" t="str">
        <f>IF(OR(TED[[#This Row],[SITUACAO]]=1,TED[[#This Row],[SITUACAO]]=9,TED[[#This Row],[SITUACAO]]=18),"ATIVO","AFASTADO")</f>
        <v>ATIVO</v>
      </c>
      <c r="K2098" s="12">
        <v>1</v>
      </c>
    </row>
    <row r="2099" spans="1:11" x14ac:dyDescent="0.25">
      <c r="A2099" s="10">
        <v>43240</v>
      </c>
      <c r="B2099" s="9" t="s">
        <v>2561</v>
      </c>
      <c r="C2099" s="12" t="str">
        <f>IFERROR(VLOOKUP(TED[[#This Row],[CENTRO]],'CENTRO DE CUSTO'!B:E,4,FALSE)," ")</f>
        <v xml:space="preserve"> </v>
      </c>
      <c r="D2099" s="12">
        <v>296</v>
      </c>
      <c r="E2099" s="16">
        <v>296043</v>
      </c>
      <c r="F2099" s="10" t="s">
        <v>2752</v>
      </c>
      <c r="G2099" s="10">
        <v>220</v>
      </c>
      <c r="H2099" s="11">
        <v>46035</v>
      </c>
      <c r="I2099" s="10" t="s">
        <v>2809</v>
      </c>
      <c r="J2099" s="12" t="str">
        <f>IF(OR(TED[[#This Row],[SITUACAO]]=1,TED[[#This Row],[SITUACAO]]=9,TED[[#This Row],[SITUACAO]]=18),"ATIVO","AFASTADO")</f>
        <v>ATIVO</v>
      </c>
      <c r="K2099" s="12">
        <v>1</v>
      </c>
    </row>
    <row r="2100" spans="1:11" x14ac:dyDescent="0.25">
      <c r="A2100" s="10">
        <v>42189</v>
      </c>
      <c r="B2100" s="9" t="s">
        <v>2562</v>
      </c>
      <c r="C2100" s="12" t="str">
        <f>IFERROR(VLOOKUP(TED[[#This Row],[CENTRO]],'CENTRO DE CUSTO'!B:E,4,FALSE)," ")</f>
        <v xml:space="preserve"> </v>
      </c>
      <c r="D2100" s="12">
        <v>296</v>
      </c>
      <c r="E2100" s="16">
        <v>296041</v>
      </c>
      <c r="F2100" s="10" t="s">
        <v>2753</v>
      </c>
      <c r="G2100" s="10">
        <v>220</v>
      </c>
      <c r="H2100" s="11">
        <v>45978</v>
      </c>
      <c r="I2100" s="10" t="s">
        <v>2809</v>
      </c>
      <c r="J2100" s="12" t="str">
        <f>IF(OR(TED[[#This Row],[SITUACAO]]=1,TED[[#This Row],[SITUACAO]]=9,TED[[#This Row],[SITUACAO]]=18),"ATIVO","AFASTADO")</f>
        <v>ATIVO</v>
      </c>
      <c r="K2100" s="12">
        <v>1</v>
      </c>
    </row>
    <row r="2101" spans="1:11" x14ac:dyDescent="0.25">
      <c r="A2101" s="10">
        <v>42227</v>
      </c>
      <c r="B2101" s="9" t="s">
        <v>2563</v>
      </c>
      <c r="C2101" s="12" t="str">
        <f>IFERROR(VLOOKUP(TED[[#This Row],[CENTRO]],'CENTRO DE CUSTO'!B:E,4,FALSE)," ")</f>
        <v xml:space="preserve"> </v>
      </c>
      <c r="D2101" s="12">
        <v>296</v>
      </c>
      <c r="E2101" s="16">
        <v>296053</v>
      </c>
      <c r="F2101" s="10" t="s">
        <v>2750</v>
      </c>
      <c r="G2101" s="10">
        <v>220</v>
      </c>
      <c r="H2101" s="11">
        <v>45978</v>
      </c>
      <c r="I2101" s="10" t="s">
        <v>2809</v>
      </c>
      <c r="J2101" s="12" t="str">
        <f>IF(OR(TED[[#This Row],[SITUACAO]]=1,TED[[#This Row],[SITUACAO]]=9,TED[[#This Row],[SITUACAO]]=18),"ATIVO","AFASTADO")</f>
        <v>ATIVO</v>
      </c>
      <c r="K2101" s="12">
        <v>1</v>
      </c>
    </row>
    <row r="2102" spans="1:11" x14ac:dyDescent="0.25">
      <c r="A2102" s="10">
        <v>45936</v>
      </c>
      <c r="B2102" s="9" t="s">
        <v>2564</v>
      </c>
      <c r="C2102" s="12" t="str">
        <f>IFERROR(VLOOKUP(TED[[#This Row],[CENTRO]],'CENTRO DE CUSTO'!B:E,4,FALSE)," ")</f>
        <v xml:space="preserve"> </v>
      </c>
      <c r="D2102" s="12">
        <v>296</v>
      </c>
      <c r="E2102" s="16">
        <v>296012</v>
      </c>
      <c r="F2102" s="10" t="s">
        <v>2754</v>
      </c>
      <c r="G2102" s="10">
        <v>220</v>
      </c>
      <c r="H2102" s="11">
        <v>46170</v>
      </c>
      <c r="I2102" s="10" t="s">
        <v>2809</v>
      </c>
      <c r="J2102" s="12" t="str">
        <f>IF(OR(TED[[#This Row],[SITUACAO]]=1,TED[[#This Row],[SITUACAO]]=9,TED[[#This Row],[SITUACAO]]=18),"ATIVO","AFASTADO")</f>
        <v>ATIVO</v>
      </c>
      <c r="K2102" s="12">
        <v>1</v>
      </c>
    </row>
    <row r="2103" spans="1:11" x14ac:dyDescent="0.25">
      <c r="A2103" s="10">
        <v>42282</v>
      </c>
      <c r="B2103" s="9" t="s">
        <v>2565</v>
      </c>
      <c r="C2103" s="12" t="str">
        <f>IFERROR(VLOOKUP(TED[[#This Row],[CENTRO]],'CENTRO DE CUSTO'!B:E,4,FALSE)," ")</f>
        <v xml:space="preserve"> </v>
      </c>
      <c r="D2103" s="12">
        <v>296</v>
      </c>
      <c r="E2103" s="16">
        <v>296004</v>
      </c>
      <c r="F2103" s="10" t="s">
        <v>2755</v>
      </c>
      <c r="G2103" s="10">
        <v>220</v>
      </c>
      <c r="H2103" s="11">
        <v>45978</v>
      </c>
      <c r="I2103" s="10" t="s">
        <v>2809</v>
      </c>
      <c r="J2103" s="12" t="str">
        <f>IF(OR(TED[[#This Row],[SITUACAO]]=1,TED[[#This Row],[SITUACAO]]=9,TED[[#This Row],[SITUACAO]]=18),"ATIVO","AFASTADO")</f>
        <v>ATIVO</v>
      </c>
      <c r="K2103" s="12">
        <v>1</v>
      </c>
    </row>
    <row r="2104" spans="1:11" x14ac:dyDescent="0.25">
      <c r="A2104" s="10">
        <v>42269</v>
      </c>
      <c r="B2104" s="9" t="s">
        <v>2566</v>
      </c>
      <c r="C2104" s="12" t="str">
        <f>IFERROR(VLOOKUP(TED[[#This Row],[CENTRO]],'CENTRO DE CUSTO'!B:E,4,FALSE)," ")</f>
        <v xml:space="preserve"> </v>
      </c>
      <c r="D2104" s="12">
        <v>296</v>
      </c>
      <c r="E2104" s="16">
        <v>296047</v>
      </c>
      <c r="F2104" s="10" t="s">
        <v>2756</v>
      </c>
      <c r="G2104" s="10">
        <v>220</v>
      </c>
      <c r="H2104" s="11">
        <v>45978</v>
      </c>
      <c r="I2104" s="10" t="s">
        <v>2809</v>
      </c>
      <c r="J2104" s="12" t="str">
        <f>IF(OR(TED[[#This Row],[SITUACAO]]=1,TED[[#This Row],[SITUACAO]]=9,TED[[#This Row],[SITUACAO]]=18),"ATIVO","AFASTADO")</f>
        <v>ATIVO</v>
      </c>
      <c r="K2104" s="12">
        <v>1</v>
      </c>
    </row>
    <row r="2105" spans="1:11" x14ac:dyDescent="0.25">
      <c r="A2105" s="10">
        <v>42294</v>
      </c>
      <c r="B2105" s="9" t="s">
        <v>2567</v>
      </c>
      <c r="C2105" s="12" t="str">
        <f>IFERROR(VLOOKUP(TED[[#This Row],[CENTRO]],'CENTRO DE CUSTO'!B:E,4,FALSE)," ")</f>
        <v xml:space="preserve"> </v>
      </c>
      <c r="D2105" s="12">
        <v>296</v>
      </c>
      <c r="E2105" s="16">
        <v>296034</v>
      </c>
      <c r="F2105" s="10" t="s">
        <v>2757</v>
      </c>
      <c r="G2105" s="10">
        <v>220</v>
      </c>
      <c r="H2105" s="11">
        <v>45978</v>
      </c>
      <c r="I2105" s="10" t="s">
        <v>2809</v>
      </c>
      <c r="J2105" s="12" t="str">
        <f>IF(OR(TED[[#This Row],[SITUACAO]]=1,TED[[#This Row],[SITUACAO]]=9,TED[[#This Row],[SITUACAO]]=18),"ATIVO","AFASTADO")</f>
        <v>ATIVO</v>
      </c>
      <c r="K2105" s="12">
        <v>1</v>
      </c>
    </row>
    <row r="2106" spans="1:11" x14ac:dyDescent="0.25">
      <c r="A2106" s="10">
        <v>42178</v>
      </c>
      <c r="B2106" s="9" t="s">
        <v>2568</v>
      </c>
      <c r="C2106" s="12" t="str">
        <f>IFERROR(VLOOKUP(TED[[#This Row],[CENTRO]],'CENTRO DE CUSTO'!B:E,4,FALSE)," ")</f>
        <v xml:space="preserve"> </v>
      </c>
      <c r="D2106" s="12">
        <v>296</v>
      </c>
      <c r="E2106" s="16">
        <v>296054</v>
      </c>
      <c r="F2106" s="10" t="s">
        <v>2748</v>
      </c>
      <c r="G2106" s="10">
        <v>220</v>
      </c>
      <c r="H2106" s="11">
        <v>45978</v>
      </c>
      <c r="I2106" s="10" t="s">
        <v>2809</v>
      </c>
      <c r="J2106" s="12" t="str">
        <f>IF(OR(TED[[#This Row],[SITUACAO]]=1,TED[[#This Row],[SITUACAO]]=9,TED[[#This Row],[SITUACAO]]=18),"ATIVO","AFASTADO")</f>
        <v>ATIVO</v>
      </c>
      <c r="K2106" s="12">
        <v>1</v>
      </c>
    </row>
    <row r="2107" spans="1:11" x14ac:dyDescent="0.25">
      <c r="A2107" s="10">
        <v>42084</v>
      </c>
      <c r="B2107" s="9" t="s">
        <v>2569</v>
      </c>
      <c r="C2107" s="12" t="str">
        <f>IFERROR(VLOOKUP(TED[[#This Row],[CENTRO]],'CENTRO DE CUSTO'!B:E,4,FALSE)," ")</f>
        <v xml:space="preserve"> </v>
      </c>
      <c r="D2107" s="12">
        <v>296</v>
      </c>
      <c r="E2107" s="16">
        <v>296049</v>
      </c>
      <c r="F2107" s="10" t="s">
        <v>2758</v>
      </c>
      <c r="G2107" s="10">
        <v>220</v>
      </c>
      <c r="H2107" s="11">
        <v>45978</v>
      </c>
      <c r="I2107" s="10" t="s">
        <v>2809</v>
      </c>
      <c r="J2107" s="12" t="str">
        <f>IF(OR(TED[[#This Row],[SITUACAO]]=1,TED[[#This Row],[SITUACAO]]=9,TED[[#This Row],[SITUACAO]]=18),"ATIVO","AFASTADO")</f>
        <v>ATIVO</v>
      </c>
      <c r="K2107" s="12">
        <v>1</v>
      </c>
    </row>
    <row r="2108" spans="1:11" x14ac:dyDescent="0.25">
      <c r="A2108" s="10">
        <v>44475</v>
      </c>
      <c r="B2108" s="9" t="s">
        <v>2570</v>
      </c>
      <c r="C2108" s="12" t="str">
        <f>IFERROR(VLOOKUP(TED[[#This Row],[CENTRO]],'CENTRO DE CUSTO'!B:E,4,FALSE)," ")</f>
        <v xml:space="preserve"> </v>
      </c>
      <c r="D2108" s="12">
        <v>296</v>
      </c>
      <c r="E2108" s="16">
        <v>296030</v>
      </c>
      <c r="F2108" s="10" t="s">
        <v>2759</v>
      </c>
      <c r="G2108" s="10">
        <v>220</v>
      </c>
      <c r="H2108" s="11">
        <v>46092</v>
      </c>
      <c r="I2108" s="10" t="s">
        <v>2809</v>
      </c>
      <c r="J2108" s="12" t="str">
        <f>IF(OR(TED[[#This Row],[SITUACAO]]=1,TED[[#This Row],[SITUACAO]]=9,TED[[#This Row],[SITUACAO]]=18),"ATIVO","AFASTADO")</f>
        <v>ATIVO</v>
      </c>
      <c r="K2108" s="12">
        <v>1</v>
      </c>
    </row>
    <row r="2109" spans="1:11" x14ac:dyDescent="0.25">
      <c r="A2109" s="10">
        <v>42101</v>
      </c>
      <c r="B2109" s="9" t="s">
        <v>2571</v>
      </c>
      <c r="C2109" s="12" t="str">
        <f>IFERROR(VLOOKUP(TED[[#This Row],[CENTRO]],'CENTRO DE CUSTO'!B:E,4,FALSE)," ")</f>
        <v xml:space="preserve"> </v>
      </c>
      <c r="D2109" s="12">
        <v>296</v>
      </c>
      <c r="E2109" s="16">
        <v>296046</v>
      </c>
      <c r="F2109" s="10" t="s">
        <v>2760</v>
      </c>
      <c r="G2109" s="10">
        <v>220</v>
      </c>
      <c r="H2109" s="11">
        <v>45978</v>
      </c>
      <c r="I2109" s="10" t="s">
        <v>2809</v>
      </c>
      <c r="J2109" s="12" t="str">
        <f>IF(OR(TED[[#This Row],[SITUACAO]]=1,TED[[#This Row],[SITUACAO]]=9,TED[[#This Row],[SITUACAO]]=18),"ATIVO","AFASTADO")</f>
        <v>ATIVO</v>
      </c>
      <c r="K2109" s="12">
        <v>1</v>
      </c>
    </row>
    <row r="2110" spans="1:11" x14ac:dyDescent="0.25">
      <c r="A2110" s="10">
        <v>42223</v>
      </c>
      <c r="B2110" s="9" t="s">
        <v>2572</v>
      </c>
      <c r="C2110" s="12" t="str">
        <f>IFERROR(VLOOKUP(TED[[#This Row],[CENTRO]],'CENTRO DE CUSTO'!B:E,4,FALSE)," ")</f>
        <v xml:space="preserve"> </v>
      </c>
      <c r="D2110" s="12">
        <v>296</v>
      </c>
      <c r="E2110" s="16">
        <v>296013</v>
      </c>
      <c r="F2110" s="10" t="s">
        <v>2761</v>
      </c>
      <c r="G2110" s="10">
        <v>220</v>
      </c>
      <c r="H2110" s="11">
        <v>45978</v>
      </c>
      <c r="I2110" s="10" t="s">
        <v>2809</v>
      </c>
      <c r="J2110" s="12" t="str">
        <f>IF(OR(TED[[#This Row],[SITUACAO]]=1,TED[[#This Row],[SITUACAO]]=9,TED[[#This Row],[SITUACAO]]=18),"ATIVO","AFASTADO")</f>
        <v>ATIVO</v>
      </c>
      <c r="K2110" s="12">
        <v>1</v>
      </c>
    </row>
    <row r="2111" spans="1:11" x14ac:dyDescent="0.25">
      <c r="A2111" s="10">
        <v>44210</v>
      </c>
      <c r="B2111" s="9" t="s">
        <v>2573</v>
      </c>
      <c r="C2111" s="12" t="str">
        <f>IFERROR(VLOOKUP(TED[[#This Row],[CENTRO]],'CENTRO DE CUSTO'!B:E,4,FALSE)," ")</f>
        <v xml:space="preserve"> </v>
      </c>
      <c r="D2111" s="12">
        <v>296</v>
      </c>
      <c r="E2111" s="16">
        <v>296010</v>
      </c>
      <c r="F2111" s="10" t="s">
        <v>2762</v>
      </c>
      <c r="G2111" s="10">
        <v>220</v>
      </c>
      <c r="H2111" s="11">
        <v>46078</v>
      </c>
      <c r="I2111" s="10" t="s">
        <v>2809</v>
      </c>
      <c r="J2111" s="12" t="str">
        <f>IF(OR(TED[[#This Row],[SITUACAO]]=1,TED[[#This Row],[SITUACAO]]=9,TED[[#This Row],[SITUACAO]]=18),"ATIVO","AFASTADO")</f>
        <v>ATIVO</v>
      </c>
      <c r="K2111" s="12">
        <v>1</v>
      </c>
    </row>
    <row r="2112" spans="1:11" x14ac:dyDescent="0.25">
      <c r="A2112" s="10">
        <v>42197</v>
      </c>
      <c r="B2112" s="9" t="s">
        <v>2574</v>
      </c>
      <c r="C2112" s="12" t="str">
        <f>IFERROR(VLOOKUP(TED[[#This Row],[CENTRO]],'CENTRO DE CUSTO'!B:E,4,FALSE)," ")</f>
        <v xml:space="preserve"> </v>
      </c>
      <c r="D2112" s="12">
        <v>296</v>
      </c>
      <c r="E2112" s="16">
        <v>296051</v>
      </c>
      <c r="F2112" s="10" t="s">
        <v>2763</v>
      </c>
      <c r="G2112" s="10">
        <v>220</v>
      </c>
      <c r="H2112" s="11">
        <v>45978</v>
      </c>
      <c r="I2112" s="10" t="s">
        <v>2809</v>
      </c>
      <c r="J2112" s="12" t="str">
        <f>IF(OR(TED[[#This Row],[SITUACAO]]=1,TED[[#This Row],[SITUACAO]]=9,TED[[#This Row],[SITUACAO]]=18),"ATIVO","AFASTADO")</f>
        <v>ATIVO</v>
      </c>
      <c r="K2112" s="12">
        <v>1</v>
      </c>
    </row>
    <row r="2113" spans="1:11" x14ac:dyDescent="0.25">
      <c r="A2113" s="10">
        <v>42085</v>
      </c>
      <c r="B2113" s="9" t="s">
        <v>2575</v>
      </c>
      <c r="C2113" s="12" t="str">
        <f>IFERROR(VLOOKUP(TED[[#This Row],[CENTRO]],'CENTRO DE CUSTO'!B:E,4,FALSE)," ")</f>
        <v xml:space="preserve"> </v>
      </c>
      <c r="D2113" s="12">
        <v>296</v>
      </c>
      <c r="E2113" s="16">
        <v>296037</v>
      </c>
      <c r="F2113" s="10" t="s">
        <v>2747</v>
      </c>
      <c r="G2113" s="10">
        <v>220</v>
      </c>
      <c r="H2113" s="11">
        <v>45978</v>
      </c>
      <c r="I2113" s="10" t="s">
        <v>2809</v>
      </c>
      <c r="J2113" s="12" t="str">
        <f>IF(OR(TED[[#This Row],[SITUACAO]]=1,TED[[#This Row],[SITUACAO]]=9,TED[[#This Row],[SITUACAO]]=18),"ATIVO","AFASTADO")</f>
        <v>ATIVO</v>
      </c>
      <c r="K2113" s="12">
        <v>1</v>
      </c>
    </row>
    <row r="2114" spans="1:11" x14ac:dyDescent="0.25">
      <c r="A2114" s="10">
        <v>42185</v>
      </c>
      <c r="B2114" s="9" t="s">
        <v>2576</v>
      </c>
      <c r="C2114" s="12" t="str">
        <f>IFERROR(VLOOKUP(TED[[#This Row],[CENTRO]],'CENTRO DE CUSTO'!B:E,4,FALSE)," ")</f>
        <v xml:space="preserve"> </v>
      </c>
      <c r="D2114" s="12">
        <v>296</v>
      </c>
      <c r="E2114" s="16">
        <v>296039</v>
      </c>
      <c r="F2114" s="10" t="s">
        <v>2764</v>
      </c>
      <c r="G2114" s="10">
        <v>220</v>
      </c>
      <c r="H2114" s="11">
        <v>45978</v>
      </c>
      <c r="I2114" s="10" t="s">
        <v>2809</v>
      </c>
      <c r="J2114" s="12" t="str">
        <f>IF(OR(TED[[#This Row],[SITUACAO]]=1,TED[[#This Row],[SITUACAO]]=9,TED[[#This Row],[SITUACAO]]=18),"ATIVO","AFASTADO")</f>
        <v>ATIVO</v>
      </c>
      <c r="K2114" s="12">
        <v>1</v>
      </c>
    </row>
    <row r="2115" spans="1:11" x14ac:dyDescent="0.25">
      <c r="A2115" s="10">
        <v>42122</v>
      </c>
      <c r="B2115" s="9" t="s">
        <v>2577</v>
      </c>
      <c r="C2115" s="12" t="str">
        <f>IFERROR(VLOOKUP(TED[[#This Row],[CENTRO]],'CENTRO DE CUSTO'!B:E,4,FALSE)," ")</f>
        <v xml:space="preserve"> </v>
      </c>
      <c r="D2115" s="12">
        <v>296</v>
      </c>
      <c r="E2115" s="16">
        <v>296043</v>
      </c>
      <c r="F2115" s="10" t="s">
        <v>2752</v>
      </c>
      <c r="G2115" s="10">
        <v>220</v>
      </c>
      <c r="H2115" s="11">
        <v>45978</v>
      </c>
      <c r="I2115" s="10" t="s">
        <v>2809</v>
      </c>
      <c r="J2115" s="12" t="str">
        <f>IF(OR(TED[[#This Row],[SITUACAO]]=1,TED[[#This Row],[SITUACAO]]=9,TED[[#This Row],[SITUACAO]]=18),"ATIVO","AFASTADO")</f>
        <v>ATIVO</v>
      </c>
      <c r="K2115" s="12">
        <v>1</v>
      </c>
    </row>
    <row r="2116" spans="1:11" x14ac:dyDescent="0.25">
      <c r="A2116" s="10">
        <v>42067</v>
      </c>
      <c r="B2116" s="9" t="s">
        <v>2578</v>
      </c>
      <c r="C2116" s="12" t="str">
        <f>IFERROR(VLOOKUP(TED[[#This Row],[CENTRO]],'CENTRO DE CUSTO'!B:E,4,FALSE)," ")</f>
        <v xml:space="preserve"> </v>
      </c>
      <c r="D2116" s="12">
        <v>296</v>
      </c>
      <c r="E2116" s="16">
        <v>296055</v>
      </c>
      <c r="F2116" s="10" t="s">
        <v>2765</v>
      </c>
      <c r="G2116" s="10">
        <v>220</v>
      </c>
      <c r="H2116" s="11">
        <v>45971</v>
      </c>
      <c r="I2116" s="10" t="s">
        <v>604</v>
      </c>
      <c r="J2116" s="12" t="str">
        <f>IF(OR(TED[[#This Row],[SITUACAO]]=1,TED[[#This Row],[SITUACAO]]=9,TED[[#This Row],[SITUACAO]]=18),"ATIVO","AFASTADO")</f>
        <v>ATIVO</v>
      </c>
      <c r="K2116" s="12">
        <v>1</v>
      </c>
    </row>
    <row r="2117" spans="1:11" x14ac:dyDescent="0.25">
      <c r="A2117" s="10">
        <v>42140</v>
      </c>
      <c r="B2117" s="9" t="s">
        <v>2579</v>
      </c>
      <c r="C2117" s="12" t="str">
        <f>IFERROR(VLOOKUP(TED[[#This Row],[CENTRO]],'CENTRO DE CUSTO'!B:E,4,FALSE)," ")</f>
        <v xml:space="preserve"> </v>
      </c>
      <c r="D2117" s="12">
        <v>296</v>
      </c>
      <c r="E2117" s="16">
        <v>296007</v>
      </c>
      <c r="F2117" s="10" t="s">
        <v>2766</v>
      </c>
      <c r="G2117" s="10">
        <v>220</v>
      </c>
      <c r="H2117" s="11">
        <v>45978</v>
      </c>
      <c r="I2117" s="10" t="s">
        <v>2809</v>
      </c>
      <c r="J2117" s="12" t="str">
        <f>IF(OR(TED[[#This Row],[SITUACAO]]=1,TED[[#This Row],[SITUACAO]]=9,TED[[#This Row],[SITUACAO]]=18),"ATIVO","AFASTADO")</f>
        <v>ATIVO</v>
      </c>
      <c r="K2117" s="12">
        <v>1</v>
      </c>
    </row>
    <row r="2118" spans="1:11" x14ac:dyDescent="0.25">
      <c r="A2118" s="10">
        <v>42285</v>
      </c>
      <c r="B2118" s="9" t="s">
        <v>2580</v>
      </c>
      <c r="C2118" s="12" t="str">
        <f>IFERROR(VLOOKUP(TED[[#This Row],[CENTRO]],'CENTRO DE CUSTO'!B:E,4,FALSE)," ")</f>
        <v xml:space="preserve"> </v>
      </c>
      <c r="D2118" s="12">
        <v>296</v>
      </c>
      <c r="E2118" s="16">
        <v>296000</v>
      </c>
      <c r="F2118" s="10" t="s">
        <v>2767</v>
      </c>
      <c r="G2118" s="10">
        <v>220</v>
      </c>
      <c r="H2118" s="11">
        <v>45978</v>
      </c>
      <c r="I2118" s="10" t="s">
        <v>2809</v>
      </c>
      <c r="J2118" s="12" t="str">
        <f>IF(OR(TED[[#This Row],[SITUACAO]]=1,TED[[#This Row],[SITUACAO]]=9,TED[[#This Row],[SITUACAO]]=18),"ATIVO","AFASTADO")</f>
        <v>ATIVO</v>
      </c>
      <c r="K2118" s="12">
        <v>1</v>
      </c>
    </row>
    <row r="2119" spans="1:11" x14ac:dyDescent="0.25">
      <c r="A2119" s="10">
        <v>42286</v>
      </c>
      <c r="B2119" s="9" t="s">
        <v>2581</v>
      </c>
      <c r="C2119" s="12" t="str">
        <f>IFERROR(VLOOKUP(TED[[#This Row],[CENTRO]],'CENTRO DE CUSTO'!B:E,4,FALSE)," ")</f>
        <v xml:space="preserve"> </v>
      </c>
      <c r="D2119" s="12">
        <v>296</v>
      </c>
      <c r="E2119" s="16">
        <v>296029</v>
      </c>
      <c r="F2119" s="10" t="s">
        <v>2768</v>
      </c>
      <c r="G2119" s="10">
        <v>220</v>
      </c>
      <c r="H2119" s="11">
        <v>45978</v>
      </c>
      <c r="I2119" s="10" t="s">
        <v>2809</v>
      </c>
      <c r="J2119" s="12" t="str">
        <f>IF(OR(TED[[#This Row],[SITUACAO]]=1,TED[[#This Row],[SITUACAO]]=9,TED[[#This Row],[SITUACAO]]=18),"ATIVO","AFASTADO")</f>
        <v>ATIVO</v>
      </c>
      <c r="K2119" s="12">
        <v>1</v>
      </c>
    </row>
    <row r="2120" spans="1:11" x14ac:dyDescent="0.25">
      <c r="A2120" s="10">
        <v>42232</v>
      </c>
      <c r="B2120" s="9" t="s">
        <v>2582</v>
      </c>
      <c r="C2120" s="12" t="str">
        <f>IFERROR(VLOOKUP(TED[[#This Row],[CENTRO]],'CENTRO DE CUSTO'!B:E,4,FALSE)," ")</f>
        <v xml:space="preserve"> </v>
      </c>
      <c r="D2120" s="12">
        <v>296</v>
      </c>
      <c r="E2120" s="16">
        <v>296035</v>
      </c>
      <c r="F2120" s="10" t="s">
        <v>2769</v>
      </c>
      <c r="G2120" s="10">
        <v>220</v>
      </c>
      <c r="H2120" s="11">
        <v>45978</v>
      </c>
      <c r="I2120" s="10" t="s">
        <v>2809</v>
      </c>
      <c r="J2120" s="12" t="str">
        <f>IF(OR(TED[[#This Row],[SITUACAO]]=1,TED[[#This Row],[SITUACAO]]=9,TED[[#This Row],[SITUACAO]]=18),"ATIVO","AFASTADO")</f>
        <v>ATIVO</v>
      </c>
      <c r="K2120" s="12">
        <v>1</v>
      </c>
    </row>
    <row r="2121" spans="1:11" x14ac:dyDescent="0.25">
      <c r="A2121" s="10">
        <v>42180</v>
      </c>
      <c r="B2121" s="9" t="s">
        <v>2583</v>
      </c>
      <c r="C2121" s="12" t="str">
        <f>IFERROR(VLOOKUP(TED[[#This Row],[CENTRO]],'CENTRO DE CUSTO'!B:E,4,FALSE)," ")</f>
        <v xml:space="preserve"> </v>
      </c>
      <c r="D2121" s="12">
        <v>296</v>
      </c>
      <c r="E2121" s="16">
        <v>296007</v>
      </c>
      <c r="F2121" s="10" t="s">
        <v>2766</v>
      </c>
      <c r="G2121" s="10">
        <v>220</v>
      </c>
      <c r="H2121" s="11">
        <v>45978</v>
      </c>
      <c r="I2121" s="10" t="s">
        <v>2809</v>
      </c>
      <c r="J2121" s="12" t="str">
        <f>IF(OR(TED[[#This Row],[SITUACAO]]=1,TED[[#This Row],[SITUACAO]]=9,TED[[#This Row],[SITUACAO]]=18),"ATIVO","AFASTADO")</f>
        <v>ATIVO</v>
      </c>
      <c r="K2121" s="12">
        <v>1</v>
      </c>
    </row>
    <row r="2122" spans="1:11" x14ac:dyDescent="0.25">
      <c r="A2122" s="10">
        <v>46145</v>
      </c>
      <c r="B2122" s="9" t="s">
        <v>2584</v>
      </c>
      <c r="C2122" s="12" t="str">
        <f>IFERROR(VLOOKUP(TED[[#This Row],[CENTRO]],'CENTRO DE CUSTO'!B:E,4,FALSE)," ")</f>
        <v xml:space="preserve"> </v>
      </c>
      <c r="D2122" s="12">
        <v>296</v>
      </c>
      <c r="E2122" s="16">
        <v>296012</v>
      </c>
      <c r="F2122" s="10" t="s">
        <v>2754</v>
      </c>
      <c r="G2122" s="10">
        <v>220</v>
      </c>
      <c r="H2122" s="11">
        <v>46184</v>
      </c>
      <c r="I2122" s="10" t="s">
        <v>2809</v>
      </c>
      <c r="J2122" s="12" t="str">
        <f>IF(OR(TED[[#This Row],[SITUACAO]]=1,TED[[#This Row],[SITUACAO]]=9,TED[[#This Row],[SITUACAO]]=18),"ATIVO","AFASTADO")</f>
        <v>ATIVO</v>
      </c>
      <c r="K2122" s="12">
        <v>1</v>
      </c>
    </row>
    <row r="2123" spans="1:11" x14ac:dyDescent="0.25">
      <c r="A2123" s="10">
        <v>44212</v>
      </c>
      <c r="B2123" s="9" t="s">
        <v>2585</v>
      </c>
      <c r="C2123" s="12" t="str">
        <f>IFERROR(VLOOKUP(TED[[#This Row],[CENTRO]],'CENTRO DE CUSTO'!B:E,4,FALSE)," ")</f>
        <v xml:space="preserve"> </v>
      </c>
      <c r="D2123" s="12">
        <v>296</v>
      </c>
      <c r="E2123" s="16">
        <v>296050</v>
      </c>
      <c r="F2123" s="10" t="s">
        <v>2770</v>
      </c>
      <c r="G2123" s="10">
        <v>220</v>
      </c>
      <c r="H2123" s="11">
        <v>46078</v>
      </c>
      <c r="I2123" s="10" t="s">
        <v>2809</v>
      </c>
      <c r="J2123" s="12" t="str">
        <f>IF(OR(TED[[#This Row],[SITUACAO]]=1,TED[[#This Row],[SITUACAO]]=9,TED[[#This Row],[SITUACAO]]=18),"ATIVO","AFASTADO")</f>
        <v>ATIVO</v>
      </c>
      <c r="K2123" s="12">
        <v>1</v>
      </c>
    </row>
    <row r="2124" spans="1:11" x14ac:dyDescent="0.25">
      <c r="A2124" s="10">
        <v>42104</v>
      </c>
      <c r="B2124" s="9" t="s">
        <v>2586</v>
      </c>
      <c r="C2124" s="12" t="str">
        <f>IFERROR(VLOOKUP(TED[[#This Row],[CENTRO]],'CENTRO DE CUSTO'!B:E,4,FALSE)," ")</f>
        <v xml:space="preserve"> </v>
      </c>
      <c r="D2124" s="12">
        <v>296</v>
      </c>
      <c r="E2124" s="16">
        <v>296046</v>
      </c>
      <c r="F2124" s="10" t="s">
        <v>2760</v>
      </c>
      <c r="G2124" s="10">
        <v>220</v>
      </c>
      <c r="H2124" s="11">
        <v>45978</v>
      </c>
      <c r="I2124" s="10" t="s">
        <v>2809</v>
      </c>
      <c r="J2124" s="12" t="str">
        <f>IF(OR(TED[[#This Row],[SITUACAO]]=1,TED[[#This Row],[SITUACAO]]=9,TED[[#This Row],[SITUACAO]]=18),"ATIVO","AFASTADO")</f>
        <v>ATIVO</v>
      </c>
      <c r="K2124" s="12">
        <v>1</v>
      </c>
    </row>
    <row r="2125" spans="1:11" x14ac:dyDescent="0.25">
      <c r="A2125" s="10">
        <v>42271</v>
      </c>
      <c r="B2125" s="9" t="s">
        <v>2587</v>
      </c>
      <c r="C2125" s="12" t="str">
        <f>IFERROR(VLOOKUP(TED[[#This Row],[CENTRO]],'CENTRO DE CUSTO'!B:E,4,FALSE)," ")</f>
        <v xml:space="preserve"> </v>
      </c>
      <c r="D2125" s="12">
        <v>296</v>
      </c>
      <c r="E2125" s="16">
        <v>296054</v>
      </c>
      <c r="F2125" s="10" t="s">
        <v>2748</v>
      </c>
      <c r="G2125" s="10">
        <v>220</v>
      </c>
      <c r="H2125" s="11">
        <v>45978</v>
      </c>
      <c r="I2125" s="10" t="s">
        <v>2809</v>
      </c>
      <c r="J2125" s="12" t="str">
        <f>IF(OR(TED[[#This Row],[SITUACAO]]=1,TED[[#This Row],[SITUACAO]]=9,TED[[#This Row],[SITUACAO]]=18),"ATIVO","AFASTADO")</f>
        <v>ATIVO</v>
      </c>
      <c r="K2125" s="12">
        <v>1</v>
      </c>
    </row>
    <row r="2126" spans="1:11" x14ac:dyDescent="0.25">
      <c r="A2126" s="10">
        <v>42196</v>
      </c>
      <c r="B2126" s="9" t="s">
        <v>2588</v>
      </c>
      <c r="C2126" s="12" t="str">
        <f>IFERROR(VLOOKUP(TED[[#This Row],[CENTRO]],'CENTRO DE CUSTO'!B:E,4,FALSE)," ")</f>
        <v xml:space="preserve"> </v>
      </c>
      <c r="D2126" s="12">
        <v>296</v>
      </c>
      <c r="E2126" s="16">
        <v>296009</v>
      </c>
      <c r="F2126" s="10" t="s">
        <v>2771</v>
      </c>
      <c r="G2126" s="10">
        <v>220</v>
      </c>
      <c r="H2126" s="11">
        <v>45978</v>
      </c>
      <c r="I2126" s="10" t="s">
        <v>2809</v>
      </c>
      <c r="J2126" s="12" t="str">
        <f>IF(OR(TED[[#This Row],[SITUACAO]]=1,TED[[#This Row],[SITUACAO]]=9,TED[[#This Row],[SITUACAO]]=18),"ATIVO","AFASTADO")</f>
        <v>ATIVO</v>
      </c>
      <c r="K2126" s="12">
        <v>1</v>
      </c>
    </row>
    <row r="2127" spans="1:11" x14ac:dyDescent="0.25">
      <c r="A2127" s="10">
        <v>44042</v>
      </c>
      <c r="B2127" s="9" t="s">
        <v>2589</v>
      </c>
      <c r="C2127" s="12" t="str">
        <f>IFERROR(VLOOKUP(TED[[#This Row],[CENTRO]],'CENTRO DE CUSTO'!B:E,4,FALSE)," ")</f>
        <v xml:space="preserve"> </v>
      </c>
      <c r="D2127" s="12">
        <v>296</v>
      </c>
      <c r="E2127" s="16">
        <v>296014</v>
      </c>
      <c r="F2127" s="10" t="s">
        <v>2751</v>
      </c>
      <c r="G2127" s="10">
        <v>220</v>
      </c>
      <c r="H2127" s="11">
        <v>46072</v>
      </c>
      <c r="I2127" s="10" t="s">
        <v>2809</v>
      </c>
      <c r="J2127" s="12" t="str">
        <f>IF(OR(TED[[#This Row],[SITUACAO]]=1,TED[[#This Row],[SITUACAO]]=9,TED[[#This Row],[SITUACAO]]=18),"ATIVO","AFASTADO")</f>
        <v>ATIVO</v>
      </c>
      <c r="K2127" s="12">
        <v>1</v>
      </c>
    </row>
    <row r="2128" spans="1:11" x14ac:dyDescent="0.25">
      <c r="A2128" s="10">
        <v>42159</v>
      </c>
      <c r="B2128" s="9" t="s">
        <v>2590</v>
      </c>
      <c r="C2128" s="12" t="str">
        <f>IFERROR(VLOOKUP(TED[[#This Row],[CENTRO]],'CENTRO DE CUSTO'!B:E,4,FALSE)," ")</f>
        <v xml:space="preserve"> </v>
      </c>
      <c r="D2128" s="12">
        <v>296</v>
      </c>
      <c r="E2128" s="16">
        <v>296047</v>
      </c>
      <c r="F2128" s="10" t="s">
        <v>2756</v>
      </c>
      <c r="G2128" s="10">
        <v>220</v>
      </c>
      <c r="H2128" s="11">
        <v>45978</v>
      </c>
      <c r="I2128" s="10" t="s">
        <v>2809</v>
      </c>
      <c r="J2128" s="12" t="str">
        <f>IF(OR(TED[[#This Row],[SITUACAO]]=1,TED[[#This Row],[SITUACAO]]=9,TED[[#This Row],[SITUACAO]]=18),"ATIVO","AFASTADO")</f>
        <v>ATIVO</v>
      </c>
      <c r="K2128" s="12">
        <v>1</v>
      </c>
    </row>
    <row r="2129" spans="1:11" x14ac:dyDescent="0.25">
      <c r="A2129" s="10">
        <v>42111</v>
      </c>
      <c r="B2129" s="9" t="s">
        <v>2591</v>
      </c>
      <c r="C2129" s="12" t="str">
        <f>IFERROR(VLOOKUP(TED[[#This Row],[CENTRO]],'CENTRO DE CUSTO'!B:E,4,FALSE)," ")</f>
        <v xml:space="preserve"> </v>
      </c>
      <c r="D2129" s="12">
        <v>296</v>
      </c>
      <c r="E2129" s="16">
        <v>296038</v>
      </c>
      <c r="F2129" s="10" t="s">
        <v>2772</v>
      </c>
      <c r="G2129" s="10">
        <v>220</v>
      </c>
      <c r="H2129" s="11">
        <v>45978</v>
      </c>
      <c r="I2129" s="10" t="s">
        <v>2809</v>
      </c>
      <c r="J2129" s="12" t="str">
        <f>IF(OR(TED[[#This Row],[SITUACAO]]=1,TED[[#This Row],[SITUACAO]]=9,TED[[#This Row],[SITUACAO]]=18),"ATIVO","AFASTADO")</f>
        <v>ATIVO</v>
      </c>
      <c r="K2129" s="12">
        <v>1</v>
      </c>
    </row>
    <row r="2130" spans="1:11" x14ac:dyDescent="0.25">
      <c r="A2130" s="10">
        <v>42086</v>
      </c>
      <c r="B2130" s="9" t="s">
        <v>2592</v>
      </c>
      <c r="C2130" s="12" t="str">
        <f>IFERROR(VLOOKUP(TED[[#This Row],[CENTRO]],'CENTRO DE CUSTO'!B:E,4,FALSE)," ")</f>
        <v xml:space="preserve"> </v>
      </c>
      <c r="D2130" s="12">
        <v>296</v>
      </c>
      <c r="E2130" s="16">
        <v>296024</v>
      </c>
      <c r="F2130" s="10" t="s">
        <v>2773</v>
      </c>
      <c r="G2130" s="10">
        <v>220</v>
      </c>
      <c r="H2130" s="11">
        <v>45978</v>
      </c>
      <c r="I2130" s="10" t="s">
        <v>2809</v>
      </c>
      <c r="J2130" s="12" t="str">
        <f>IF(OR(TED[[#This Row],[SITUACAO]]=1,TED[[#This Row],[SITUACAO]]=9,TED[[#This Row],[SITUACAO]]=18),"ATIVO","AFASTADO")</f>
        <v>ATIVO</v>
      </c>
      <c r="K2130" s="12">
        <v>1</v>
      </c>
    </row>
    <row r="2131" spans="1:11" x14ac:dyDescent="0.25">
      <c r="A2131" s="10">
        <v>42179</v>
      </c>
      <c r="B2131" s="9" t="s">
        <v>2593</v>
      </c>
      <c r="C2131" s="12" t="str">
        <f>IFERROR(VLOOKUP(TED[[#This Row],[CENTRO]],'CENTRO DE CUSTO'!B:E,4,FALSE)," ")</f>
        <v xml:space="preserve"> </v>
      </c>
      <c r="D2131" s="12">
        <v>296</v>
      </c>
      <c r="E2131" s="16">
        <v>296003</v>
      </c>
      <c r="F2131" s="10" t="s">
        <v>2774</v>
      </c>
      <c r="G2131" s="10">
        <v>220</v>
      </c>
      <c r="H2131" s="11">
        <v>45978</v>
      </c>
      <c r="I2131" s="10" t="s">
        <v>2809</v>
      </c>
      <c r="J2131" s="12" t="str">
        <f>IF(OR(TED[[#This Row],[SITUACAO]]=1,TED[[#This Row],[SITUACAO]]=9,TED[[#This Row],[SITUACAO]]=18),"ATIVO","AFASTADO")</f>
        <v>ATIVO</v>
      </c>
      <c r="K2131" s="12">
        <v>1</v>
      </c>
    </row>
    <row r="2132" spans="1:11" x14ac:dyDescent="0.25">
      <c r="A2132" s="10">
        <v>42273</v>
      </c>
      <c r="B2132" s="9" t="s">
        <v>2594</v>
      </c>
      <c r="C2132" s="12" t="str">
        <f>IFERROR(VLOOKUP(TED[[#This Row],[CENTRO]],'CENTRO DE CUSTO'!B:E,4,FALSE)," ")</f>
        <v xml:space="preserve"> </v>
      </c>
      <c r="D2132" s="12">
        <v>296</v>
      </c>
      <c r="E2132" s="16">
        <v>296040</v>
      </c>
      <c r="F2132" s="10" t="s">
        <v>2775</v>
      </c>
      <c r="G2132" s="10">
        <v>220</v>
      </c>
      <c r="H2132" s="11">
        <v>45978</v>
      </c>
      <c r="I2132" s="10" t="s">
        <v>2809</v>
      </c>
      <c r="J2132" s="12" t="str">
        <f>IF(OR(TED[[#This Row],[SITUACAO]]=1,TED[[#This Row],[SITUACAO]]=9,TED[[#This Row],[SITUACAO]]=18),"ATIVO","AFASTADO")</f>
        <v>ATIVO</v>
      </c>
      <c r="K2132" s="12">
        <v>1</v>
      </c>
    </row>
    <row r="2133" spans="1:11" x14ac:dyDescent="0.25">
      <c r="A2133" s="10">
        <v>42156</v>
      </c>
      <c r="B2133" s="9" t="s">
        <v>2595</v>
      </c>
      <c r="C2133" s="12" t="str">
        <f>IFERROR(VLOOKUP(TED[[#This Row],[CENTRO]],'CENTRO DE CUSTO'!B:E,4,FALSE)," ")</f>
        <v xml:space="preserve"> </v>
      </c>
      <c r="D2133" s="12">
        <v>296</v>
      </c>
      <c r="E2133" s="16">
        <v>296023</v>
      </c>
      <c r="F2133" s="10" t="s">
        <v>2776</v>
      </c>
      <c r="G2133" s="10">
        <v>220</v>
      </c>
      <c r="H2133" s="11">
        <v>45978</v>
      </c>
      <c r="I2133" s="10" t="s">
        <v>2809</v>
      </c>
      <c r="J2133" s="12" t="str">
        <f>IF(OR(TED[[#This Row],[SITUACAO]]=1,TED[[#This Row],[SITUACAO]]=9,TED[[#This Row],[SITUACAO]]=18),"ATIVO","AFASTADO")</f>
        <v>ATIVO</v>
      </c>
      <c r="K2133" s="12">
        <v>1</v>
      </c>
    </row>
    <row r="2134" spans="1:11" x14ac:dyDescent="0.25">
      <c r="A2134" s="10">
        <v>42129</v>
      </c>
      <c r="B2134" s="9" t="s">
        <v>2596</v>
      </c>
      <c r="C2134" s="12" t="str">
        <f>IFERROR(VLOOKUP(TED[[#This Row],[CENTRO]],'CENTRO DE CUSTO'!B:E,4,FALSE)," ")</f>
        <v xml:space="preserve"> </v>
      </c>
      <c r="D2134" s="12">
        <v>296</v>
      </c>
      <c r="E2134" s="16">
        <v>296040</v>
      </c>
      <c r="F2134" s="10" t="s">
        <v>2775</v>
      </c>
      <c r="G2134" s="10">
        <v>220</v>
      </c>
      <c r="H2134" s="11">
        <v>45978</v>
      </c>
      <c r="I2134" s="10" t="s">
        <v>2809</v>
      </c>
      <c r="J2134" s="12" t="str">
        <f>IF(OR(TED[[#This Row],[SITUACAO]]=1,TED[[#This Row],[SITUACAO]]=9,TED[[#This Row],[SITUACAO]]=18),"ATIVO","AFASTADO")</f>
        <v>ATIVO</v>
      </c>
      <c r="K2134" s="12">
        <v>1</v>
      </c>
    </row>
    <row r="2135" spans="1:11" x14ac:dyDescent="0.25">
      <c r="A2135" s="10">
        <v>44505</v>
      </c>
      <c r="B2135" s="9" t="s">
        <v>2597</v>
      </c>
      <c r="C2135" s="12" t="str">
        <f>IFERROR(VLOOKUP(TED[[#This Row],[CENTRO]],'CENTRO DE CUSTO'!B:E,4,FALSE)," ")</f>
        <v xml:space="preserve"> </v>
      </c>
      <c r="D2135" s="12">
        <v>296</v>
      </c>
      <c r="E2135" s="16">
        <v>296030</v>
      </c>
      <c r="F2135" s="10" t="s">
        <v>2759</v>
      </c>
      <c r="G2135" s="10">
        <v>220</v>
      </c>
      <c r="H2135" s="11">
        <v>46093</v>
      </c>
      <c r="I2135" s="10" t="s">
        <v>2809</v>
      </c>
      <c r="J2135" s="12" t="str">
        <f>IF(OR(TED[[#This Row],[SITUACAO]]=1,TED[[#This Row],[SITUACAO]]=9,TED[[#This Row],[SITUACAO]]=18),"ATIVO","AFASTADO")</f>
        <v>ATIVO</v>
      </c>
      <c r="K2135" s="12">
        <v>1</v>
      </c>
    </row>
    <row r="2136" spans="1:11" x14ac:dyDescent="0.25">
      <c r="A2136" s="10">
        <v>42200</v>
      </c>
      <c r="B2136" s="9" t="s">
        <v>2598</v>
      </c>
      <c r="C2136" s="12" t="str">
        <f>IFERROR(VLOOKUP(TED[[#This Row],[CENTRO]],'CENTRO DE CUSTO'!B:E,4,FALSE)," ")</f>
        <v xml:space="preserve"> </v>
      </c>
      <c r="D2136" s="12">
        <v>296</v>
      </c>
      <c r="E2136" s="16">
        <v>296017</v>
      </c>
      <c r="F2136" s="10" t="s">
        <v>2777</v>
      </c>
      <c r="G2136" s="10">
        <v>220</v>
      </c>
      <c r="H2136" s="11">
        <v>45978</v>
      </c>
      <c r="I2136" s="10" t="s">
        <v>2809</v>
      </c>
      <c r="J2136" s="12" t="str">
        <f>IF(OR(TED[[#This Row],[SITUACAO]]=1,TED[[#This Row],[SITUACAO]]=9,TED[[#This Row],[SITUACAO]]=18),"ATIVO","AFASTADO")</f>
        <v>ATIVO</v>
      </c>
      <c r="K2136" s="12">
        <v>1</v>
      </c>
    </row>
    <row r="2137" spans="1:11" x14ac:dyDescent="0.25">
      <c r="A2137" s="10">
        <v>42128</v>
      </c>
      <c r="B2137" s="9" t="s">
        <v>2599</v>
      </c>
      <c r="C2137" s="12" t="str">
        <f>IFERROR(VLOOKUP(TED[[#This Row],[CENTRO]],'CENTRO DE CUSTO'!B:E,4,FALSE)," ")</f>
        <v xml:space="preserve"> </v>
      </c>
      <c r="D2137" s="12">
        <v>296</v>
      </c>
      <c r="E2137" s="16">
        <v>296044</v>
      </c>
      <c r="F2137" s="10" t="s">
        <v>2778</v>
      </c>
      <c r="G2137" s="10">
        <v>220</v>
      </c>
      <c r="H2137" s="11">
        <v>45978</v>
      </c>
      <c r="I2137" s="10" t="s">
        <v>2809</v>
      </c>
      <c r="J2137" s="12" t="str">
        <f>IF(OR(TED[[#This Row],[SITUACAO]]=1,TED[[#This Row],[SITUACAO]]=9,TED[[#This Row],[SITUACAO]]=18),"ATIVO","AFASTADO")</f>
        <v>ATIVO</v>
      </c>
      <c r="K2137" s="12">
        <v>1</v>
      </c>
    </row>
    <row r="2138" spans="1:11" x14ac:dyDescent="0.25">
      <c r="A2138" s="10">
        <v>42127</v>
      </c>
      <c r="B2138" s="9" t="s">
        <v>2600</v>
      </c>
      <c r="C2138" s="12" t="str">
        <f>IFERROR(VLOOKUP(TED[[#This Row],[CENTRO]],'CENTRO DE CUSTO'!B:E,4,FALSE)," ")</f>
        <v xml:space="preserve"> </v>
      </c>
      <c r="D2138" s="12">
        <v>296</v>
      </c>
      <c r="E2138" s="16">
        <v>296044</v>
      </c>
      <c r="F2138" s="10" t="s">
        <v>2778</v>
      </c>
      <c r="G2138" s="10">
        <v>220</v>
      </c>
      <c r="H2138" s="11">
        <v>45978</v>
      </c>
      <c r="I2138" s="10" t="s">
        <v>2809</v>
      </c>
      <c r="J2138" s="12" t="str">
        <f>IF(OR(TED[[#This Row],[SITUACAO]]=1,TED[[#This Row],[SITUACAO]]=9,TED[[#This Row],[SITUACAO]]=18),"ATIVO","AFASTADO")</f>
        <v>ATIVO</v>
      </c>
      <c r="K2138" s="12">
        <v>1</v>
      </c>
    </row>
    <row r="2139" spans="1:11" x14ac:dyDescent="0.25">
      <c r="A2139" s="10">
        <v>42226</v>
      </c>
      <c r="B2139" s="9" t="s">
        <v>2601</v>
      </c>
      <c r="C2139" s="12" t="str">
        <f>IFERROR(VLOOKUP(TED[[#This Row],[CENTRO]],'CENTRO DE CUSTO'!B:E,4,FALSE)," ")</f>
        <v xml:space="preserve"> </v>
      </c>
      <c r="D2139" s="12">
        <v>296</v>
      </c>
      <c r="E2139" s="16">
        <v>296036</v>
      </c>
      <c r="F2139" s="10" t="s">
        <v>2779</v>
      </c>
      <c r="G2139" s="10">
        <v>220</v>
      </c>
      <c r="H2139" s="11">
        <v>45978</v>
      </c>
      <c r="I2139" s="10" t="s">
        <v>2809</v>
      </c>
      <c r="J2139" s="12" t="str">
        <f>IF(OR(TED[[#This Row],[SITUACAO]]=1,TED[[#This Row],[SITUACAO]]=9,TED[[#This Row],[SITUACAO]]=18),"ATIVO","AFASTADO")</f>
        <v>ATIVO</v>
      </c>
      <c r="K2139" s="12">
        <v>1</v>
      </c>
    </row>
    <row r="2140" spans="1:11" x14ac:dyDescent="0.25">
      <c r="A2140" s="10">
        <v>43134</v>
      </c>
      <c r="B2140" s="9" t="s">
        <v>2602</v>
      </c>
      <c r="C2140" s="12" t="str">
        <f>IFERROR(VLOOKUP(TED[[#This Row],[CENTRO]],'CENTRO DE CUSTO'!B:E,4,FALSE)," ")</f>
        <v xml:space="preserve"> </v>
      </c>
      <c r="D2140" s="12">
        <v>296</v>
      </c>
      <c r="E2140" s="16">
        <v>296022</v>
      </c>
      <c r="F2140" s="10" t="s">
        <v>2780</v>
      </c>
      <c r="G2140" s="10">
        <v>220</v>
      </c>
      <c r="H2140" s="11">
        <v>46013</v>
      </c>
      <c r="I2140" s="10" t="s">
        <v>2809</v>
      </c>
      <c r="J2140" s="12" t="str">
        <f>IF(OR(TED[[#This Row],[SITUACAO]]=1,TED[[#This Row],[SITUACAO]]=9,TED[[#This Row],[SITUACAO]]=18),"ATIVO","AFASTADO")</f>
        <v>ATIVO</v>
      </c>
      <c r="K2140" s="12">
        <v>1</v>
      </c>
    </row>
    <row r="2141" spans="1:11" x14ac:dyDescent="0.25">
      <c r="A2141" s="10">
        <v>43023</v>
      </c>
      <c r="B2141" s="9" t="s">
        <v>2603</v>
      </c>
      <c r="C2141" s="12" t="str">
        <f>IFERROR(VLOOKUP(TED[[#This Row],[CENTRO]],'CENTRO DE CUSTO'!B:E,4,FALSE)," ")</f>
        <v xml:space="preserve"> </v>
      </c>
      <c r="D2141" s="12">
        <v>296</v>
      </c>
      <c r="E2141" s="16">
        <v>296014</v>
      </c>
      <c r="F2141" s="10" t="s">
        <v>2751</v>
      </c>
      <c r="G2141" s="10">
        <v>220</v>
      </c>
      <c r="H2141" s="11">
        <v>46001</v>
      </c>
      <c r="I2141" s="10" t="s">
        <v>2809</v>
      </c>
      <c r="J2141" s="12" t="str">
        <f>IF(OR(TED[[#This Row],[SITUACAO]]=1,TED[[#This Row],[SITUACAO]]=9,TED[[#This Row],[SITUACAO]]=18),"ATIVO","AFASTADO")</f>
        <v>ATIVO</v>
      </c>
      <c r="K2141" s="12">
        <v>1</v>
      </c>
    </row>
    <row r="2142" spans="1:11" x14ac:dyDescent="0.25">
      <c r="A2142" s="10">
        <v>44506</v>
      </c>
      <c r="B2142" s="9" t="s">
        <v>2604</v>
      </c>
      <c r="C2142" s="12" t="str">
        <f>IFERROR(VLOOKUP(TED[[#This Row],[CENTRO]],'CENTRO DE CUSTO'!B:E,4,FALSE)," ")</f>
        <v xml:space="preserve"> </v>
      </c>
      <c r="D2142" s="12">
        <v>296</v>
      </c>
      <c r="E2142" s="16">
        <v>296030</v>
      </c>
      <c r="F2142" s="10" t="s">
        <v>2759</v>
      </c>
      <c r="G2142" s="10">
        <v>220</v>
      </c>
      <c r="H2142" s="11">
        <v>46093</v>
      </c>
      <c r="I2142" s="10" t="s">
        <v>2809</v>
      </c>
      <c r="J2142" s="12" t="str">
        <f>IF(OR(TED[[#This Row],[SITUACAO]]=1,TED[[#This Row],[SITUACAO]]=9,TED[[#This Row],[SITUACAO]]=18),"ATIVO","AFASTADO")</f>
        <v>ATIVO</v>
      </c>
      <c r="K2142" s="12">
        <v>1</v>
      </c>
    </row>
    <row r="2143" spans="1:11" x14ac:dyDescent="0.25">
      <c r="A2143" s="10">
        <v>47294</v>
      </c>
      <c r="B2143" s="9" t="s">
        <v>2605</v>
      </c>
      <c r="C2143" s="12" t="str">
        <f>IFERROR(VLOOKUP(TED[[#This Row],[CENTRO]],'CENTRO DE CUSTO'!B:E,4,FALSE)," ")</f>
        <v xml:space="preserve"> </v>
      </c>
      <c r="D2143" s="12">
        <v>296</v>
      </c>
      <c r="E2143" s="16">
        <v>296023</v>
      </c>
      <c r="F2143" s="10" t="s">
        <v>2776</v>
      </c>
      <c r="G2143" s="10">
        <v>220</v>
      </c>
      <c r="H2143" s="11">
        <v>46199</v>
      </c>
      <c r="I2143" s="10" t="s">
        <v>2809</v>
      </c>
      <c r="J2143" s="12" t="str">
        <f>IF(OR(TED[[#This Row],[SITUACAO]]=1,TED[[#This Row],[SITUACAO]]=9,TED[[#This Row],[SITUACAO]]=18),"ATIVO","AFASTADO")</f>
        <v>ATIVO</v>
      </c>
      <c r="K2143" s="12">
        <v>1</v>
      </c>
    </row>
    <row r="2144" spans="1:11" x14ac:dyDescent="0.25">
      <c r="A2144" s="10">
        <v>43806</v>
      </c>
      <c r="B2144" s="9" t="s">
        <v>2606</v>
      </c>
      <c r="C2144" s="12" t="str">
        <f>IFERROR(VLOOKUP(TED[[#This Row],[CENTRO]],'CENTRO DE CUSTO'!B:E,4,FALSE)," ")</f>
        <v xml:space="preserve"> </v>
      </c>
      <c r="D2144" s="12">
        <v>296</v>
      </c>
      <c r="E2144" s="16">
        <v>296055</v>
      </c>
      <c r="F2144" s="10" t="s">
        <v>2765</v>
      </c>
      <c r="G2144" s="10">
        <v>220</v>
      </c>
      <c r="H2144" s="11">
        <v>46062</v>
      </c>
      <c r="I2144" s="10" t="s">
        <v>604</v>
      </c>
      <c r="J2144" s="12" t="str">
        <f>IF(OR(TED[[#This Row],[SITUACAO]]=1,TED[[#This Row],[SITUACAO]]=9,TED[[#This Row],[SITUACAO]]=18),"ATIVO","AFASTADO")</f>
        <v>ATIVO</v>
      </c>
      <c r="K2144" s="12">
        <v>1</v>
      </c>
    </row>
    <row r="2145" spans="1:11" x14ac:dyDescent="0.25">
      <c r="A2145" s="10">
        <v>42112</v>
      </c>
      <c r="B2145" s="9" t="s">
        <v>2607</v>
      </c>
      <c r="C2145" s="12" t="str">
        <f>IFERROR(VLOOKUP(TED[[#This Row],[CENTRO]],'CENTRO DE CUSTO'!B:E,4,FALSE)," ")</f>
        <v xml:space="preserve"> </v>
      </c>
      <c r="D2145" s="12">
        <v>296</v>
      </c>
      <c r="E2145" s="16">
        <v>296002</v>
      </c>
      <c r="F2145" s="10" t="s">
        <v>2781</v>
      </c>
      <c r="G2145" s="10">
        <v>220</v>
      </c>
      <c r="H2145" s="11">
        <v>45978</v>
      </c>
      <c r="I2145" s="10" t="s">
        <v>2809</v>
      </c>
      <c r="J2145" s="12" t="str">
        <f>IF(OR(TED[[#This Row],[SITUACAO]]=1,TED[[#This Row],[SITUACAO]]=9,TED[[#This Row],[SITUACAO]]=18),"ATIVO","AFASTADO")</f>
        <v>ATIVO</v>
      </c>
      <c r="K2145" s="12">
        <v>1</v>
      </c>
    </row>
    <row r="2146" spans="1:11" x14ac:dyDescent="0.25">
      <c r="A2146" s="10">
        <v>42267</v>
      </c>
      <c r="B2146" s="9" t="s">
        <v>2608</v>
      </c>
      <c r="C2146" s="12" t="str">
        <f>IFERROR(VLOOKUP(TED[[#This Row],[CENTRO]],'CENTRO DE CUSTO'!B:E,4,FALSE)," ")</f>
        <v xml:space="preserve"> </v>
      </c>
      <c r="D2146" s="12">
        <v>296</v>
      </c>
      <c r="E2146" s="16">
        <v>296052</v>
      </c>
      <c r="F2146" s="10" t="s">
        <v>2749</v>
      </c>
      <c r="G2146" s="10">
        <v>220</v>
      </c>
      <c r="H2146" s="11">
        <v>45978</v>
      </c>
      <c r="I2146" s="10" t="s">
        <v>2809</v>
      </c>
      <c r="J2146" s="12" t="str">
        <f>IF(OR(TED[[#This Row],[SITUACAO]]=1,TED[[#This Row],[SITUACAO]]=9,TED[[#This Row],[SITUACAO]]=18),"ATIVO","AFASTADO")</f>
        <v>ATIVO</v>
      </c>
      <c r="K2146" s="12">
        <v>1</v>
      </c>
    </row>
    <row r="2147" spans="1:11" x14ac:dyDescent="0.25">
      <c r="A2147" s="10">
        <v>42087</v>
      </c>
      <c r="B2147" s="9" t="s">
        <v>2609</v>
      </c>
      <c r="C2147" s="12" t="str">
        <f>IFERROR(VLOOKUP(TED[[#This Row],[CENTRO]],'CENTRO DE CUSTO'!B:E,4,FALSE)," ")</f>
        <v xml:space="preserve"> </v>
      </c>
      <c r="D2147" s="12">
        <v>296</v>
      </c>
      <c r="E2147" s="16">
        <v>296034</v>
      </c>
      <c r="F2147" s="10" t="s">
        <v>2757</v>
      </c>
      <c r="G2147" s="10">
        <v>220</v>
      </c>
      <c r="H2147" s="11">
        <v>45978</v>
      </c>
      <c r="I2147" s="10" t="s">
        <v>2809</v>
      </c>
      <c r="J2147" s="12" t="str">
        <f>IF(OR(TED[[#This Row],[SITUACAO]]=1,TED[[#This Row],[SITUACAO]]=9,TED[[#This Row],[SITUACAO]]=18),"ATIVO","AFASTADO")</f>
        <v>ATIVO</v>
      </c>
      <c r="K2147" s="12">
        <v>1</v>
      </c>
    </row>
    <row r="2148" spans="1:11" x14ac:dyDescent="0.25">
      <c r="A2148" s="10">
        <v>42250</v>
      </c>
      <c r="B2148" s="9" t="s">
        <v>2610</v>
      </c>
      <c r="C2148" s="12" t="str">
        <f>IFERROR(VLOOKUP(TED[[#This Row],[CENTRO]],'CENTRO DE CUSTO'!B:E,4,FALSE)," ")</f>
        <v xml:space="preserve"> </v>
      </c>
      <c r="D2148" s="12">
        <v>296</v>
      </c>
      <c r="E2148" s="16">
        <v>296034</v>
      </c>
      <c r="F2148" s="10" t="s">
        <v>2757</v>
      </c>
      <c r="G2148" s="10">
        <v>220</v>
      </c>
      <c r="H2148" s="11">
        <v>45978</v>
      </c>
      <c r="I2148" s="10" t="s">
        <v>2809</v>
      </c>
      <c r="J2148" s="12" t="str">
        <f>IF(OR(TED[[#This Row],[SITUACAO]]=1,TED[[#This Row],[SITUACAO]]=9,TED[[#This Row],[SITUACAO]]=18),"ATIVO","AFASTADO")</f>
        <v>ATIVO</v>
      </c>
      <c r="K2148" s="12">
        <v>1</v>
      </c>
    </row>
    <row r="2149" spans="1:11" x14ac:dyDescent="0.25">
      <c r="A2149" s="10">
        <v>45924</v>
      </c>
      <c r="B2149" s="9" t="s">
        <v>2611</v>
      </c>
      <c r="C2149" s="12" t="str">
        <f>IFERROR(VLOOKUP(TED[[#This Row],[CENTRO]],'CENTRO DE CUSTO'!B:E,4,FALSE)," ")</f>
        <v xml:space="preserve"> </v>
      </c>
      <c r="D2149" s="12">
        <v>296</v>
      </c>
      <c r="E2149" s="16">
        <v>296025</v>
      </c>
      <c r="F2149" s="10" t="s">
        <v>2782</v>
      </c>
      <c r="G2149" s="10">
        <v>220</v>
      </c>
      <c r="H2149" s="11">
        <v>46169</v>
      </c>
      <c r="I2149" s="10" t="s">
        <v>2809</v>
      </c>
      <c r="J2149" s="12" t="str">
        <f>IF(OR(TED[[#This Row],[SITUACAO]]=1,TED[[#This Row],[SITUACAO]]=9,TED[[#This Row],[SITUACAO]]=18),"ATIVO","AFASTADO")</f>
        <v>ATIVO</v>
      </c>
      <c r="K2149" s="12">
        <v>1</v>
      </c>
    </row>
    <row r="2150" spans="1:11" x14ac:dyDescent="0.25">
      <c r="A2150" s="10">
        <v>43378</v>
      </c>
      <c r="B2150" s="9" t="s">
        <v>2612</v>
      </c>
      <c r="C2150" s="12" t="str">
        <f>IFERROR(VLOOKUP(TED[[#This Row],[CENTRO]],'CENTRO DE CUSTO'!B:E,4,FALSE)," ")</f>
        <v xml:space="preserve"> </v>
      </c>
      <c r="D2150" s="12">
        <v>296</v>
      </c>
      <c r="E2150" s="16">
        <v>296025</v>
      </c>
      <c r="F2150" s="10" t="s">
        <v>2782</v>
      </c>
      <c r="G2150" s="10">
        <v>220</v>
      </c>
      <c r="H2150" s="11">
        <v>46045</v>
      </c>
      <c r="I2150" s="10" t="s">
        <v>2809</v>
      </c>
      <c r="J2150" s="12" t="str">
        <f>IF(OR(TED[[#This Row],[SITUACAO]]=1,TED[[#This Row],[SITUACAO]]=9,TED[[#This Row],[SITUACAO]]=18),"ATIVO","AFASTADO")</f>
        <v>ATIVO</v>
      </c>
      <c r="K2150" s="12">
        <v>1</v>
      </c>
    </row>
    <row r="2151" spans="1:11" x14ac:dyDescent="0.25">
      <c r="A2151" s="10">
        <v>42105</v>
      </c>
      <c r="B2151" s="9" t="s">
        <v>2613</v>
      </c>
      <c r="C2151" s="12" t="str">
        <f>IFERROR(VLOOKUP(TED[[#This Row],[CENTRO]],'CENTRO DE CUSTO'!B:E,4,FALSE)," ")</f>
        <v xml:space="preserve"> </v>
      </c>
      <c r="D2151" s="12">
        <v>296</v>
      </c>
      <c r="E2151" s="16">
        <v>296039</v>
      </c>
      <c r="F2151" s="10" t="s">
        <v>2764</v>
      </c>
      <c r="G2151" s="10">
        <v>220</v>
      </c>
      <c r="H2151" s="11">
        <v>45978</v>
      </c>
      <c r="I2151" s="10" t="s">
        <v>2809</v>
      </c>
      <c r="J2151" s="12" t="str">
        <f>IF(OR(TED[[#This Row],[SITUACAO]]=1,TED[[#This Row],[SITUACAO]]=9,TED[[#This Row],[SITUACAO]]=18),"ATIVO","AFASTADO")</f>
        <v>ATIVO</v>
      </c>
      <c r="K2151" s="12">
        <v>1</v>
      </c>
    </row>
    <row r="2152" spans="1:11" x14ac:dyDescent="0.25">
      <c r="A2152" s="10">
        <v>42289</v>
      </c>
      <c r="B2152" s="9" t="s">
        <v>2614</v>
      </c>
      <c r="C2152" s="12" t="str">
        <f>IFERROR(VLOOKUP(TED[[#This Row],[CENTRO]],'CENTRO DE CUSTO'!B:E,4,FALSE)," ")</f>
        <v xml:space="preserve"> </v>
      </c>
      <c r="D2152" s="12">
        <v>296</v>
      </c>
      <c r="E2152" s="16">
        <v>296004</v>
      </c>
      <c r="F2152" s="10" t="s">
        <v>2755</v>
      </c>
      <c r="G2152" s="10">
        <v>220</v>
      </c>
      <c r="H2152" s="11">
        <v>45978</v>
      </c>
      <c r="I2152" s="10" t="s">
        <v>2809</v>
      </c>
      <c r="J2152" s="12" t="str">
        <f>IF(OR(TED[[#This Row],[SITUACAO]]=1,TED[[#This Row],[SITUACAO]]=9,TED[[#This Row],[SITUACAO]]=18),"ATIVO","AFASTADO")</f>
        <v>ATIVO</v>
      </c>
      <c r="K2152" s="12">
        <v>1</v>
      </c>
    </row>
    <row r="2153" spans="1:11" x14ac:dyDescent="0.25">
      <c r="A2153" s="10">
        <v>46163</v>
      </c>
      <c r="B2153" s="9" t="s">
        <v>2615</v>
      </c>
      <c r="C2153" s="12" t="str">
        <f>IFERROR(VLOOKUP(TED[[#This Row],[CENTRO]],'CENTRO DE CUSTO'!B:E,4,FALSE)," ")</f>
        <v xml:space="preserve"> </v>
      </c>
      <c r="D2153" s="12">
        <v>296</v>
      </c>
      <c r="E2153" s="16">
        <v>296055</v>
      </c>
      <c r="F2153" s="10" t="s">
        <v>2765</v>
      </c>
      <c r="G2153" s="10">
        <v>220</v>
      </c>
      <c r="H2153" s="11">
        <v>46190</v>
      </c>
      <c r="I2153" s="10" t="s">
        <v>604</v>
      </c>
      <c r="J2153" s="12" t="str">
        <f>IF(OR(TED[[#This Row],[SITUACAO]]=1,TED[[#This Row],[SITUACAO]]=9,TED[[#This Row],[SITUACAO]]=18),"ATIVO","AFASTADO")</f>
        <v>ATIVO</v>
      </c>
      <c r="K2153" s="12">
        <v>1</v>
      </c>
    </row>
    <row r="2154" spans="1:11" x14ac:dyDescent="0.25">
      <c r="A2154" s="10">
        <v>42213</v>
      </c>
      <c r="B2154" s="9" t="s">
        <v>2616</v>
      </c>
      <c r="C2154" s="12" t="str">
        <f>IFERROR(VLOOKUP(TED[[#This Row],[CENTRO]],'CENTRO DE CUSTO'!B:E,4,FALSE)," ")</f>
        <v xml:space="preserve"> </v>
      </c>
      <c r="D2154" s="12">
        <v>296</v>
      </c>
      <c r="E2154" s="16">
        <v>296006</v>
      </c>
      <c r="F2154" s="10" t="s">
        <v>2783</v>
      </c>
      <c r="G2154" s="10">
        <v>220</v>
      </c>
      <c r="H2154" s="11">
        <v>45978</v>
      </c>
      <c r="I2154" s="10" t="s">
        <v>2809</v>
      </c>
      <c r="J2154" s="12" t="str">
        <f>IF(OR(TED[[#This Row],[SITUACAO]]=1,TED[[#This Row],[SITUACAO]]=9,TED[[#This Row],[SITUACAO]]=18),"ATIVO","AFASTADO")</f>
        <v>ATIVO</v>
      </c>
      <c r="K2154" s="12">
        <v>1</v>
      </c>
    </row>
    <row r="2155" spans="1:11" x14ac:dyDescent="0.25">
      <c r="A2155" s="10">
        <v>42283</v>
      </c>
      <c r="B2155" s="9" t="s">
        <v>2617</v>
      </c>
      <c r="C2155" s="12" t="str">
        <f>IFERROR(VLOOKUP(TED[[#This Row],[CENTRO]],'CENTRO DE CUSTO'!B:E,4,FALSE)," ")</f>
        <v xml:space="preserve"> </v>
      </c>
      <c r="D2155" s="12">
        <v>296</v>
      </c>
      <c r="E2155" s="16">
        <v>296005</v>
      </c>
      <c r="F2155" s="10" t="s">
        <v>2784</v>
      </c>
      <c r="G2155" s="10">
        <v>220</v>
      </c>
      <c r="H2155" s="11">
        <v>45978</v>
      </c>
      <c r="I2155" s="10" t="s">
        <v>2809</v>
      </c>
      <c r="J2155" s="12" t="str">
        <f>IF(OR(TED[[#This Row],[SITUACAO]]=1,TED[[#This Row],[SITUACAO]]=9,TED[[#This Row],[SITUACAO]]=18),"ATIVO","AFASTADO")</f>
        <v>ATIVO</v>
      </c>
      <c r="K2155" s="12">
        <v>1</v>
      </c>
    </row>
    <row r="2156" spans="1:11" x14ac:dyDescent="0.25">
      <c r="A2156" s="10">
        <v>42268</v>
      </c>
      <c r="B2156" s="9" t="s">
        <v>2618</v>
      </c>
      <c r="C2156" s="12" t="str">
        <f>IFERROR(VLOOKUP(TED[[#This Row],[CENTRO]],'CENTRO DE CUSTO'!B:E,4,FALSE)," ")</f>
        <v xml:space="preserve"> </v>
      </c>
      <c r="D2156" s="12">
        <v>296</v>
      </c>
      <c r="E2156" s="16">
        <v>296045</v>
      </c>
      <c r="F2156" s="10" t="s">
        <v>2785</v>
      </c>
      <c r="G2156" s="10">
        <v>220</v>
      </c>
      <c r="H2156" s="11">
        <v>45978</v>
      </c>
      <c r="I2156" s="10" t="s">
        <v>2809</v>
      </c>
      <c r="J2156" s="12" t="str">
        <f>IF(OR(TED[[#This Row],[SITUACAO]]=1,TED[[#This Row],[SITUACAO]]=9,TED[[#This Row],[SITUACAO]]=18),"ATIVO","AFASTADO")</f>
        <v>ATIVO</v>
      </c>
      <c r="K2156" s="12">
        <v>1</v>
      </c>
    </row>
    <row r="2157" spans="1:11" x14ac:dyDescent="0.25">
      <c r="A2157" s="10">
        <v>42137</v>
      </c>
      <c r="B2157" s="9" t="s">
        <v>2619</v>
      </c>
      <c r="C2157" s="12" t="str">
        <f>IFERROR(VLOOKUP(TED[[#This Row],[CENTRO]],'CENTRO DE CUSTO'!B:E,4,FALSE)," ")</f>
        <v xml:space="preserve"> </v>
      </c>
      <c r="D2157" s="12">
        <v>296</v>
      </c>
      <c r="E2157" s="16">
        <v>296022</v>
      </c>
      <c r="F2157" s="10" t="s">
        <v>2780</v>
      </c>
      <c r="G2157" s="10">
        <v>220</v>
      </c>
      <c r="H2157" s="11">
        <v>45978</v>
      </c>
      <c r="I2157" s="10" t="s">
        <v>2809</v>
      </c>
      <c r="J2157" s="12" t="str">
        <f>IF(OR(TED[[#This Row],[SITUACAO]]=1,TED[[#This Row],[SITUACAO]]=9,TED[[#This Row],[SITUACAO]]=18),"ATIVO","AFASTADO")</f>
        <v>ATIVO</v>
      </c>
      <c r="K2157" s="12">
        <v>1</v>
      </c>
    </row>
    <row r="2158" spans="1:11" x14ac:dyDescent="0.25">
      <c r="A2158" s="10">
        <v>42158</v>
      </c>
      <c r="B2158" s="9" t="s">
        <v>2620</v>
      </c>
      <c r="C2158" s="12" t="str">
        <f>IFERROR(VLOOKUP(TED[[#This Row],[CENTRO]],'CENTRO DE CUSTO'!B:E,4,FALSE)," ")</f>
        <v xml:space="preserve"> </v>
      </c>
      <c r="D2158" s="12">
        <v>296</v>
      </c>
      <c r="E2158" s="16">
        <v>296006</v>
      </c>
      <c r="F2158" s="10" t="s">
        <v>2783</v>
      </c>
      <c r="G2158" s="10">
        <v>220</v>
      </c>
      <c r="H2158" s="11">
        <v>45978</v>
      </c>
      <c r="I2158" s="10" t="s">
        <v>2809</v>
      </c>
      <c r="J2158" s="12" t="str">
        <f>IF(OR(TED[[#This Row],[SITUACAO]]=1,TED[[#This Row],[SITUACAO]]=9,TED[[#This Row],[SITUACAO]]=18),"ATIVO","AFASTADO")</f>
        <v>ATIVO</v>
      </c>
      <c r="K2158" s="12">
        <v>1</v>
      </c>
    </row>
    <row r="2159" spans="1:11" x14ac:dyDescent="0.25">
      <c r="A2159" s="10">
        <v>43981</v>
      </c>
      <c r="B2159" s="9" t="s">
        <v>2621</v>
      </c>
      <c r="C2159" s="12" t="str">
        <f>IFERROR(VLOOKUP(TED[[#This Row],[CENTRO]],'CENTRO DE CUSTO'!B:E,4,FALSE)," ")</f>
        <v xml:space="preserve"> </v>
      </c>
      <c r="D2159" s="12">
        <v>296</v>
      </c>
      <c r="E2159" s="16">
        <v>296011</v>
      </c>
      <c r="F2159" s="10" t="s">
        <v>2786</v>
      </c>
      <c r="G2159" s="10">
        <v>220</v>
      </c>
      <c r="H2159" s="11">
        <v>46071</v>
      </c>
      <c r="I2159" s="10" t="s">
        <v>2809</v>
      </c>
      <c r="J2159" s="12" t="str">
        <f>IF(OR(TED[[#This Row],[SITUACAO]]=1,TED[[#This Row],[SITUACAO]]=9,TED[[#This Row],[SITUACAO]]=18),"ATIVO","AFASTADO")</f>
        <v>ATIVO</v>
      </c>
      <c r="K2159" s="12">
        <v>1</v>
      </c>
    </row>
    <row r="2160" spans="1:11" x14ac:dyDescent="0.25">
      <c r="A2160" s="10">
        <v>42204</v>
      </c>
      <c r="B2160" s="9" t="s">
        <v>2622</v>
      </c>
      <c r="C2160" s="12" t="str">
        <f>IFERROR(VLOOKUP(TED[[#This Row],[CENTRO]],'CENTRO DE CUSTO'!B:E,4,FALSE)," ")</f>
        <v xml:space="preserve"> </v>
      </c>
      <c r="D2160" s="12">
        <v>296</v>
      </c>
      <c r="E2160" s="16">
        <v>296001</v>
      </c>
      <c r="F2160" s="10" t="s">
        <v>2787</v>
      </c>
      <c r="G2160" s="10">
        <v>220</v>
      </c>
      <c r="H2160" s="11">
        <v>45978</v>
      </c>
      <c r="I2160" s="10" t="s">
        <v>2809</v>
      </c>
      <c r="J2160" s="12" t="str">
        <f>IF(OR(TED[[#This Row],[SITUACAO]]=1,TED[[#This Row],[SITUACAO]]=9,TED[[#This Row],[SITUACAO]]=18),"ATIVO","AFASTADO")</f>
        <v>ATIVO</v>
      </c>
      <c r="K2160" s="12">
        <v>1</v>
      </c>
    </row>
    <row r="2161" spans="1:11" x14ac:dyDescent="0.25">
      <c r="A2161" s="10">
        <v>42201</v>
      </c>
      <c r="B2161" s="9" t="s">
        <v>2623</v>
      </c>
      <c r="C2161" s="12" t="str">
        <f>IFERROR(VLOOKUP(TED[[#This Row],[CENTRO]],'CENTRO DE CUSTO'!B:E,4,FALSE)," ")</f>
        <v xml:space="preserve"> </v>
      </c>
      <c r="D2161" s="12">
        <v>296</v>
      </c>
      <c r="E2161" s="16">
        <v>296028</v>
      </c>
      <c r="F2161" s="10" t="s">
        <v>2788</v>
      </c>
      <c r="G2161" s="10">
        <v>220</v>
      </c>
      <c r="H2161" s="11">
        <v>45978</v>
      </c>
      <c r="I2161" s="10" t="s">
        <v>2809</v>
      </c>
      <c r="J2161" s="12" t="str">
        <f>IF(OR(TED[[#This Row],[SITUACAO]]=1,TED[[#This Row],[SITUACAO]]=9,TED[[#This Row],[SITUACAO]]=18),"ATIVO","AFASTADO")</f>
        <v>ATIVO</v>
      </c>
      <c r="K2161" s="12">
        <v>1</v>
      </c>
    </row>
    <row r="2162" spans="1:11" x14ac:dyDescent="0.25">
      <c r="A2162" s="10">
        <v>42244</v>
      </c>
      <c r="B2162" s="9" t="s">
        <v>2624</v>
      </c>
      <c r="C2162" s="12" t="str">
        <f>IFERROR(VLOOKUP(TED[[#This Row],[CENTRO]],'CENTRO DE CUSTO'!B:E,4,FALSE)," ")</f>
        <v xml:space="preserve"> </v>
      </c>
      <c r="D2162" s="12">
        <v>296</v>
      </c>
      <c r="E2162" s="16">
        <v>296022</v>
      </c>
      <c r="F2162" s="10" t="s">
        <v>2780</v>
      </c>
      <c r="G2162" s="10">
        <v>220</v>
      </c>
      <c r="H2162" s="11">
        <v>45978</v>
      </c>
      <c r="I2162" s="10" t="s">
        <v>2809</v>
      </c>
      <c r="J2162" s="12" t="str">
        <f>IF(OR(TED[[#This Row],[SITUACAO]]=1,TED[[#This Row],[SITUACAO]]=9,TED[[#This Row],[SITUACAO]]=18),"ATIVO","AFASTADO")</f>
        <v>ATIVO</v>
      </c>
      <c r="K2162" s="12">
        <v>1</v>
      </c>
    </row>
    <row r="2163" spans="1:11" x14ac:dyDescent="0.25">
      <c r="A2163" s="10">
        <v>42272</v>
      </c>
      <c r="B2163" s="9" t="s">
        <v>2625</v>
      </c>
      <c r="C2163" s="12" t="str">
        <f>IFERROR(VLOOKUP(TED[[#This Row],[CENTRO]],'CENTRO DE CUSTO'!B:E,4,FALSE)," ")</f>
        <v xml:space="preserve"> </v>
      </c>
      <c r="D2163" s="12">
        <v>296</v>
      </c>
      <c r="E2163" s="16">
        <v>296016</v>
      </c>
      <c r="F2163" s="10" t="s">
        <v>2789</v>
      </c>
      <c r="G2163" s="10">
        <v>220</v>
      </c>
      <c r="H2163" s="11">
        <v>45978</v>
      </c>
      <c r="I2163" s="10" t="s">
        <v>2809</v>
      </c>
      <c r="J2163" s="12" t="str">
        <f>IF(OR(TED[[#This Row],[SITUACAO]]=1,TED[[#This Row],[SITUACAO]]=9,TED[[#This Row],[SITUACAO]]=18),"ATIVO","AFASTADO")</f>
        <v>ATIVO</v>
      </c>
      <c r="K2163" s="12">
        <v>1</v>
      </c>
    </row>
    <row r="2164" spans="1:11" x14ac:dyDescent="0.25">
      <c r="A2164" s="10">
        <v>42266</v>
      </c>
      <c r="B2164" s="9" t="s">
        <v>2626</v>
      </c>
      <c r="C2164" s="12" t="str">
        <f>IFERROR(VLOOKUP(TED[[#This Row],[CENTRO]],'CENTRO DE CUSTO'!B:E,4,FALSE)," ")</f>
        <v xml:space="preserve"> </v>
      </c>
      <c r="D2164" s="12">
        <v>296</v>
      </c>
      <c r="E2164" s="16">
        <v>296011</v>
      </c>
      <c r="F2164" s="10" t="s">
        <v>2786</v>
      </c>
      <c r="G2164" s="10">
        <v>220</v>
      </c>
      <c r="H2164" s="11">
        <v>45978</v>
      </c>
      <c r="I2164" s="10" t="s">
        <v>2809</v>
      </c>
      <c r="J2164" s="12" t="str">
        <f>IF(OR(TED[[#This Row],[SITUACAO]]=1,TED[[#This Row],[SITUACAO]]=9,TED[[#This Row],[SITUACAO]]=18),"ATIVO","AFASTADO")</f>
        <v>ATIVO</v>
      </c>
      <c r="K2164" s="12">
        <v>1</v>
      </c>
    </row>
    <row r="2165" spans="1:11" x14ac:dyDescent="0.25">
      <c r="A2165" s="10">
        <v>42088</v>
      </c>
      <c r="B2165" s="9" t="s">
        <v>2627</v>
      </c>
      <c r="C2165" s="12" t="str">
        <f>IFERROR(VLOOKUP(TED[[#This Row],[CENTRO]],'CENTRO DE CUSTO'!B:E,4,FALSE)," ")</f>
        <v xml:space="preserve"> </v>
      </c>
      <c r="D2165" s="12">
        <v>296</v>
      </c>
      <c r="E2165" s="16">
        <v>296044</v>
      </c>
      <c r="F2165" s="10" t="s">
        <v>2778</v>
      </c>
      <c r="G2165" s="10">
        <v>220</v>
      </c>
      <c r="H2165" s="11">
        <v>45978</v>
      </c>
      <c r="I2165" s="10" t="s">
        <v>2809</v>
      </c>
      <c r="J2165" s="12" t="str">
        <f>IF(OR(TED[[#This Row],[SITUACAO]]=1,TED[[#This Row],[SITUACAO]]=9,TED[[#This Row],[SITUACAO]]=18),"ATIVO","AFASTADO")</f>
        <v>ATIVO</v>
      </c>
      <c r="K2165" s="12">
        <v>1</v>
      </c>
    </row>
    <row r="2166" spans="1:11" x14ac:dyDescent="0.25">
      <c r="A2166" s="10">
        <v>42211</v>
      </c>
      <c r="B2166" s="9" t="s">
        <v>2628</v>
      </c>
      <c r="C2166" s="12" t="str">
        <f>IFERROR(VLOOKUP(TED[[#This Row],[CENTRO]],'CENTRO DE CUSTO'!B:E,4,FALSE)," ")</f>
        <v xml:space="preserve"> </v>
      </c>
      <c r="D2166" s="12">
        <v>296</v>
      </c>
      <c r="E2166" s="16">
        <v>296005</v>
      </c>
      <c r="F2166" s="10" t="s">
        <v>2784</v>
      </c>
      <c r="G2166" s="10">
        <v>220</v>
      </c>
      <c r="H2166" s="11">
        <v>45978</v>
      </c>
      <c r="I2166" s="10" t="s">
        <v>2809</v>
      </c>
      <c r="J2166" s="12" t="str">
        <f>IF(OR(TED[[#This Row],[SITUACAO]]=1,TED[[#This Row],[SITUACAO]]=9,TED[[#This Row],[SITUACAO]]=18),"ATIVO","AFASTADO")</f>
        <v>ATIVO</v>
      </c>
      <c r="K2166" s="12">
        <v>1</v>
      </c>
    </row>
    <row r="2167" spans="1:11" x14ac:dyDescent="0.25">
      <c r="A2167" s="10">
        <v>42234</v>
      </c>
      <c r="B2167" s="9" t="s">
        <v>2629</v>
      </c>
      <c r="C2167" s="12" t="str">
        <f>IFERROR(VLOOKUP(TED[[#This Row],[CENTRO]],'CENTRO DE CUSTO'!B:E,4,FALSE)," ")</f>
        <v xml:space="preserve"> </v>
      </c>
      <c r="D2167" s="12">
        <v>296</v>
      </c>
      <c r="E2167" s="16">
        <v>296011</v>
      </c>
      <c r="F2167" s="10" t="s">
        <v>2786</v>
      </c>
      <c r="G2167" s="10">
        <v>220</v>
      </c>
      <c r="H2167" s="11">
        <v>45978</v>
      </c>
      <c r="I2167" s="10" t="s">
        <v>2809</v>
      </c>
      <c r="J2167" s="12" t="str">
        <f>IF(OR(TED[[#This Row],[SITUACAO]]=1,TED[[#This Row],[SITUACAO]]=9,TED[[#This Row],[SITUACAO]]=18),"ATIVO","AFASTADO")</f>
        <v>ATIVO</v>
      </c>
      <c r="K2167" s="12">
        <v>1</v>
      </c>
    </row>
    <row r="2168" spans="1:11" x14ac:dyDescent="0.25">
      <c r="A2168" s="10">
        <v>42089</v>
      </c>
      <c r="B2168" s="9" t="s">
        <v>2630</v>
      </c>
      <c r="C2168" s="12" t="str">
        <f>IFERROR(VLOOKUP(TED[[#This Row],[CENTRO]],'CENTRO DE CUSTO'!B:E,4,FALSE)," ")</f>
        <v xml:space="preserve"> </v>
      </c>
      <c r="D2168" s="12">
        <v>296</v>
      </c>
      <c r="E2168" s="16">
        <v>296048</v>
      </c>
      <c r="F2168" s="10" t="s">
        <v>2790</v>
      </c>
      <c r="G2168" s="10">
        <v>220</v>
      </c>
      <c r="H2168" s="11">
        <v>45978</v>
      </c>
      <c r="I2168" s="10" t="s">
        <v>2809</v>
      </c>
      <c r="J2168" s="12" t="str">
        <f>IF(OR(TED[[#This Row],[SITUACAO]]=1,TED[[#This Row],[SITUACAO]]=9,TED[[#This Row],[SITUACAO]]=18),"ATIVO","AFASTADO")</f>
        <v>ATIVO</v>
      </c>
      <c r="K2168" s="12">
        <v>1</v>
      </c>
    </row>
    <row r="2169" spans="1:11" x14ac:dyDescent="0.25">
      <c r="A2169" s="10">
        <v>43977</v>
      </c>
      <c r="B2169" s="9" t="s">
        <v>2631</v>
      </c>
      <c r="C2169" s="12" t="str">
        <f>IFERROR(VLOOKUP(TED[[#This Row],[CENTRO]],'CENTRO DE CUSTO'!B:E,4,FALSE)," ")</f>
        <v xml:space="preserve"> </v>
      </c>
      <c r="D2169" s="12">
        <v>296</v>
      </c>
      <c r="E2169" s="16">
        <v>296033</v>
      </c>
      <c r="F2169" s="10" t="s">
        <v>2791</v>
      </c>
      <c r="G2169" s="10">
        <v>220</v>
      </c>
      <c r="H2169" s="11">
        <v>46071</v>
      </c>
      <c r="I2169" s="10" t="s">
        <v>2809</v>
      </c>
      <c r="J2169" s="12" t="str">
        <f>IF(OR(TED[[#This Row],[SITUACAO]]=1,TED[[#This Row],[SITUACAO]]=9,TED[[#This Row],[SITUACAO]]=18),"ATIVO","AFASTADO")</f>
        <v>ATIVO</v>
      </c>
      <c r="K2169" s="12">
        <v>1</v>
      </c>
    </row>
    <row r="2170" spans="1:11" x14ac:dyDescent="0.25">
      <c r="A2170" s="10">
        <v>42255</v>
      </c>
      <c r="B2170" s="9" t="s">
        <v>2632</v>
      </c>
      <c r="C2170" s="12" t="str">
        <f>IFERROR(VLOOKUP(TED[[#This Row],[CENTRO]],'CENTRO DE CUSTO'!B:E,4,FALSE)," ")</f>
        <v xml:space="preserve"> </v>
      </c>
      <c r="D2170" s="12">
        <v>296</v>
      </c>
      <c r="E2170" s="16">
        <v>296007</v>
      </c>
      <c r="F2170" s="10" t="s">
        <v>2766</v>
      </c>
      <c r="G2170" s="10">
        <v>220</v>
      </c>
      <c r="H2170" s="11">
        <v>45978</v>
      </c>
      <c r="I2170" s="10" t="s">
        <v>2809</v>
      </c>
      <c r="J2170" s="12" t="str">
        <f>IF(OR(TED[[#This Row],[SITUACAO]]=1,TED[[#This Row],[SITUACAO]]=9,TED[[#This Row],[SITUACAO]]=18),"ATIVO","AFASTADO")</f>
        <v>ATIVO</v>
      </c>
      <c r="K2170" s="12">
        <v>1</v>
      </c>
    </row>
    <row r="2171" spans="1:11" x14ac:dyDescent="0.25">
      <c r="A2171" s="10">
        <v>42264</v>
      </c>
      <c r="B2171" s="9" t="s">
        <v>2633</v>
      </c>
      <c r="C2171" s="12" t="str">
        <f>IFERROR(VLOOKUP(TED[[#This Row],[CENTRO]],'CENTRO DE CUSTO'!B:E,4,FALSE)," ")</f>
        <v xml:space="preserve"> </v>
      </c>
      <c r="D2171" s="12">
        <v>296</v>
      </c>
      <c r="E2171" s="16">
        <v>296023</v>
      </c>
      <c r="F2171" s="10" t="s">
        <v>2776</v>
      </c>
      <c r="G2171" s="10">
        <v>220</v>
      </c>
      <c r="H2171" s="11">
        <v>45978</v>
      </c>
      <c r="I2171" s="10" t="s">
        <v>2809</v>
      </c>
      <c r="J2171" s="12" t="str">
        <f>IF(OR(TED[[#This Row],[SITUACAO]]=1,TED[[#This Row],[SITUACAO]]=9,TED[[#This Row],[SITUACAO]]=18),"ATIVO","AFASTADO")</f>
        <v>AFASTADO</v>
      </c>
      <c r="K2171" s="12">
        <v>5</v>
      </c>
    </row>
    <row r="2172" spans="1:11" x14ac:dyDescent="0.25">
      <c r="A2172" s="10">
        <v>42103</v>
      </c>
      <c r="B2172" s="9" t="s">
        <v>2634</v>
      </c>
      <c r="C2172" s="12" t="str">
        <f>IFERROR(VLOOKUP(TED[[#This Row],[CENTRO]],'CENTRO DE CUSTO'!B:E,4,FALSE)," ")</f>
        <v xml:space="preserve"> </v>
      </c>
      <c r="D2172" s="12">
        <v>296</v>
      </c>
      <c r="E2172" s="16">
        <v>296015</v>
      </c>
      <c r="F2172" s="10" t="s">
        <v>2792</v>
      </c>
      <c r="G2172" s="10">
        <v>220</v>
      </c>
      <c r="H2172" s="11">
        <v>45978</v>
      </c>
      <c r="I2172" s="10" t="s">
        <v>2809</v>
      </c>
      <c r="J2172" s="12" t="str">
        <f>IF(OR(TED[[#This Row],[SITUACAO]]=1,TED[[#This Row],[SITUACAO]]=9,TED[[#This Row],[SITUACAO]]=18),"ATIVO","AFASTADO")</f>
        <v>ATIVO</v>
      </c>
      <c r="K2172" s="12">
        <v>1</v>
      </c>
    </row>
    <row r="2173" spans="1:11" x14ac:dyDescent="0.25">
      <c r="A2173" s="10">
        <v>42247</v>
      </c>
      <c r="B2173" s="9" t="s">
        <v>2635</v>
      </c>
      <c r="C2173" s="12" t="str">
        <f>IFERROR(VLOOKUP(TED[[#This Row],[CENTRO]],'CENTRO DE CUSTO'!B:E,4,FALSE)," ")</f>
        <v xml:space="preserve"> </v>
      </c>
      <c r="D2173" s="12">
        <v>296</v>
      </c>
      <c r="E2173" s="16">
        <v>296035</v>
      </c>
      <c r="F2173" s="10" t="s">
        <v>2769</v>
      </c>
      <c r="G2173" s="10">
        <v>220</v>
      </c>
      <c r="H2173" s="11">
        <v>45978</v>
      </c>
      <c r="I2173" s="10" t="s">
        <v>2809</v>
      </c>
      <c r="J2173" s="12" t="str">
        <f>IF(OR(TED[[#This Row],[SITUACAO]]=1,TED[[#This Row],[SITUACAO]]=9,TED[[#This Row],[SITUACAO]]=18),"ATIVO","AFASTADO")</f>
        <v>ATIVO</v>
      </c>
      <c r="K2173" s="12">
        <v>1</v>
      </c>
    </row>
    <row r="2174" spans="1:11" x14ac:dyDescent="0.25">
      <c r="A2174" s="10">
        <v>42183</v>
      </c>
      <c r="B2174" s="9" t="s">
        <v>2636</v>
      </c>
      <c r="C2174" s="12" t="str">
        <f>IFERROR(VLOOKUP(TED[[#This Row],[CENTRO]],'CENTRO DE CUSTO'!B:E,4,FALSE)," ")</f>
        <v xml:space="preserve"> </v>
      </c>
      <c r="D2174" s="12">
        <v>296</v>
      </c>
      <c r="E2174" s="16">
        <v>296018</v>
      </c>
      <c r="F2174" s="10" t="s">
        <v>2793</v>
      </c>
      <c r="G2174" s="10">
        <v>220</v>
      </c>
      <c r="H2174" s="11">
        <v>45978</v>
      </c>
      <c r="I2174" s="10" t="s">
        <v>2809</v>
      </c>
      <c r="J2174" s="12" t="str">
        <f>IF(OR(TED[[#This Row],[SITUACAO]]=1,TED[[#This Row],[SITUACAO]]=9,TED[[#This Row],[SITUACAO]]=18),"ATIVO","AFASTADO")</f>
        <v>ATIVO</v>
      </c>
      <c r="K2174" s="12">
        <v>1</v>
      </c>
    </row>
    <row r="2175" spans="1:11" x14ac:dyDescent="0.25">
      <c r="A2175" s="10">
        <v>42125</v>
      </c>
      <c r="B2175" s="9" t="s">
        <v>2637</v>
      </c>
      <c r="C2175" s="12" t="str">
        <f>IFERROR(VLOOKUP(TED[[#This Row],[CENTRO]],'CENTRO DE CUSTO'!B:E,4,FALSE)," ")</f>
        <v xml:space="preserve"> </v>
      </c>
      <c r="D2175" s="12">
        <v>296</v>
      </c>
      <c r="E2175" s="16">
        <v>296005</v>
      </c>
      <c r="F2175" s="10" t="s">
        <v>2784</v>
      </c>
      <c r="G2175" s="10">
        <v>220</v>
      </c>
      <c r="H2175" s="11">
        <v>45978</v>
      </c>
      <c r="I2175" s="10" t="s">
        <v>2809</v>
      </c>
      <c r="J2175" s="12" t="str">
        <f>IF(OR(TED[[#This Row],[SITUACAO]]=1,TED[[#This Row],[SITUACAO]]=9,TED[[#This Row],[SITUACAO]]=18),"ATIVO","AFASTADO")</f>
        <v>ATIVO</v>
      </c>
      <c r="K2175" s="12">
        <v>1</v>
      </c>
    </row>
    <row r="2176" spans="1:11" x14ac:dyDescent="0.25">
      <c r="A2176" s="10">
        <v>42184</v>
      </c>
      <c r="B2176" s="9" t="s">
        <v>2638</v>
      </c>
      <c r="C2176" s="12" t="str">
        <f>IFERROR(VLOOKUP(TED[[#This Row],[CENTRO]],'CENTRO DE CUSTO'!B:E,4,FALSE)," ")</f>
        <v xml:space="preserve"> </v>
      </c>
      <c r="D2176" s="12">
        <v>296</v>
      </c>
      <c r="E2176" s="16">
        <v>296027</v>
      </c>
      <c r="F2176" s="10" t="s">
        <v>2794</v>
      </c>
      <c r="G2176" s="10">
        <v>220</v>
      </c>
      <c r="H2176" s="11">
        <v>45978</v>
      </c>
      <c r="I2176" s="10" t="s">
        <v>2809</v>
      </c>
      <c r="J2176" s="12" t="str">
        <f>IF(OR(TED[[#This Row],[SITUACAO]]=1,TED[[#This Row],[SITUACAO]]=9,TED[[#This Row],[SITUACAO]]=18),"ATIVO","AFASTADO")</f>
        <v>ATIVO</v>
      </c>
      <c r="K2176" s="12">
        <v>1</v>
      </c>
    </row>
    <row r="2177" spans="1:11" x14ac:dyDescent="0.25">
      <c r="A2177" s="10">
        <v>44615</v>
      </c>
      <c r="B2177" s="9" t="s">
        <v>2639</v>
      </c>
      <c r="C2177" s="12" t="str">
        <f>IFERROR(VLOOKUP(TED[[#This Row],[CENTRO]],'CENTRO DE CUSTO'!B:E,4,FALSE)," ")</f>
        <v xml:space="preserve"> </v>
      </c>
      <c r="D2177" s="12">
        <v>296</v>
      </c>
      <c r="E2177" s="16">
        <v>296002</v>
      </c>
      <c r="F2177" s="10" t="s">
        <v>2781</v>
      </c>
      <c r="G2177" s="10">
        <v>220</v>
      </c>
      <c r="H2177" s="11">
        <v>46099</v>
      </c>
      <c r="I2177" s="10" t="s">
        <v>2809</v>
      </c>
      <c r="J2177" s="12" t="str">
        <f>IF(OR(TED[[#This Row],[SITUACAO]]=1,TED[[#This Row],[SITUACAO]]=9,TED[[#This Row],[SITUACAO]]=18),"ATIVO","AFASTADO")</f>
        <v>ATIVO</v>
      </c>
      <c r="K2177" s="12">
        <v>1</v>
      </c>
    </row>
    <row r="2178" spans="1:11" x14ac:dyDescent="0.25">
      <c r="A2178" s="10">
        <v>42241</v>
      </c>
      <c r="B2178" s="9" t="s">
        <v>2640</v>
      </c>
      <c r="C2178" s="12" t="str">
        <f>IFERROR(VLOOKUP(TED[[#This Row],[CENTRO]],'CENTRO DE CUSTO'!B:E,4,FALSE)," ")</f>
        <v xml:space="preserve"> </v>
      </c>
      <c r="D2178" s="12">
        <v>296</v>
      </c>
      <c r="E2178" s="16">
        <v>296044</v>
      </c>
      <c r="F2178" s="10" t="s">
        <v>2778</v>
      </c>
      <c r="G2178" s="10">
        <v>220</v>
      </c>
      <c r="H2178" s="11">
        <v>45978</v>
      </c>
      <c r="I2178" s="10" t="s">
        <v>2809</v>
      </c>
      <c r="J2178" s="12" t="str">
        <f>IF(OR(TED[[#This Row],[SITUACAO]]=1,TED[[#This Row],[SITUACAO]]=9,TED[[#This Row],[SITUACAO]]=18),"ATIVO","AFASTADO")</f>
        <v>ATIVO</v>
      </c>
      <c r="K2178" s="12">
        <v>1</v>
      </c>
    </row>
    <row r="2179" spans="1:11" x14ac:dyDescent="0.25">
      <c r="A2179" s="10">
        <v>42215</v>
      </c>
      <c r="B2179" s="9" t="s">
        <v>2641</v>
      </c>
      <c r="C2179" s="12" t="str">
        <f>IFERROR(VLOOKUP(TED[[#This Row],[CENTRO]],'CENTRO DE CUSTO'!B:E,4,FALSE)," ")</f>
        <v xml:space="preserve"> </v>
      </c>
      <c r="D2179" s="12">
        <v>296</v>
      </c>
      <c r="E2179" s="16">
        <v>296028</v>
      </c>
      <c r="F2179" s="10" t="s">
        <v>2788</v>
      </c>
      <c r="G2179" s="10">
        <v>220</v>
      </c>
      <c r="H2179" s="11">
        <v>45978</v>
      </c>
      <c r="I2179" s="10" t="s">
        <v>2809</v>
      </c>
      <c r="J2179" s="12" t="str">
        <f>IF(OR(TED[[#This Row],[SITUACAO]]=1,TED[[#This Row],[SITUACAO]]=9,TED[[#This Row],[SITUACAO]]=18),"ATIVO","AFASTADO")</f>
        <v>ATIVO</v>
      </c>
      <c r="K2179" s="12">
        <v>1</v>
      </c>
    </row>
    <row r="2180" spans="1:11" x14ac:dyDescent="0.25">
      <c r="A2180" s="10">
        <v>43079</v>
      </c>
      <c r="B2180" s="9" t="s">
        <v>2642</v>
      </c>
      <c r="C2180" s="12" t="str">
        <f>IFERROR(VLOOKUP(TED[[#This Row],[CENTRO]],'CENTRO DE CUSTO'!B:E,4,FALSE)," ")</f>
        <v xml:space="preserve"> </v>
      </c>
      <c r="D2180" s="12">
        <v>296</v>
      </c>
      <c r="E2180" s="16">
        <v>296019</v>
      </c>
      <c r="F2180" s="10" t="s">
        <v>2795</v>
      </c>
      <c r="G2180" s="10">
        <v>220</v>
      </c>
      <c r="H2180" s="11">
        <v>46008</v>
      </c>
      <c r="I2180" s="10" t="s">
        <v>2809</v>
      </c>
      <c r="J2180" s="12" t="str">
        <f>IF(OR(TED[[#This Row],[SITUACAO]]=1,TED[[#This Row],[SITUACAO]]=9,TED[[#This Row],[SITUACAO]]=18),"ATIVO","AFASTADO")</f>
        <v>ATIVO</v>
      </c>
      <c r="K2180" s="12">
        <v>1</v>
      </c>
    </row>
    <row r="2181" spans="1:11" x14ac:dyDescent="0.25">
      <c r="A2181" s="10">
        <v>42192</v>
      </c>
      <c r="B2181" s="9" t="s">
        <v>2643</v>
      </c>
      <c r="C2181" s="12" t="str">
        <f>IFERROR(VLOOKUP(TED[[#This Row],[CENTRO]],'CENTRO DE CUSTO'!B:E,4,FALSE)," ")</f>
        <v xml:space="preserve"> </v>
      </c>
      <c r="D2181" s="12">
        <v>296</v>
      </c>
      <c r="E2181" s="16">
        <v>296030</v>
      </c>
      <c r="F2181" s="10" t="s">
        <v>2759</v>
      </c>
      <c r="G2181" s="10">
        <v>220</v>
      </c>
      <c r="H2181" s="11">
        <v>45978</v>
      </c>
      <c r="I2181" s="10" t="s">
        <v>2809</v>
      </c>
      <c r="J2181" s="12" t="str">
        <f>IF(OR(TED[[#This Row],[SITUACAO]]=1,TED[[#This Row],[SITUACAO]]=9,TED[[#This Row],[SITUACAO]]=18),"ATIVO","AFASTADO")</f>
        <v>ATIVO</v>
      </c>
      <c r="K2181" s="12">
        <v>1</v>
      </c>
    </row>
    <row r="2182" spans="1:11" x14ac:dyDescent="0.25">
      <c r="A2182" s="10">
        <v>42212</v>
      </c>
      <c r="B2182" s="9" t="s">
        <v>2644</v>
      </c>
      <c r="C2182" s="12" t="str">
        <f>IFERROR(VLOOKUP(TED[[#This Row],[CENTRO]],'CENTRO DE CUSTO'!B:E,4,FALSE)," ")</f>
        <v xml:space="preserve"> </v>
      </c>
      <c r="D2182" s="12">
        <v>296</v>
      </c>
      <c r="E2182" s="16">
        <v>296051</v>
      </c>
      <c r="F2182" s="10" t="s">
        <v>2763</v>
      </c>
      <c r="G2182" s="10">
        <v>220</v>
      </c>
      <c r="H2182" s="11">
        <v>45978</v>
      </c>
      <c r="I2182" s="10" t="s">
        <v>2809</v>
      </c>
      <c r="J2182" s="12" t="str">
        <f>IF(OR(TED[[#This Row],[SITUACAO]]=1,TED[[#This Row],[SITUACAO]]=9,TED[[#This Row],[SITUACAO]]=18),"ATIVO","AFASTADO")</f>
        <v>ATIVO</v>
      </c>
      <c r="K2182" s="12">
        <v>1</v>
      </c>
    </row>
    <row r="2183" spans="1:11" x14ac:dyDescent="0.25">
      <c r="A2183" s="10">
        <v>42199</v>
      </c>
      <c r="B2183" s="9" t="s">
        <v>2645</v>
      </c>
      <c r="C2183" s="12" t="str">
        <f>IFERROR(VLOOKUP(TED[[#This Row],[CENTRO]],'CENTRO DE CUSTO'!B:E,4,FALSE)," ")</f>
        <v xml:space="preserve"> </v>
      </c>
      <c r="D2183" s="12">
        <v>296</v>
      </c>
      <c r="E2183" s="16">
        <v>296046</v>
      </c>
      <c r="F2183" s="10" t="s">
        <v>2760</v>
      </c>
      <c r="G2183" s="10">
        <v>220</v>
      </c>
      <c r="H2183" s="11">
        <v>45978</v>
      </c>
      <c r="I2183" s="10" t="s">
        <v>2809</v>
      </c>
      <c r="J2183" s="12" t="str">
        <f>IF(OR(TED[[#This Row],[SITUACAO]]=1,TED[[#This Row],[SITUACAO]]=9,TED[[#This Row],[SITUACAO]]=18),"ATIVO","AFASTADO")</f>
        <v>ATIVO</v>
      </c>
      <c r="K2183" s="12">
        <v>1</v>
      </c>
    </row>
    <row r="2184" spans="1:11" x14ac:dyDescent="0.25">
      <c r="A2184" s="10">
        <v>42090</v>
      </c>
      <c r="B2184" s="9" t="s">
        <v>2646</v>
      </c>
      <c r="C2184" s="12" t="str">
        <f>IFERROR(VLOOKUP(TED[[#This Row],[CENTRO]],'CENTRO DE CUSTO'!B:E,4,FALSE)," ")</f>
        <v xml:space="preserve"> </v>
      </c>
      <c r="D2184" s="12">
        <v>296</v>
      </c>
      <c r="E2184" s="16">
        <v>296020</v>
      </c>
      <c r="F2184" s="10" t="s">
        <v>2796</v>
      </c>
      <c r="G2184" s="10">
        <v>220</v>
      </c>
      <c r="H2184" s="11">
        <v>45978</v>
      </c>
      <c r="I2184" s="10" t="s">
        <v>2809</v>
      </c>
      <c r="J2184" s="12" t="str">
        <f>IF(OR(TED[[#This Row],[SITUACAO]]=1,TED[[#This Row],[SITUACAO]]=9,TED[[#This Row],[SITUACAO]]=18),"ATIVO","AFASTADO")</f>
        <v>ATIVO</v>
      </c>
      <c r="K2184" s="12">
        <v>1</v>
      </c>
    </row>
    <row r="2185" spans="1:11" x14ac:dyDescent="0.25">
      <c r="A2185" s="10">
        <v>42203</v>
      </c>
      <c r="B2185" s="9" t="s">
        <v>2647</v>
      </c>
      <c r="C2185" s="12" t="str">
        <f>IFERROR(VLOOKUP(TED[[#This Row],[CENTRO]],'CENTRO DE CUSTO'!B:E,4,FALSE)," ")</f>
        <v xml:space="preserve"> </v>
      </c>
      <c r="D2185" s="12">
        <v>296</v>
      </c>
      <c r="E2185" s="16">
        <v>296009</v>
      </c>
      <c r="F2185" s="10" t="s">
        <v>2771</v>
      </c>
      <c r="G2185" s="10">
        <v>220</v>
      </c>
      <c r="H2185" s="11">
        <v>45978</v>
      </c>
      <c r="I2185" s="10" t="s">
        <v>2809</v>
      </c>
      <c r="J2185" s="12" t="str">
        <f>IF(OR(TED[[#This Row],[SITUACAO]]=1,TED[[#This Row],[SITUACAO]]=9,TED[[#This Row],[SITUACAO]]=18),"ATIVO","AFASTADO")</f>
        <v>ATIVO</v>
      </c>
      <c r="K2185" s="12">
        <v>1</v>
      </c>
    </row>
    <row r="2186" spans="1:11" x14ac:dyDescent="0.25">
      <c r="A2186" s="10">
        <v>42233</v>
      </c>
      <c r="B2186" s="9" t="s">
        <v>2648</v>
      </c>
      <c r="C2186" s="12" t="str">
        <f>IFERROR(VLOOKUP(TED[[#This Row],[CENTRO]],'CENTRO DE CUSTO'!B:E,4,FALSE)," ")</f>
        <v xml:space="preserve"> </v>
      </c>
      <c r="D2186" s="12">
        <v>296</v>
      </c>
      <c r="E2186" s="16">
        <v>296000</v>
      </c>
      <c r="F2186" s="10" t="s">
        <v>2767</v>
      </c>
      <c r="G2186" s="10">
        <v>220</v>
      </c>
      <c r="H2186" s="11">
        <v>45978</v>
      </c>
      <c r="I2186" s="10" t="s">
        <v>2809</v>
      </c>
      <c r="J2186" s="12" t="str">
        <f>IF(OR(TED[[#This Row],[SITUACAO]]=1,TED[[#This Row],[SITUACAO]]=9,TED[[#This Row],[SITUACAO]]=18),"ATIVO","AFASTADO")</f>
        <v>ATIVO</v>
      </c>
      <c r="K2186" s="12">
        <v>1</v>
      </c>
    </row>
    <row r="2187" spans="1:11" x14ac:dyDescent="0.25">
      <c r="A2187" s="10">
        <v>42102</v>
      </c>
      <c r="B2187" s="9" t="s">
        <v>2649</v>
      </c>
      <c r="C2187" s="12" t="str">
        <f>IFERROR(VLOOKUP(TED[[#This Row],[CENTRO]],'CENTRO DE CUSTO'!B:E,4,FALSE)," ")</f>
        <v xml:space="preserve"> </v>
      </c>
      <c r="D2187" s="12">
        <v>296</v>
      </c>
      <c r="E2187" s="16">
        <v>296008</v>
      </c>
      <c r="F2187" s="10" t="s">
        <v>2797</v>
      </c>
      <c r="G2187" s="10">
        <v>220</v>
      </c>
      <c r="H2187" s="11">
        <v>45978</v>
      </c>
      <c r="I2187" s="10" t="s">
        <v>2809</v>
      </c>
      <c r="J2187" s="12" t="str">
        <f>IF(OR(TED[[#This Row],[SITUACAO]]=1,TED[[#This Row],[SITUACAO]]=9,TED[[#This Row],[SITUACAO]]=18),"ATIVO","AFASTADO")</f>
        <v>ATIVO</v>
      </c>
      <c r="K2187" s="12">
        <v>1</v>
      </c>
    </row>
    <row r="2188" spans="1:11" x14ac:dyDescent="0.25">
      <c r="A2188" s="10">
        <v>42245</v>
      </c>
      <c r="B2188" s="9" t="s">
        <v>2650</v>
      </c>
      <c r="C2188" s="12" t="str">
        <f>IFERROR(VLOOKUP(TED[[#This Row],[CENTRO]],'CENTRO DE CUSTO'!B:E,4,FALSE)," ")</f>
        <v xml:space="preserve"> </v>
      </c>
      <c r="D2188" s="12">
        <v>296</v>
      </c>
      <c r="E2188" s="16">
        <v>296025</v>
      </c>
      <c r="F2188" s="10" t="s">
        <v>2782</v>
      </c>
      <c r="G2188" s="10">
        <v>220</v>
      </c>
      <c r="H2188" s="11">
        <v>45978</v>
      </c>
      <c r="I2188" s="10" t="s">
        <v>2809</v>
      </c>
      <c r="J2188" s="12" t="str">
        <f>IF(OR(TED[[#This Row],[SITUACAO]]=1,TED[[#This Row],[SITUACAO]]=9,TED[[#This Row],[SITUACAO]]=18),"ATIVO","AFASTADO")</f>
        <v>ATIVO</v>
      </c>
      <c r="K2188" s="12">
        <v>1</v>
      </c>
    </row>
    <row r="2189" spans="1:11" x14ac:dyDescent="0.25">
      <c r="A2189" s="10">
        <v>42281</v>
      </c>
      <c r="B2189" s="9" t="s">
        <v>2651</v>
      </c>
      <c r="C2189" s="12" t="str">
        <f>IFERROR(VLOOKUP(TED[[#This Row],[CENTRO]],'CENTRO DE CUSTO'!B:E,4,FALSE)," ")</f>
        <v xml:space="preserve"> </v>
      </c>
      <c r="D2189" s="12">
        <v>296</v>
      </c>
      <c r="E2189" s="16">
        <v>296043</v>
      </c>
      <c r="F2189" s="10" t="s">
        <v>2752</v>
      </c>
      <c r="G2189" s="10">
        <v>220</v>
      </c>
      <c r="H2189" s="11">
        <v>45978</v>
      </c>
      <c r="I2189" s="10" t="s">
        <v>2809</v>
      </c>
      <c r="J2189" s="12" t="str">
        <f>IF(OR(TED[[#This Row],[SITUACAO]]=1,TED[[#This Row],[SITUACAO]]=9,TED[[#This Row],[SITUACAO]]=18),"ATIVO","AFASTADO")</f>
        <v>ATIVO</v>
      </c>
      <c r="K2189" s="12">
        <v>1</v>
      </c>
    </row>
    <row r="2190" spans="1:11" x14ac:dyDescent="0.25">
      <c r="A2190" s="10">
        <v>44075</v>
      </c>
      <c r="B2190" s="9" t="s">
        <v>2652</v>
      </c>
      <c r="C2190" s="12" t="str">
        <f>IFERROR(VLOOKUP(TED[[#This Row],[CENTRO]],'CENTRO DE CUSTO'!B:E,4,FALSE)," ")</f>
        <v xml:space="preserve"> </v>
      </c>
      <c r="D2190" s="12">
        <v>296</v>
      </c>
      <c r="E2190" s="16">
        <v>296019</v>
      </c>
      <c r="F2190" s="10" t="s">
        <v>2795</v>
      </c>
      <c r="G2190" s="10">
        <v>220</v>
      </c>
      <c r="H2190" s="11">
        <v>46073</v>
      </c>
      <c r="I2190" s="10" t="s">
        <v>2809</v>
      </c>
      <c r="J2190" s="12" t="str">
        <f>IF(OR(TED[[#This Row],[SITUACAO]]=1,TED[[#This Row],[SITUACAO]]=9,TED[[#This Row],[SITUACAO]]=18),"ATIVO","AFASTADO")</f>
        <v>ATIVO</v>
      </c>
      <c r="K2190" s="12">
        <v>1</v>
      </c>
    </row>
    <row r="2191" spans="1:11" x14ac:dyDescent="0.25">
      <c r="A2191" s="10">
        <v>42164</v>
      </c>
      <c r="B2191" s="9" t="s">
        <v>2653</v>
      </c>
      <c r="C2191" s="12" t="str">
        <f>IFERROR(VLOOKUP(TED[[#This Row],[CENTRO]],'CENTRO DE CUSTO'!B:E,4,FALSE)," ")</f>
        <v xml:space="preserve"> </v>
      </c>
      <c r="D2191" s="12">
        <v>296</v>
      </c>
      <c r="E2191" s="16">
        <v>296047</v>
      </c>
      <c r="F2191" s="10" t="s">
        <v>2756</v>
      </c>
      <c r="G2191" s="10">
        <v>220</v>
      </c>
      <c r="H2191" s="11">
        <v>45978</v>
      </c>
      <c r="I2191" s="10" t="s">
        <v>2809</v>
      </c>
      <c r="J2191" s="12" t="str">
        <f>IF(OR(TED[[#This Row],[SITUACAO]]=1,TED[[#This Row],[SITUACAO]]=9,TED[[#This Row],[SITUACAO]]=18),"ATIVO","AFASTADO")</f>
        <v>ATIVO</v>
      </c>
      <c r="K2191" s="12">
        <v>1</v>
      </c>
    </row>
    <row r="2192" spans="1:11" x14ac:dyDescent="0.25">
      <c r="A2192" s="10">
        <v>42191</v>
      </c>
      <c r="B2192" s="9" t="s">
        <v>2654</v>
      </c>
      <c r="C2192" s="12" t="str">
        <f>IFERROR(VLOOKUP(TED[[#This Row],[CENTRO]],'CENTRO DE CUSTO'!B:E,4,FALSE)," ")</f>
        <v xml:space="preserve"> </v>
      </c>
      <c r="D2192" s="12">
        <v>296</v>
      </c>
      <c r="E2192" s="16">
        <v>296003</v>
      </c>
      <c r="F2192" s="10" t="s">
        <v>2774</v>
      </c>
      <c r="G2192" s="10">
        <v>220</v>
      </c>
      <c r="H2192" s="11">
        <v>45978</v>
      </c>
      <c r="I2192" s="10" t="s">
        <v>2809</v>
      </c>
      <c r="J2192" s="12" t="str">
        <f>IF(OR(TED[[#This Row],[SITUACAO]]=1,TED[[#This Row],[SITUACAO]]=9,TED[[#This Row],[SITUACAO]]=18),"ATIVO","AFASTADO")</f>
        <v>ATIVO</v>
      </c>
      <c r="K2192" s="12">
        <v>1</v>
      </c>
    </row>
    <row r="2193" spans="1:11" x14ac:dyDescent="0.25">
      <c r="A2193" s="10">
        <v>44590</v>
      </c>
      <c r="B2193" s="9" t="s">
        <v>2655</v>
      </c>
      <c r="C2193" s="12" t="str">
        <f>IFERROR(VLOOKUP(TED[[#This Row],[CENTRO]],'CENTRO DE CUSTO'!B:E,4,FALSE)," ")</f>
        <v xml:space="preserve"> </v>
      </c>
      <c r="D2193" s="12">
        <v>296</v>
      </c>
      <c r="E2193" s="16">
        <v>296032</v>
      </c>
      <c r="F2193" s="10" t="s">
        <v>2798</v>
      </c>
      <c r="G2193" s="10">
        <v>220</v>
      </c>
      <c r="H2193" s="11">
        <v>46098</v>
      </c>
      <c r="I2193" s="10" t="s">
        <v>2809</v>
      </c>
      <c r="J2193" s="12" t="str">
        <f>IF(OR(TED[[#This Row],[SITUACAO]]=1,TED[[#This Row],[SITUACAO]]=9,TED[[#This Row],[SITUACAO]]=18),"ATIVO","AFASTADO")</f>
        <v>ATIVO</v>
      </c>
      <c r="K2193" s="12">
        <v>1</v>
      </c>
    </row>
    <row r="2194" spans="1:11" x14ac:dyDescent="0.25">
      <c r="A2194" s="10">
        <v>42945</v>
      </c>
      <c r="B2194" s="9" t="s">
        <v>2656</v>
      </c>
      <c r="C2194" s="12" t="str">
        <f>IFERROR(VLOOKUP(TED[[#This Row],[CENTRO]],'CENTRO DE CUSTO'!B:E,4,FALSE)," ")</f>
        <v xml:space="preserve"> </v>
      </c>
      <c r="D2194" s="12">
        <v>296</v>
      </c>
      <c r="E2194" s="16">
        <v>296001</v>
      </c>
      <c r="F2194" s="10" t="s">
        <v>2787</v>
      </c>
      <c r="G2194" s="10">
        <v>220</v>
      </c>
      <c r="H2194" s="11">
        <v>45993</v>
      </c>
      <c r="I2194" s="10" t="s">
        <v>2809</v>
      </c>
      <c r="J2194" s="12" t="str">
        <f>IF(OR(TED[[#This Row],[SITUACAO]]=1,TED[[#This Row],[SITUACAO]]=9,TED[[#This Row],[SITUACAO]]=18),"ATIVO","AFASTADO")</f>
        <v>ATIVO</v>
      </c>
      <c r="K2194" s="12">
        <v>1</v>
      </c>
    </row>
    <row r="2195" spans="1:11" x14ac:dyDescent="0.25">
      <c r="A2195" s="10">
        <v>42124</v>
      </c>
      <c r="B2195" s="9" t="s">
        <v>2657</v>
      </c>
      <c r="C2195" s="12" t="str">
        <f>IFERROR(VLOOKUP(TED[[#This Row],[CENTRO]],'CENTRO DE CUSTO'!B:E,4,FALSE)," ")</f>
        <v xml:space="preserve"> </v>
      </c>
      <c r="D2195" s="12">
        <v>296</v>
      </c>
      <c r="E2195" s="16">
        <v>296051</v>
      </c>
      <c r="F2195" s="10" t="s">
        <v>2763</v>
      </c>
      <c r="G2195" s="10">
        <v>220</v>
      </c>
      <c r="H2195" s="11">
        <v>45978</v>
      </c>
      <c r="I2195" s="10" t="s">
        <v>2809</v>
      </c>
      <c r="J2195" s="12" t="str">
        <f>IF(OR(TED[[#This Row],[SITUACAO]]=1,TED[[#This Row],[SITUACAO]]=9,TED[[#This Row],[SITUACAO]]=18),"ATIVO","AFASTADO")</f>
        <v>ATIVO</v>
      </c>
      <c r="K2195" s="12">
        <v>1</v>
      </c>
    </row>
    <row r="2196" spans="1:11" x14ac:dyDescent="0.25">
      <c r="A2196" s="10">
        <v>42263</v>
      </c>
      <c r="B2196" s="9" t="s">
        <v>2658</v>
      </c>
      <c r="C2196" s="12" t="str">
        <f>IFERROR(VLOOKUP(TED[[#This Row],[CENTRO]],'CENTRO DE CUSTO'!B:E,4,FALSE)," ")</f>
        <v xml:space="preserve"> </v>
      </c>
      <c r="D2196" s="12">
        <v>296</v>
      </c>
      <c r="E2196" s="16">
        <v>296016</v>
      </c>
      <c r="F2196" s="10" t="s">
        <v>2789</v>
      </c>
      <c r="G2196" s="10">
        <v>220</v>
      </c>
      <c r="H2196" s="11">
        <v>45978</v>
      </c>
      <c r="I2196" s="10" t="s">
        <v>2809</v>
      </c>
      <c r="J2196" s="12" t="str">
        <f>IF(OR(TED[[#This Row],[SITUACAO]]=1,TED[[#This Row],[SITUACAO]]=9,TED[[#This Row],[SITUACAO]]=18),"ATIVO","AFASTADO")</f>
        <v>ATIVO</v>
      </c>
      <c r="K2196" s="12">
        <v>1</v>
      </c>
    </row>
    <row r="2197" spans="1:11" x14ac:dyDescent="0.25">
      <c r="A2197" s="10">
        <v>42114</v>
      </c>
      <c r="B2197" s="9" t="s">
        <v>2659</v>
      </c>
      <c r="C2197" s="12" t="str">
        <f>IFERROR(VLOOKUP(TED[[#This Row],[CENTRO]],'CENTRO DE CUSTO'!B:E,4,FALSE)," ")</f>
        <v xml:space="preserve"> </v>
      </c>
      <c r="D2197" s="12">
        <v>296</v>
      </c>
      <c r="E2197" s="16">
        <v>296011</v>
      </c>
      <c r="F2197" s="10" t="s">
        <v>2786</v>
      </c>
      <c r="G2197" s="10">
        <v>220</v>
      </c>
      <c r="H2197" s="11">
        <v>45978</v>
      </c>
      <c r="I2197" s="10" t="s">
        <v>2809</v>
      </c>
      <c r="J2197" s="12" t="str">
        <f>IF(OR(TED[[#This Row],[SITUACAO]]=1,TED[[#This Row],[SITUACAO]]=9,TED[[#This Row],[SITUACAO]]=18),"ATIVO","AFASTADO")</f>
        <v>ATIVO</v>
      </c>
      <c r="K2197" s="12">
        <v>1</v>
      </c>
    </row>
    <row r="2198" spans="1:11" x14ac:dyDescent="0.25">
      <c r="A2198" s="10">
        <v>42091</v>
      </c>
      <c r="B2198" s="9" t="s">
        <v>2660</v>
      </c>
      <c r="C2198" s="12" t="str">
        <f>IFERROR(VLOOKUP(TED[[#This Row],[CENTRO]],'CENTRO DE CUSTO'!B:E,4,FALSE)," ")</f>
        <v xml:space="preserve"> </v>
      </c>
      <c r="D2198" s="12">
        <v>296</v>
      </c>
      <c r="E2198" s="16">
        <v>296039</v>
      </c>
      <c r="F2198" s="10" t="s">
        <v>2764</v>
      </c>
      <c r="G2198" s="10">
        <v>220</v>
      </c>
      <c r="H2198" s="11">
        <v>45978</v>
      </c>
      <c r="I2198" s="10" t="s">
        <v>2809</v>
      </c>
      <c r="J2198" s="12" t="str">
        <f>IF(OR(TED[[#This Row],[SITUACAO]]=1,TED[[#This Row],[SITUACAO]]=9,TED[[#This Row],[SITUACAO]]=18),"ATIVO","AFASTADO")</f>
        <v>ATIVO</v>
      </c>
      <c r="K2198" s="12">
        <v>1</v>
      </c>
    </row>
    <row r="2199" spans="1:11" x14ac:dyDescent="0.25">
      <c r="A2199" s="10">
        <v>43078</v>
      </c>
      <c r="B2199" s="9" t="s">
        <v>2661</v>
      </c>
      <c r="C2199" s="12" t="str">
        <f>IFERROR(VLOOKUP(TED[[#This Row],[CENTRO]],'CENTRO DE CUSTO'!B:E,4,FALSE)," ")</f>
        <v xml:space="preserve"> </v>
      </c>
      <c r="D2199" s="12">
        <v>296</v>
      </c>
      <c r="E2199" s="16">
        <v>296019</v>
      </c>
      <c r="F2199" s="10" t="s">
        <v>2795</v>
      </c>
      <c r="G2199" s="10">
        <v>220</v>
      </c>
      <c r="H2199" s="11">
        <v>46008</v>
      </c>
      <c r="I2199" s="10" t="s">
        <v>2809</v>
      </c>
      <c r="J2199" s="12" t="str">
        <f>IF(OR(TED[[#This Row],[SITUACAO]]=1,TED[[#This Row],[SITUACAO]]=9,TED[[#This Row],[SITUACAO]]=18),"ATIVO","AFASTADO")</f>
        <v>ATIVO</v>
      </c>
      <c r="K2199" s="12">
        <v>1</v>
      </c>
    </row>
    <row r="2200" spans="1:11" x14ac:dyDescent="0.25">
      <c r="A2200" s="10">
        <v>43112</v>
      </c>
      <c r="B2200" s="9" t="s">
        <v>2662</v>
      </c>
      <c r="C2200" s="12" t="str">
        <f>IFERROR(VLOOKUP(TED[[#This Row],[CENTRO]],'CENTRO DE CUSTO'!B:E,4,FALSE)," ")</f>
        <v xml:space="preserve"> </v>
      </c>
      <c r="D2200" s="12">
        <v>296</v>
      </c>
      <c r="E2200" s="16">
        <v>296031</v>
      </c>
      <c r="F2200" s="10" t="s">
        <v>2799</v>
      </c>
      <c r="G2200" s="10">
        <v>220</v>
      </c>
      <c r="H2200" s="11">
        <v>46010</v>
      </c>
      <c r="I2200" s="10" t="s">
        <v>2809</v>
      </c>
      <c r="J2200" s="12" t="str">
        <f>IF(OR(TED[[#This Row],[SITUACAO]]=1,TED[[#This Row],[SITUACAO]]=9,TED[[#This Row],[SITUACAO]]=18),"ATIVO","AFASTADO")</f>
        <v>ATIVO</v>
      </c>
      <c r="K2200" s="12">
        <v>1</v>
      </c>
    </row>
    <row r="2201" spans="1:11" x14ac:dyDescent="0.25">
      <c r="A2201" s="10">
        <v>43256</v>
      </c>
      <c r="B2201" s="9" t="s">
        <v>2663</v>
      </c>
      <c r="C2201" s="12" t="str">
        <f>IFERROR(VLOOKUP(TED[[#This Row],[CENTRO]],'CENTRO DE CUSTO'!B:E,4,FALSE)," ")</f>
        <v xml:space="preserve"> </v>
      </c>
      <c r="D2201" s="12">
        <v>296</v>
      </c>
      <c r="E2201" s="16">
        <v>296035</v>
      </c>
      <c r="F2201" s="10" t="s">
        <v>2769</v>
      </c>
      <c r="G2201" s="10">
        <v>220</v>
      </c>
      <c r="H2201" s="11">
        <v>46036</v>
      </c>
      <c r="I2201" s="10" t="s">
        <v>2809</v>
      </c>
      <c r="J2201" s="12" t="str">
        <f>IF(OR(TED[[#This Row],[SITUACAO]]=1,TED[[#This Row],[SITUACAO]]=9,TED[[#This Row],[SITUACAO]]=18),"ATIVO","AFASTADO")</f>
        <v>ATIVO</v>
      </c>
      <c r="K2201" s="12">
        <v>1</v>
      </c>
    </row>
    <row r="2202" spans="1:11" x14ac:dyDescent="0.25">
      <c r="A2202" s="10">
        <v>42187</v>
      </c>
      <c r="B2202" s="9" t="s">
        <v>2664</v>
      </c>
      <c r="C2202" s="12" t="str">
        <f>IFERROR(VLOOKUP(TED[[#This Row],[CENTRO]],'CENTRO DE CUSTO'!B:E,4,FALSE)," ")</f>
        <v xml:space="preserve"> </v>
      </c>
      <c r="D2202" s="12">
        <v>296</v>
      </c>
      <c r="E2202" s="16">
        <v>296038</v>
      </c>
      <c r="F2202" s="10" t="s">
        <v>2772</v>
      </c>
      <c r="G2202" s="10">
        <v>220</v>
      </c>
      <c r="H2202" s="11">
        <v>45978</v>
      </c>
      <c r="I2202" s="10" t="s">
        <v>2809</v>
      </c>
      <c r="J2202" s="12" t="str">
        <f>IF(OR(TED[[#This Row],[SITUACAO]]=1,TED[[#This Row],[SITUACAO]]=9,TED[[#This Row],[SITUACAO]]=18),"ATIVO","AFASTADO")</f>
        <v>ATIVO</v>
      </c>
      <c r="K2202" s="12">
        <v>1</v>
      </c>
    </row>
    <row r="2203" spans="1:11" x14ac:dyDescent="0.25">
      <c r="A2203" s="10">
        <v>42106</v>
      </c>
      <c r="B2203" s="9" t="s">
        <v>2665</v>
      </c>
      <c r="C2203" s="12" t="str">
        <f>IFERROR(VLOOKUP(TED[[#This Row],[CENTRO]],'CENTRO DE CUSTO'!B:E,4,FALSE)," ")</f>
        <v xml:space="preserve"> </v>
      </c>
      <c r="D2203" s="12">
        <v>296</v>
      </c>
      <c r="E2203" s="16">
        <v>296003</v>
      </c>
      <c r="F2203" s="10" t="s">
        <v>2774</v>
      </c>
      <c r="G2203" s="10">
        <v>220</v>
      </c>
      <c r="H2203" s="11">
        <v>45978</v>
      </c>
      <c r="I2203" s="10" t="s">
        <v>2809</v>
      </c>
      <c r="J2203" s="12" t="str">
        <f>IF(OR(TED[[#This Row],[SITUACAO]]=1,TED[[#This Row],[SITUACAO]]=9,TED[[#This Row],[SITUACAO]]=18),"ATIVO","AFASTADO")</f>
        <v>ATIVO</v>
      </c>
      <c r="K2203" s="12">
        <v>1</v>
      </c>
    </row>
    <row r="2204" spans="1:11" x14ac:dyDescent="0.25">
      <c r="A2204" s="10">
        <v>45157</v>
      </c>
      <c r="B2204" s="9" t="s">
        <v>2666</v>
      </c>
      <c r="C2204" s="12" t="str">
        <f>IFERROR(VLOOKUP(TED[[#This Row],[CENTRO]],'CENTRO DE CUSTO'!B:E,4,FALSE)," ")</f>
        <v xml:space="preserve"> </v>
      </c>
      <c r="D2204" s="12">
        <v>296</v>
      </c>
      <c r="E2204" s="16">
        <v>296043</v>
      </c>
      <c r="F2204" s="10" t="s">
        <v>2752</v>
      </c>
      <c r="G2204" s="10">
        <v>220</v>
      </c>
      <c r="H2204" s="11">
        <v>46129</v>
      </c>
      <c r="I2204" s="10" t="s">
        <v>2809</v>
      </c>
      <c r="J2204" s="12" t="str">
        <f>IF(OR(TED[[#This Row],[SITUACAO]]=1,TED[[#This Row],[SITUACAO]]=9,TED[[#This Row],[SITUACAO]]=18),"ATIVO","AFASTADO")</f>
        <v>ATIVO</v>
      </c>
      <c r="K2204" s="12">
        <v>1</v>
      </c>
    </row>
    <row r="2205" spans="1:11" x14ac:dyDescent="0.25">
      <c r="A2205" s="10">
        <v>42119</v>
      </c>
      <c r="B2205" s="9" t="s">
        <v>2667</v>
      </c>
      <c r="C2205" s="12" t="str">
        <f>IFERROR(VLOOKUP(TED[[#This Row],[CENTRO]],'CENTRO DE CUSTO'!B:E,4,FALSE)," ")</f>
        <v xml:space="preserve"> </v>
      </c>
      <c r="D2205" s="12">
        <v>296</v>
      </c>
      <c r="E2205" s="16">
        <v>296002</v>
      </c>
      <c r="F2205" s="10" t="s">
        <v>2781</v>
      </c>
      <c r="G2205" s="10">
        <v>220</v>
      </c>
      <c r="H2205" s="11">
        <v>45978</v>
      </c>
      <c r="I2205" s="10" t="s">
        <v>2809</v>
      </c>
      <c r="J2205" s="12" t="str">
        <f>IF(OR(TED[[#This Row],[SITUACAO]]=1,TED[[#This Row],[SITUACAO]]=9,TED[[#This Row],[SITUACAO]]=18),"ATIVO","AFASTADO")</f>
        <v>ATIVO</v>
      </c>
      <c r="K2205" s="12">
        <v>1</v>
      </c>
    </row>
    <row r="2206" spans="1:11" x14ac:dyDescent="0.25">
      <c r="A2206" s="10">
        <v>42208</v>
      </c>
      <c r="B2206" s="9" t="s">
        <v>2668</v>
      </c>
      <c r="C2206" s="12" t="str">
        <f>IFERROR(VLOOKUP(TED[[#This Row],[CENTRO]],'CENTRO DE CUSTO'!B:E,4,FALSE)," ")</f>
        <v xml:space="preserve"> </v>
      </c>
      <c r="D2206" s="12">
        <v>296</v>
      </c>
      <c r="E2206" s="16">
        <v>296042</v>
      </c>
      <c r="F2206" s="10" t="s">
        <v>2800</v>
      </c>
      <c r="G2206" s="10">
        <v>220</v>
      </c>
      <c r="H2206" s="11">
        <v>45978</v>
      </c>
      <c r="I2206" s="10" t="s">
        <v>2809</v>
      </c>
      <c r="J2206" s="12" t="str">
        <f>IF(OR(TED[[#This Row],[SITUACAO]]=1,TED[[#This Row],[SITUACAO]]=9,TED[[#This Row],[SITUACAO]]=18),"ATIVO","AFASTADO")</f>
        <v>ATIVO</v>
      </c>
      <c r="K2206" s="12">
        <v>1</v>
      </c>
    </row>
    <row r="2207" spans="1:11" x14ac:dyDescent="0.25">
      <c r="A2207" s="10">
        <v>42092</v>
      </c>
      <c r="B2207" s="9" t="s">
        <v>2669</v>
      </c>
      <c r="C2207" s="12" t="str">
        <f>IFERROR(VLOOKUP(TED[[#This Row],[CENTRO]],'CENTRO DE CUSTO'!B:E,4,FALSE)," ")</f>
        <v xml:space="preserve"> </v>
      </c>
      <c r="D2207" s="12">
        <v>296</v>
      </c>
      <c r="E2207" s="16">
        <v>296018</v>
      </c>
      <c r="F2207" s="10" t="s">
        <v>2793</v>
      </c>
      <c r="G2207" s="10">
        <v>220</v>
      </c>
      <c r="H2207" s="11">
        <v>45978</v>
      </c>
      <c r="I2207" s="10" t="s">
        <v>2809</v>
      </c>
      <c r="J2207" s="12" t="str">
        <f>IF(OR(TED[[#This Row],[SITUACAO]]=1,TED[[#This Row],[SITUACAO]]=9,TED[[#This Row],[SITUACAO]]=18),"ATIVO","AFASTADO")</f>
        <v>ATIVO</v>
      </c>
      <c r="K2207" s="12">
        <v>1</v>
      </c>
    </row>
    <row r="2208" spans="1:11" x14ac:dyDescent="0.25">
      <c r="A2208" s="10">
        <v>42261</v>
      </c>
      <c r="B2208" s="9" t="s">
        <v>2670</v>
      </c>
      <c r="C2208" s="12" t="str">
        <f>IFERROR(VLOOKUP(TED[[#This Row],[CENTRO]],'CENTRO DE CUSTO'!B:E,4,FALSE)," ")</f>
        <v xml:space="preserve"> </v>
      </c>
      <c r="D2208" s="12">
        <v>296</v>
      </c>
      <c r="E2208" s="16">
        <v>296053</v>
      </c>
      <c r="F2208" s="10" t="s">
        <v>2750</v>
      </c>
      <c r="G2208" s="10">
        <v>220</v>
      </c>
      <c r="H2208" s="11">
        <v>45978</v>
      </c>
      <c r="I2208" s="10" t="s">
        <v>2809</v>
      </c>
      <c r="J2208" s="12" t="str">
        <f>IF(OR(TED[[#This Row],[SITUACAO]]=1,TED[[#This Row],[SITUACAO]]=9,TED[[#This Row],[SITUACAO]]=18),"ATIVO","AFASTADO")</f>
        <v>ATIVO</v>
      </c>
      <c r="K2208" s="12">
        <v>1</v>
      </c>
    </row>
    <row r="2209" spans="1:11" x14ac:dyDescent="0.25">
      <c r="A2209" s="10">
        <v>42231</v>
      </c>
      <c r="B2209" s="9" t="s">
        <v>2671</v>
      </c>
      <c r="C2209" s="12" t="str">
        <f>IFERROR(VLOOKUP(TED[[#This Row],[CENTRO]],'CENTRO DE CUSTO'!B:E,4,FALSE)," ")</f>
        <v xml:space="preserve"> </v>
      </c>
      <c r="D2209" s="12">
        <v>296</v>
      </c>
      <c r="E2209" s="16">
        <v>296002</v>
      </c>
      <c r="F2209" s="10" t="s">
        <v>2781</v>
      </c>
      <c r="G2209" s="10">
        <v>220</v>
      </c>
      <c r="H2209" s="11">
        <v>45978</v>
      </c>
      <c r="I2209" s="10" t="s">
        <v>2809</v>
      </c>
      <c r="J2209" s="12" t="str">
        <f>IF(OR(TED[[#This Row],[SITUACAO]]=1,TED[[#This Row],[SITUACAO]]=9,TED[[#This Row],[SITUACAO]]=18),"ATIVO","AFASTADO")</f>
        <v>ATIVO</v>
      </c>
      <c r="K2209" s="12">
        <v>1</v>
      </c>
    </row>
    <row r="2210" spans="1:11" x14ac:dyDescent="0.25">
      <c r="A2210" s="10">
        <v>42262</v>
      </c>
      <c r="B2210" s="9" t="s">
        <v>2672</v>
      </c>
      <c r="C2210" s="12" t="str">
        <f>IFERROR(VLOOKUP(TED[[#This Row],[CENTRO]],'CENTRO DE CUSTO'!B:E,4,FALSE)," ")</f>
        <v xml:space="preserve"> </v>
      </c>
      <c r="D2210" s="12">
        <v>296</v>
      </c>
      <c r="E2210" s="16">
        <v>296010</v>
      </c>
      <c r="F2210" s="10" t="s">
        <v>2762</v>
      </c>
      <c r="G2210" s="10">
        <v>220</v>
      </c>
      <c r="H2210" s="11">
        <v>45978</v>
      </c>
      <c r="I2210" s="10" t="s">
        <v>2809</v>
      </c>
      <c r="J2210" s="12" t="str">
        <f>IF(OR(TED[[#This Row],[SITUACAO]]=1,TED[[#This Row],[SITUACAO]]=9,TED[[#This Row],[SITUACAO]]=18),"ATIVO","AFASTADO")</f>
        <v>ATIVO</v>
      </c>
      <c r="K2210" s="12">
        <v>1</v>
      </c>
    </row>
    <row r="2211" spans="1:11" x14ac:dyDescent="0.25">
      <c r="A2211" s="10">
        <v>42207</v>
      </c>
      <c r="B2211" s="9" t="s">
        <v>2673</v>
      </c>
      <c r="C2211" s="12" t="str">
        <f>IFERROR(VLOOKUP(TED[[#This Row],[CENTRO]],'CENTRO DE CUSTO'!B:E,4,FALSE)," ")</f>
        <v xml:space="preserve"> </v>
      </c>
      <c r="D2211" s="12">
        <v>296</v>
      </c>
      <c r="E2211" s="16">
        <v>296011</v>
      </c>
      <c r="F2211" s="10" t="s">
        <v>2786</v>
      </c>
      <c r="G2211" s="10">
        <v>220</v>
      </c>
      <c r="H2211" s="11">
        <v>45978</v>
      </c>
      <c r="I2211" s="10" t="s">
        <v>2809</v>
      </c>
      <c r="J2211" s="12" t="str">
        <f>IF(OR(TED[[#This Row],[SITUACAO]]=1,TED[[#This Row],[SITUACAO]]=9,TED[[#This Row],[SITUACAO]]=18),"ATIVO","AFASTADO")</f>
        <v>ATIVO</v>
      </c>
      <c r="K2211" s="12">
        <v>1</v>
      </c>
    </row>
    <row r="2212" spans="1:11" x14ac:dyDescent="0.25">
      <c r="A2212" s="10">
        <v>42107</v>
      </c>
      <c r="B2212" s="9" t="s">
        <v>2674</v>
      </c>
      <c r="C2212" s="12" t="str">
        <f>IFERROR(VLOOKUP(TED[[#This Row],[CENTRO]],'CENTRO DE CUSTO'!B:E,4,FALSE)," ")</f>
        <v xml:space="preserve"> </v>
      </c>
      <c r="D2212" s="12">
        <v>296</v>
      </c>
      <c r="E2212" s="16">
        <v>296027</v>
      </c>
      <c r="F2212" s="10" t="s">
        <v>2794</v>
      </c>
      <c r="G2212" s="10">
        <v>220</v>
      </c>
      <c r="H2212" s="11">
        <v>45978</v>
      </c>
      <c r="I2212" s="10" t="s">
        <v>2809</v>
      </c>
      <c r="J2212" s="12" t="str">
        <f>IF(OR(TED[[#This Row],[SITUACAO]]=1,TED[[#This Row],[SITUACAO]]=9,TED[[#This Row],[SITUACAO]]=18),"ATIVO","AFASTADO")</f>
        <v>ATIVO</v>
      </c>
      <c r="K2212" s="12">
        <v>1</v>
      </c>
    </row>
    <row r="2213" spans="1:11" x14ac:dyDescent="0.25">
      <c r="A2213" s="10">
        <v>42186</v>
      </c>
      <c r="B2213" s="9" t="s">
        <v>2675</v>
      </c>
      <c r="C2213" s="12" t="str">
        <f>IFERROR(VLOOKUP(TED[[#This Row],[CENTRO]],'CENTRO DE CUSTO'!B:E,4,FALSE)," ")</f>
        <v xml:space="preserve"> </v>
      </c>
      <c r="D2213" s="12">
        <v>296</v>
      </c>
      <c r="E2213" s="16">
        <v>296049</v>
      </c>
      <c r="F2213" s="10" t="s">
        <v>2758</v>
      </c>
      <c r="G2213" s="10">
        <v>220</v>
      </c>
      <c r="H2213" s="11">
        <v>45978</v>
      </c>
      <c r="I2213" s="10" t="s">
        <v>2809</v>
      </c>
      <c r="J2213" s="12" t="str">
        <f>IF(OR(TED[[#This Row],[SITUACAO]]=1,TED[[#This Row],[SITUACAO]]=9,TED[[#This Row],[SITUACAO]]=18),"ATIVO","AFASTADO")</f>
        <v>ATIVO</v>
      </c>
      <c r="K2213" s="12">
        <v>1</v>
      </c>
    </row>
    <row r="2214" spans="1:11" x14ac:dyDescent="0.25">
      <c r="A2214" s="10">
        <v>42270</v>
      </c>
      <c r="B2214" s="9" t="s">
        <v>2676</v>
      </c>
      <c r="C2214" s="12" t="str">
        <f>IFERROR(VLOOKUP(TED[[#This Row],[CENTRO]],'CENTRO DE CUSTO'!B:E,4,FALSE)," ")</f>
        <v xml:space="preserve"> </v>
      </c>
      <c r="D2214" s="12">
        <v>296</v>
      </c>
      <c r="E2214" s="16">
        <v>296046</v>
      </c>
      <c r="F2214" s="10" t="s">
        <v>2760</v>
      </c>
      <c r="G2214" s="10">
        <v>220</v>
      </c>
      <c r="H2214" s="11">
        <v>45978</v>
      </c>
      <c r="I2214" s="10" t="s">
        <v>2809</v>
      </c>
      <c r="J2214" s="12" t="str">
        <f>IF(OR(TED[[#This Row],[SITUACAO]]=1,TED[[#This Row],[SITUACAO]]=9,TED[[#This Row],[SITUACAO]]=18),"ATIVO","AFASTADO")</f>
        <v>ATIVO</v>
      </c>
      <c r="K2214" s="12">
        <v>1</v>
      </c>
    </row>
    <row r="2215" spans="1:11" x14ac:dyDescent="0.25">
      <c r="A2215" s="10">
        <v>43993</v>
      </c>
      <c r="B2215" s="9" t="s">
        <v>2677</v>
      </c>
      <c r="C2215" s="12" t="str">
        <f>IFERROR(VLOOKUP(TED[[#This Row],[CENTRO]],'CENTRO DE CUSTO'!B:E,4,FALSE)," ")</f>
        <v xml:space="preserve"> </v>
      </c>
      <c r="D2215" s="12">
        <v>296</v>
      </c>
      <c r="E2215" s="16">
        <v>296015</v>
      </c>
      <c r="F2215" s="10" t="s">
        <v>2792</v>
      </c>
      <c r="G2215" s="10">
        <v>220</v>
      </c>
      <c r="H2215" s="11">
        <v>46071</v>
      </c>
      <c r="I2215" s="10" t="s">
        <v>2809</v>
      </c>
      <c r="J2215" s="12" t="str">
        <f>IF(OR(TED[[#This Row],[SITUACAO]]=1,TED[[#This Row],[SITUACAO]]=9,TED[[#This Row],[SITUACAO]]=18),"ATIVO","AFASTADO")</f>
        <v>ATIVO</v>
      </c>
      <c r="K2215" s="12">
        <v>1</v>
      </c>
    </row>
    <row r="2216" spans="1:11" x14ac:dyDescent="0.25">
      <c r="A2216" s="10">
        <v>42094</v>
      </c>
      <c r="B2216" s="9" t="s">
        <v>2678</v>
      </c>
      <c r="C2216" s="12" t="str">
        <f>IFERROR(VLOOKUP(TED[[#This Row],[CENTRO]],'CENTRO DE CUSTO'!B:E,4,FALSE)," ")</f>
        <v xml:space="preserve"> </v>
      </c>
      <c r="D2216" s="12">
        <v>296</v>
      </c>
      <c r="E2216" s="16">
        <v>296012</v>
      </c>
      <c r="F2216" s="10" t="s">
        <v>2754</v>
      </c>
      <c r="G2216" s="10">
        <v>220</v>
      </c>
      <c r="H2216" s="11">
        <v>45978</v>
      </c>
      <c r="I2216" s="10" t="s">
        <v>2809</v>
      </c>
      <c r="J2216" s="12" t="str">
        <f>IF(OR(TED[[#This Row],[SITUACAO]]=1,TED[[#This Row],[SITUACAO]]=9,TED[[#This Row],[SITUACAO]]=18),"ATIVO","AFASTADO")</f>
        <v>ATIVO</v>
      </c>
      <c r="K2216" s="12">
        <v>1</v>
      </c>
    </row>
    <row r="2217" spans="1:11" x14ac:dyDescent="0.25">
      <c r="A2217" s="10">
        <v>42959</v>
      </c>
      <c r="B2217" s="9" t="s">
        <v>2679</v>
      </c>
      <c r="C2217" s="12" t="str">
        <f>IFERROR(VLOOKUP(TED[[#This Row],[CENTRO]],'CENTRO DE CUSTO'!B:E,4,FALSE)," ")</f>
        <v xml:space="preserve"> </v>
      </c>
      <c r="D2217" s="12">
        <v>296</v>
      </c>
      <c r="E2217" s="16">
        <v>296042</v>
      </c>
      <c r="F2217" s="10" t="s">
        <v>2800</v>
      </c>
      <c r="G2217" s="10">
        <v>220</v>
      </c>
      <c r="H2217" s="11">
        <v>45993</v>
      </c>
      <c r="I2217" s="10" t="s">
        <v>2809</v>
      </c>
      <c r="J2217" s="12" t="str">
        <f>IF(OR(TED[[#This Row],[SITUACAO]]=1,TED[[#This Row],[SITUACAO]]=9,TED[[#This Row],[SITUACAO]]=18),"ATIVO","AFASTADO")</f>
        <v>ATIVO</v>
      </c>
      <c r="K2217" s="12">
        <v>1</v>
      </c>
    </row>
    <row r="2218" spans="1:11" x14ac:dyDescent="0.25">
      <c r="A2218" s="10">
        <v>42154</v>
      </c>
      <c r="B2218" s="9" t="s">
        <v>2680</v>
      </c>
      <c r="C2218" s="12" t="str">
        <f>IFERROR(VLOOKUP(TED[[#This Row],[CENTRO]],'CENTRO DE CUSTO'!B:E,4,FALSE)," ")</f>
        <v xml:space="preserve"> </v>
      </c>
      <c r="D2218" s="12">
        <v>296</v>
      </c>
      <c r="E2218" s="16">
        <v>296015</v>
      </c>
      <c r="F2218" s="10" t="s">
        <v>2792</v>
      </c>
      <c r="G2218" s="10">
        <v>220</v>
      </c>
      <c r="H2218" s="11">
        <v>45978</v>
      </c>
      <c r="I2218" s="10" t="s">
        <v>2809</v>
      </c>
      <c r="J2218" s="12" t="str">
        <f>IF(OR(TED[[#This Row],[SITUACAO]]=1,TED[[#This Row],[SITUACAO]]=9,TED[[#This Row],[SITUACAO]]=18),"ATIVO","AFASTADO")</f>
        <v>ATIVO</v>
      </c>
      <c r="K2218" s="12">
        <v>1</v>
      </c>
    </row>
    <row r="2219" spans="1:11" x14ac:dyDescent="0.25">
      <c r="A2219" s="10">
        <v>42222</v>
      </c>
      <c r="B2219" s="9" t="s">
        <v>2681</v>
      </c>
      <c r="C2219" s="12" t="str">
        <f>IFERROR(VLOOKUP(TED[[#This Row],[CENTRO]],'CENTRO DE CUSTO'!B:E,4,FALSE)," ")</f>
        <v xml:space="preserve"> </v>
      </c>
      <c r="D2219" s="12">
        <v>296</v>
      </c>
      <c r="E2219" s="16">
        <v>296045</v>
      </c>
      <c r="F2219" s="10" t="s">
        <v>2785</v>
      </c>
      <c r="G2219" s="10">
        <v>220</v>
      </c>
      <c r="H2219" s="11">
        <v>45978</v>
      </c>
      <c r="I2219" s="10" t="s">
        <v>2809</v>
      </c>
      <c r="J2219" s="12" t="str">
        <f>IF(OR(TED[[#This Row],[SITUACAO]]=1,TED[[#This Row],[SITUACAO]]=9,TED[[#This Row],[SITUACAO]]=18),"ATIVO","AFASTADO")</f>
        <v>ATIVO</v>
      </c>
      <c r="K2219" s="12">
        <v>1</v>
      </c>
    </row>
    <row r="2220" spans="1:11" x14ac:dyDescent="0.25">
      <c r="A2220" s="10">
        <v>42288</v>
      </c>
      <c r="B2220" s="9" t="s">
        <v>2682</v>
      </c>
      <c r="C2220" s="12" t="str">
        <f>IFERROR(VLOOKUP(TED[[#This Row],[CENTRO]],'CENTRO DE CUSTO'!B:E,4,FALSE)," ")</f>
        <v xml:space="preserve"> </v>
      </c>
      <c r="D2220" s="12">
        <v>296</v>
      </c>
      <c r="E2220" s="16">
        <v>296008</v>
      </c>
      <c r="F2220" s="10" t="s">
        <v>2797</v>
      </c>
      <c r="G2220" s="10">
        <v>220</v>
      </c>
      <c r="H2220" s="11">
        <v>45978</v>
      </c>
      <c r="I2220" s="10" t="s">
        <v>2809</v>
      </c>
      <c r="J2220" s="12" t="str">
        <f>IF(OR(TED[[#This Row],[SITUACAO]]=1,TED[[#This Row],[SITUACAO]]=9,TED[[#This Row],[SITUACAO]]=18),"ATIVO","AFASTADO")</f>
        <v>ATIVO</v>
      </c>
      <c r="K2220" s="12">
        <v>1</v>
      </c>
    </row>
    <row r="2221" spans="1:11" x14ac:dyDescent="0.25">
      <c r="A2221" s="10">
        <v>42254</v>
      </c>
      <c r="B2221" s="9" t="s">
        <v>2683</v>
      </c>
      <c r="C2221" s="12" t="str">
        <f>IFERROR(VLOOKUP(TED[[#This Row],[CENTRO]],'CENTRO DE CUSTO'!B:E,4,FALSE)," ")</f>
        <v xml:space="preserve"> </v>
      </c>
      <c r="D2221" s="12">
        <v>296</v>
      </c>
      <c r="E2221" s="16">
        <v>296018</v>
      </c>
      <c r="F2221" s="10" t="s">
        <v>2793</v>
      </c>
      <c r="G2221" s="10">
        <v>220</v>
      </c>
      <c r="H2221" s="11">
        <v>45978</v>
      </c>
      <c r="I2221" s="10" t="s">
        <v>2809</v>
      </c>
      <c r="J2221" s="12" t="str">
        <f>IF(OR(TED[[#This Row],[SITUACAO]]=1,TED[[#This Row],[SITUACAO]]=9,TED[[#This Row],[SITUACAO]]=18),"ATIVO","AFASTADO")</f>
        <v>ATIVO</v>
      </c>
      <c r="K2221" s="12">
        <v>1</v>
      </c>
    </row>
    <row r="2222" spans="1:11" x14ac:dyDescent="0.25">
      <c r="A2222" s="10">
        <v>42160</v>
      </c>
      <c r="B2222" s="9" t="s">
        <v>2684</v>
      </c>
      <c r="C2222" s="12" t="str">
        <f>IFERROR(VLOOKUP(TED[[#This Row],[CENTRO]],'CENTRO DE CUSTO'!B:E,4,FALSE)," ")</f>
        <v xml:space="preserve"> </v>
      </c>
      <c r="D2222" s="12">
        <v>296</v>
      </c>
      <c r="E2222" s="16">
        <v>296003</v>
      </c>
      <c r="F2222" s="10" t="s">
        <v>2774</v>
      </c>
      <c r="G2222" s="10">
        <v>220</v>
      </c>
      <c r="H2222" s="11">
        <v>45978</v>
      </c>
      <c r="I2222" s="10" t="s">
        <v>2809</v>
      </c>
      <c r="J2222" s="12" t="str">
        <f>IF(OR(TED[[#This Row],[SITUACAO]]=1,TED[[#This Row],[SITUACAO]]=9,TED[[#This Row],[SITUACAO]]=18),"ATIVO","AFASTADO")</f>
        <v>ATIVO</v>
      </c>
      <c r="K2222" s="12">
        <v>1</v>
      </c>
    </row>
    <row r="2223" spans="1:11" x14ac:dyDescent="0.25">
      <c r="A2223" s="10">
        <v>42169</v>
      </c>
      <c r="B2223" s="9" t="s">
        <v>2685</v>
      </c>
      <c r="C2223" s="12" t="str">
        <f>IFERROR(VLOOKUP(TED[[#This Row],[CENTRO]],'CENTRO DE CUSTO'!B:E,4,FALSE)," ")</f>
        <v xml:space="preserve"> </v>
      </c>
      <c r="D2223" s="12">
        <v>296</v>
      </c>
      <c r="E2223" s="16">
        <v>296012</v>
      </c>
      <c r="F2223" s="10" t="s">
        <v>2754</v>
      </c>
      <c r="G2223" s="10">
        <v>220</v>
      </c>
      <c r="H2223" s="11">
        <v>45978</v>
      </c>
      <c r="I2223" s="10" t="s">
        <v>2809</v>
      </c>
      <c r="J2223" s="12" t="str">
        <f>IF(OR(TED[[#This Row],[SITUACAO]]=1,TED[[#This Row],[SITUACAO]]=9,TED[[#This Row],[SITUACAO]]=18),"ATIVO","AFASTADO")</f>
        <v>ATIVO</v>
      </c>
      <c r="K2223" s="12">
        <v>1</v>
      </c>
    </row>
    <row r="2224" spans="1:11" x14ac:dyDescent="0.25">
      <c r="A2224" s="10">
        <v>42865</v>
      </c>
      <c r="B2224" s="9" t="s">
        <v>2686</v>
      </c>
      <c r="C2224" s="12" t="str">
        <f>IFERROR(VLOOKUP(TED[[#This Row],[CENTRO]],'CENTRO DE CUSTO'!B:E,4,FALSE)," ")</f>
        <v xml:space="preserve"> </v>
      </c>
      <c r="D2224" s="12">
        <v>296</v>
      </c>
      <c r="E2224" s="16">
        <v>296012</v>
      </c>
      <c r="F2224" s="10" t="s">
        <v>2754</v>
      </c>
      <c r="G2224" s="10">
        <v>220</v>
      </c>
      <c r="H2224" s="11">
        <v>45987</v>
      </c>
      <c r="I2224" s="10" t="s">
        <v>2809</v>
      </c>
      <c r="J2224" s="12" t="str">
        <f>IF(OR(TED[[#This Row],[SITUACAO]]=1,TED[[#This Row],[SITUACAO]]=9,TED[[#This Row],[SITUACAO]]=18),"ATIVO","AFASTADO")</f>
        <v>ATIVO</v>
      </c>
      <c r="K2224" s="12">
        <v>1</v>
      </c>
    </row>
    <row r="2225" spans="1:11" x14ac:dyDescent="0.25">
      <c r="A2225" s="10">
        <v>44040</v>
      </c>
      <c r="B2225" s="9" t="s">
        <v>2687</v>
      </c>
      <c r="C2225" s="12" t="str">
        <f>IFERROR(VLOOKUP(TED[[#This Row],[CENTRO]],'CENTRO DE CUSTO'!B:E,4,FALSE)," ")</f>
        <v xml:space="preserve"> </v>
      </c>
      <c r="D2225" s="12">
        <v>296</v>
      </c>
      <c r="E2225" s="16">
        <v>296042</v>
      </c>
      <c r="F2225" s="10" t="s">
        <v>2800</v>
      </c>
      <c r="G2225" s="10">
        <v>220</v>
      </c>
      <c r="H2225" s="11">
        <v>46072</v>
      </c>
      <c r="I2225" s="10" t="s">
        <v>2809</v>
      </c>
      <c r="J2225" s="12" t="str">
        <f>IF(OR(TED[[#This Row],[SITUACAO]]=1,TED[[#This Row],[SITUACAO]]=9,TED[[#This Row],[SITUACAO]]=18),"ATIVO","AFASTADO")</f>
        <v>ATIVO</v>
      </c>
      <c r="K2225" s="12">
        <v>1</v>
      </c>
    </row>
    <row r="2226" spans="1:11" x14ac:dyDescent="0.25">
      <c r="A2226" s="10">
        <v>42182</v>
      </c>
      <c r="B2226" s="9" t="s">
        <v>2688</v>
      </c>
      <c r="C2226" s="12" t="str">
        <f>IFERROR(VLOOKUP(TED[[#This Row],[CENTRO]],'CENTRO DE CUSTO'!B:E,4,FALSE)," ")</f>
        <v xml:space="preserve"> </v>
      </c>
      <c r="D2226" s="12">
        <v>296</v>
      </c>
      <c r="E2226" s="16">
        <v>296032</v>
      </c>
      <c r="F2226" s="10" t="s">
        <v>2798</v>
      </c>
      <c r="G2226" s="10">
        <v>220</v>
      </c>
      <c r="H2226" s="11">
        <v>45978</v>
      </c>
      <c r="I2226" s="10" t="s">
        <v>2809</v>
      </c>
      <c r="J2226" s="12" t="str">
        <f>IF(OR(TED[[#This Row],[SITUACAO]]=1,TED[[#This Row],[SITUACAO]]=9,TED[[#This Row],[SITUACAO]]=18),"ATIVO","AFASTADO")</f>
        <v>ATIVO</v>
      </c>
      <c r="K2226" s="12">
        <v>1</v>
      </c>
    </row>
    <row r="2227" spans="1:11" x14ac:dyDescent="0.25">
      <c r="A2227" s="10">
        <v>42175</v>
      </c>
      <c r="B2227" s="9" t="s">
        <v>2689</v>
      </c>
      <c r="C2227" s="12" t="str">
        <f>IFERROR(VLOOKUP(TED[[#This Row],[CENTRO]],'CENTRO DE CUSTO'!B:E,4,FALSE)," ")</f>
        <v xml:space="preserve"> </v>
      </c>
      <c r="D2227" s="12">
        <v>296</v>
      </c>
      <c r="E2227" s="16">
        <v>296020</v>
      </c>
      <c r="F2227" s="10" t="s">
        <v>2796</v>
      </c>
      <c r="G2227" s="10">
        <v>220</v>
      </c>
      <c r="H2227" s="11">
        <v>45978</v>
      </c>
      <c r="I2227" s="10" t="s">
        <v>2809</v>
      </c>
      <c r="J2227" s="12" t="str">
        <f>IF(OR(TED[[#This Row],[SITUACAO]]=1,TED[[#This Row],[SITUACAO]]=9,TED[[#This Row],[SITUACAO]]=18),"ATIVO","AFASTADO")</f>
        <v>ATIVO</v>
      </c>
      <c r="K2227" s="12">
        <v>1</v>
      </c>
    </row>
    <row r="2228" spans="1:11" x14ac:dyDescent="0.25">
      <c r="A2228" s="10">
        <v>42228</v>
      </c>
      <c r="B2228" s="9" t="s">
        <v>2690</v>
      </c>
      <c r="C2228" s="12" t="str">
        <f>IFERROR(VLOOKUP(TED[[#This Row],[CENTRO]],'CENTRO DE CUSTO'!B:E,4,FALSE)," ")</f>
        <v xml:space="preserve"> </v>
      </c>
      <c r="D2228" s="12">
        <v>296</v>
      </c>
      <c r="E2228" s="16">
        <v>296025</v>
      </c>
      <c r="F2228" s="10" t="s">
        <v>2782</v>
      </c>
      <c r="G2228" s="10">
        <v>220</v>
      </c>
      <c r="H2228" s="11">
        <v>45978</v>
      </c>
      <c r="I2228" s="10" t="s">
        <v>2809</v>
      </c>
      <c r="J2228" s="12" t="str">
        <f>IF(OR(TED[[#This Row],[SITUACAO]]=1,TED[[#This Row],[SITUACAO]]=9,TED[[#This Row],[SITUACAO]]=18),"ATIVO","AFASTADO")</f>
        <v>AFASTADO</v>
      </c>
      <c r="K2228" s="12">
        <v>6</v>
      </c>
    </row>
    <row r="2229" spans="1:11" x14ac:dyDescent="0.25">
      <c r="A2229" s="10">
        <v>42155</v>
      </c>
      <c r="B2229" s="9" t="s">
        <v>2691</v>
      </c>
      <c r="C2229" s="12" t="str">
        <f>IFERROR(VLOOKUP(TED[[#This Row],[CENTRO]],'CENTRO DE CUSTO'!B:E,4,FALSE)," ")</f>
        <v xml:space="preserve"> </v>
      </c>
      <c r="D2229" s="12">
        <v>296</v>
      </c>
      <c r="E2229" s="16">
        <v>296028</v>
      </c>
      <c r="F2229" s="10" t="s">
        <v>2788</v>
      </c>
      <c r="G2229" s="10">
        <v>220</v>
      </c>
      <c r="H2229" s="11">
        <v>45978</v>
      </c>
      <c r="I2229" s="10" t="s">
        <v>2809</v>
      </c>
      <c r="J2229" s="12" t="str">
        <f>IF(OR(TED[[#This Row],[SITUACAO]]=1,TED[[#This Row],[SITUACAO]]=9,TED[[#This Row],[SITUACAO]]=18),"ATIVO","AFASTADO")</f>
        <v>ATIVO</v>
      </c>
      <c r="K2229" s="12">
        <v>1</v>
      </c>
    </row>
    <row r="2230" spans="1:11" x14ac:dyDescent="0.25">
      <c r="A2230" s="10">
        <v>42188</v>
      </c>
      <c r="B2230" s="9" t="s">
        <v>2692</v>
      </c>
      <c r="C2230" s="12" t="str">
        <f>IFERROR(VLOOKUP(TED[[#This Row],[CENTRO]],'CENTRO DE CUSTO'!B:E,4,FALSE)," ")</f>
        <v xml:space="preserve"> </v>
      </c>
      <c r="D2230" s="12">
        <v>296</v>
      </c>
      <c r="E2230" s="16">
        <v>296048</v>
      </c>
      <c r="F2230" s="10" t="s">
        <v>2790</v>
      </c>
      <c r="G2230" s="10">
        <v>220</v>
      </c>
      <c r="H2230" s="11">
        <v>45978</v>
      </c>
      <c r="I2230" s="10" t="s">
        <v>2809</v>
      </c>
      <c r="J2230" s="12" t="str">
        <f>IF(OR(TED[[#This Row],[SITUACAO]]=1,TED[[#This Row],[SITUACAO]]=9,TED[[#This Row],[SITUACAO]]=18),"ATIVO","AFASTADO")</f>
        <v>ATIVO</v>
      </c>
      <c r="K2230" s="12">
        <v>1</v>
      </c>
    </row>
    <row r="2231" spans="1:11" x14ac:dyDescent="0.25">
      <c r="A2231" s="10">
        <v>42096</v>
      </c>
      <c r="B2231" s="9" t="s">
        <v>2693</v>
      </c>
      <c r="C2231" s="12" t="str">
        <f>IFERROR(VLOOKUP(TED[[#This Row],[CENTRO]],'CENTRO DE CUSTO'!B:E,4,FALSE)," ")</f>
        <v xml:space="preserve"> </v>
      </c>
      <c r="D2231" s="12">
        <v>296</v>
      </c>
      <c r="E2231" s="16">
        <v>296032</v>
      </c>
      <c r="F2231" s="10" t="s">
        <v>2798</v>
      </c>
      <c r="G2231" s="10">
        <v>220</v>
      </c>
      <c r="H2231" s="11">
        <v>45978</v>
      </c>
      <c r="I2231" s="10" t="s">
        <v>2809</v>
      </c>
      <c r="J2231" s="12" t="str">
        <f>IF(OR(TED[[#This Row],[SITUACAO]]=1,TED[[#This Row],[SITUACAO]]=9,TED[[#This Row],[SITUACAO]]=18),"ATIVO","AFASTADO")</f>
        <v>ATIVO</v>
      </c>
      <c r="K2231" s="12">
        <v>1</v>
      </c>
    </row>
    <row r="2232" spans="1:11" x14ac:dyDescent="0.25">
      <c r="A2232" s="10">
        <v>42139</v>
      </c>
      <c r="B2232" s="9" t="s">
        <v>2694</v>
      </c>
      <c r="C2232" s="12" t="str">
        <f>IFERROR(VLOOKUP(TED[[#This Row],[CENTRO]],'CENTRO DE CUSTO'!B:E,4,FALSE)," ")</f>
        <v xml:space="preserve"> </v>
      </c>
      <c r="D2232" s="12">
        <v>296</v>
      </c>
      <c r="E2232" s="16">
        <v>296034</v>
      </c>
      <c r="F2232" s="10" t="s">
        <v>2757</v>
      </c>
      <c r="G2232" s="10">
        <v>220</v>
      </c>
      <c r="H2232" s="11">
        <v>45978</v>
      </c>
      <c r="I2232" s="10" t="s">
        <v>2809</v>
      </c>
      <c r="J2232" s="12" t="str">
        <f>IF(OR(TED[[#This Row],[SITUACAO]]=1,TED[[#This Row],[SITUACAO]]=9,TED[[#This Row],[SITUACAO]]=18),"ATIVO","AFASTADO")</f>
        <v>ATIVO</v>
      </c>
      <c r="K2232" s="12">
        <v>1</v>
      </c>
    </row>
    <row r="2233" spans="1:11" x14ac:dyDescent="0.25">
      <c r="A2233" s="10">
        <v>42095</v>
      </c>
      <c r="B2233" s="9" t="s">
        <v>2695</v>
      </c>
      <c r="C2233" s="12" t="str">
        <f>IFERROR(VLOOKUP(TED[[#This Row],[CENTRO]],'CENTRO DE CUSTO'!B:E,4,FALSE)," ")</f>
        <v xml:space="preserve"> </v>
      </c>
      <c r="D2233" s="12">
        <v>296</v>
      </c>
      <c r="E2233" s="16">
        <v>296050</v>
      </c>
      <c r="F2233" s="10" t="s">
        <v>2770</v>
      </c>
      <c r="G2233" s="10">
        <v>220</v>
      </c>
      <c r="H2233" s="11">
        <v>45978</v>
      </c>
      <c r="I2233" s="10" t="s">
        <v>2809</v>
      </c>
      <c r="J2233" s="12" t="str">
        <f>IF(OR(TED[[#This Row],[SITUACAO]]=1,TED[[#This Row],[SITUACAO]]=9,TED[[#This Row],[SITUACAO]]=18),"ATIVO","AFASTADO")</f>
        <v>ATIVO</v>
      </c>
      <c r="K2233" s="12">
        <v>1</v>
      </c>
    </row>
    <row r="2234" spans="1:11" x14ac:dyDescent="0.25">
      <c r="A2234" s="10">
        <v>42138</v>
      </c>
      <c r="B2234" s="9" t="s">
        <v>2696</v>
      </c>
      <c r="C2234" s="12" t="str">
        <f>IFERROR(VLOOKUP(TED[[#This Row],[CENTRO]],'CENTRO DE CUSTO'!B:E,4,FALSE)," ")</f>
        <v xml:space="preserve"> </v>
      </c>
      <c r="D2234" s="12">
        <v>296</v>
      </c>
      <c r="E2234" s="16">
        <v>296006</v>
      </c>
      <c r="F2234" s="10" t="s">
        <v>2783</v>
      </c>
      <c r="G2234" s="10">
        <v>220</v>
      </c>
      <c r="H2234" s="11">
        <v>45978</v>
      </c>
      <c r="I2234" s="10" t="s">
        <v>2809</v>
      </c>
      <c r="J2234" s="12" t="str">
        <f>IF(OR(TED[[#This Row],[SITUACAO]]=1,TED[[#This Row],[SITUACAO]]=9,TED[[#This Row],[SITUACAO]]=18),"ATIVO","AFASTADO")</f>
        <v>ATIVO</v>
      </c>
      <c r="K2234" s="12">
        <v>1</v>
      </c>
    </row>
    <row r="2235" spans="1:11" x14ac:dyDescent="0.25">
      <c r="A2235" s="10">
        <v>42224</v>
      </c>
      <c r="B2235" s="9" t="s">
        <v>2697</v>
      </c>
      <c r="C2235" s="12" t="str">
        <f>IFERROR(VLOOKUP(TED[[#This Row],[CENTRO]],'CENTRO DE CUSTO'!B:E,4,FALSE)," ")</f>
        <v xml:space="preserve"> </v>
      </c>
      <c r="D2235" s="12">
        <v>296</v>
      </c>
      <c r="E2235" s="16">
        <v>296017</v>
      </c>
      <c r="F2235" s="10" t="s">
        <v>2777</v>
      </c>
      <c r="G2235" s="10">
        <v>220</v>
      </c>
      <c r="H2235" s="11">
        <v>45978</v>
      </c>
      <c r="I2235" s="10" t="s">
        <v>2809</v>
      </c>
      <c r="J2235" s="12" t="str">
        <f>IF(OR(TED[[#This Row],[SITUACAO]]=1,TED[[#This Row],[SITUACAO]]=9,TED[[#This Row],[SITUACAO]]=18),"ATIVO","AFASTADO")</f>
        <v>ATIVO</v>
      </c>
      <c r="K2235" s="12">
        <v>1</v>
      </c>
    </row>
    <row r="2236" spans="1:11" x14ac:dyDescent="0.25">
      <c r="A2236" s="10">
        <v>43992</v>
      </c>
      <c r="B2236" s="9" t="s">
        <v>2698</v>
      </c>
      <c r="C2236" s="12" t="str">
        <f>IFERROR(VLOOKUP(TED[[#This Row],[CENTRO]],'CENTRO DE CUSTO'!B:E,4,FALSE)," ")</f>
        <v xml:space="preserve"> </v>
      </c>
      <c r="D2236" s="12">
        <v>296</v>
      </c>
      <c r="E2236" s="16">
        <v>296051</v>
      </c>
      <c r="F2236" s="10" t="s">
        <v>2763</v>
      </c>
      <c r="G2236" s="10">
        <v>220</v>
      </c>
      <c r="H2236" s="11">
        <v>46071</v>
      </c>
      <c r="I2236" s="10" t="s">
        <v>2809</v>
      </c>
      <c r="J2236" s="12" t="str">
        <f>IF(OR(TED[[#This Row],[SITUACAO]]=1,TED[[#This Row],[SITUACAO]]=9,TED[[#This Row],[SITUACAO]]=18),"ATIVO","AFASTADO")</f>
        <v>ATIVO</v>
      </c>
      <c r="K2236" s="12">
        <v>1</v>
      </c>
    </row>
    <row r="2237" spans="1:11" x14ac:dyDescent="0.25">
      <c r="A2237" s="10">
        <v>44178</v>
      </c>
      <c r="B2237" s="9" t="s">
        <v>2699</v>
      </c>
      <c r="C2237" s="12" t="str">
        <f>IFERROR(VLOOKUP(TED[[#This Row],[CENTRO]],'CENTRO DE CUSTO'!B:E,4,FALSE)," ")</f>
        <v xml:space="preserve"> </v>
      </c>
      <c r="D2237" s="12">
        <v>296</v>
      </c>
      <c r="E2237" s="16">
        <v>296038</v>
      </c>
      <c r="F2237" s="10" t="s">
        <v>2772</v>
      </c>
      <c r="G2237" s="10">
        <v>220</v>
      </c>
      <c r="H2237" s="11">
        <v>46077</v>
      </c>
      <c r="I2237" s="10" t="s">
        <v>2809</v>
      </c>
      <c r="J2237" s="12" t="str">
        <f>IF(OR(TED[[#This Row],[SITUACAO]]=1,TED[[#This Row],[SITUACAO]]=9,TED[[#This Row],[SITUACAO]]=18),"ATIVO","AFASTADO")</f>
        <v>ATIVO</v>
      </c>
      <c r="K2237" s="12">
        <v>1</v>
      </c>
    </row>
    <row r="2238" spans="1:11" x14ac:dyDescent="0.25">
      <c r="A2238" s="10">
        <v>42109</v>
      </c>
      <c r="B2238" s="9" t="s">
        <v>2700</v>
      </c>
      <c r="C2238" s="12" t="str">
        <f>IFERROR(VLOOKUP(TED[[#This Row],[CENTRO]],'CENTRO DE CUSTO'!B:E,4,FALSE)," ")</f>
        <v xml:space="preserve"> </v>
      </c>
      <c r="D2238" s="12">
        <v>296</v>
      </c>
      <c r="E2238" s="16">
        <v>296016</v>
      </c>
      <c r="F2238" s="10" t="s">
        <v>2789</v>
      </c>
      <c r="G2238" s="10">
        <v>220</v>
      </c>
      <c r="H2238" s="11">
        <v>45978</v>
      </c>
      <c r="I2238" s="10" t="s">
        <v>2809</v>
      </c>
      <c r="J2238" s="12" t="str">
        <f>IF(OR(TED[[#This Row],[SITUACAO]]=1,TED[[#This Row],[SITUACAO]]=9,TED[[#This Row],[SITUACAO]]=18),"ATIVO","AFASTADO")</f>
        <v>ATIVO</v>
      </c>
      <c r="K2238" s="12">
        <v>1</v>
      </c>
    </row>
    <row r="2239" spans="1:11" x14ac:dyDescent="0.25">
      <c r="A2239" s="10">
        <v>45935</v>
      </c>
      <c r="B2239" s="9" t="s">
        <v>2701</v>
      </c>
      <c r="C2239" s="12" t="str">
        <f>IFERROR(VLOOKUP(TED[[#This Row],[CENTRO]],'CENTRO DE CUSTO'!B:E,4,FALSE)," ")</f>
        <v xml:space="preserve"> </v>
      </c>
      <c r="D2239" s="12">
        <v>296</v>
      </c>
      <c r="E2239" s="16">
        <v>296013</v>
      </c>
      <c r="F2239" s="10" t="s">
        <v>2761</v>
      </c>
      <c r="G2239" s="10">
        <v>220</v>
      </c>
      <c r="H2239" s="11">
        <v>46170</v>
      </c>
      <c r="I2239" s="10" t="s">
        <v>2809</v>
      </c>
      <c r="J2239" s="12" t="str">
        <f>IF(OR(TED[[#This Row],[SITUACAO]]=1,TED[[#This Row],[SITUACAO]]=9,TED[[#This Row],[SITUACAO]]=18),"ATIVO","AFASTADO")</f>
        <v>ATIVO</v>
      </c>
      <c r="K2239" s="12">
        <v>1</v>
      </c>
    </row>
    <row r="2240" spans="1:11" x14ac:dyDescent="0.25">
      <c r="A2240" s="10">
        <v>42265</v>
      </c>
      <c r="B2240" s="9" t="s">
        <v>2702</v>
      </c>
      <c r="C2240" s="12" t="str">
        <f>IFERROR(VLOOKUP(TED[[#This Row],[CENTRO]],'CENTRO DE CUSTO'!B:E,4,FALSE)," ")</f>
        <v xml:space="preserve"> </v>
      </c>
      <c r="D2240" s="12">
        <v>296</v>
      </c>
      <c r="E2240" s="16">
        <v>296015</v>
      </c>
      <c r="F2240" s="10" t="s">
        <v>2792</v>
      </c>
      <c r="G2240" s="10">
        <v>220</v>
      </c>
      <c r="H2240" s="11">
        <v>45978</v>
      </c>
      <c r="I2240" s="10" t="s">
        <v>2809</v>
      </c>
      <c r="J2240" s="12" t="str">
        <f>IF(OR(TED[[#This Row],[SITUACAO]]=1,TED[[#This Row],[SITUACAO]]=9,TED[[#This Row],[SITUACAO]]=18),"ATIVO","AFASTADO")</f>
        <v>ATIVO</v>
      </c>
      <c r="K2240" s="12">
        <v>1</v>
      </c>
    </row>
    <row r="2241" spans="1:11" x14ac:dyDescent="0.25">
      <c r="A2241" s="10">
        <v>42246</v>
      </c>
      <c r="B2241" s="9" t="s">
        <v>2703</v>
      </c>
      <c r="C2241" s="12" t="str">
        <f>IFERROR(VLOOKUP(TED[[#This Row],[CENTRO]],'CENTRO DE CUSTO'!B:E,4,FALSE)," ")</f>
        <v xml:space="preserve"> </v>
      </c>
      <c r="D2241" s="12">
        <v>296</v>
      </c>
      <c r="E2241" s="16">
        <v>296022</v>
      </c>
      <c r="F2241" s="10" t="s">
        <v>2780</v>
      </c>
      <c r="G2241" s="10">
        <v>220</v>
      </c>
      <c r="H2241" s="11">
        <v>45978</v>
      </c>
      <c r="I2241" s="10" t="s">
        <v>2809</v>
      </c>
      <c r="J2241" s="12" t="str">
        <f>IF(OR(TED[[#This Row],[SITUACAO]]=1,TED[[#This Row],[SITUACAO]]=9,TED[[#This Row],[SITUACAO]]=18),"ATIVO","AFASTADO")</f>
        <v>ATIVO</v>
      </c>
      <c r="K2241" s="12">
        <v>1</v>
      </c>
    </row>
    <row r="2242" spans="1:11" x14ac:dyDescent="0.25">
      <c r="A2242" s="10">
        <v>42190</v>
      </c>
      <c r="B2242" s="9" t="s">
        <v>2704</v>
      </c>
      <c r="C2242" s="12" t="str">
        <f>IFERROR(VLOOKUP(TED[[#This Row],[CENTRO]],'CENTRO DE CUSTO'!B:E,4,FALSE)," ")</f>
        <v xml:space="preserve"> </v>
      </c>
      <c r="D2242" s="12">
        <v>296</v>
      </c>
      <c r="E2242" s="16">
        <v>296011</v>
      </c>
      <c r="F2242" s="10" t="s">
        <v>2786</v>
      </c>
      <c r="G2242" s="10">
        <v>220</v>
      </c>
      <c r="H2242" s="11">
        <v>45978</v>
      </c>
      <c r="I2242" s="10" t="s">
        <v>2809</v>
      </c>
      <c r="J2242" s="12" t="str">
        <f>IF(OR(TED[[#This Row],[SITUACAO]]=1,TED[[#This Row],[SITUACAO]]=9,TED[[#This Row],[SITUACAO]]=18),"ATIVO","AFASTADO")</f>
        <v>ATIVO</v>
      </c>
      <c r="K2242" s="12">
        <v>1</v>
      </c>
    </row>
    <row r="2243" spans="1:11" x14ac:dyDescent="0.25">
      <c r="A2243" s="10">
        <v>42202</v>
      </c>
      <c r="B2243" s="9" t="s">
        <v>2705</v>
      </c>
      <c r="C2243" s="12" t="str">
        <f>IFERROR(VLOOKUP(TED[[#This Row],[CENTRO]],'CENTRO DE CUSTO'!B:E,4,FALSE)," ")</f>
        <v xml:space="preserve"> </v>
      </c>
      <c r="D2243" s="12">
        <v>296</v>
      </c>
      <c r="E2243" s="16">
        <v>296017</v>
      </c>
      <c r="F2243" s="10" t="s">
        <v>2777</v>
      </c>
      <c r="G2243" s="10">
        <v>220</v>
      </c>
      <c r="H2243" s="11">
        <v>45978</v>
      </c>
      <c r="I2243" s="10" t="s">
        <v>2809</v>
      </c>
      <c r="J2243" s="12" t="str">
        <f>IF(OR(TED[[#This Row],[SITUACAO]]=1,TED[[#This Row],[SITUACAO]]=9,TED[[#This Row],[SITUACAO]]=18),"ATIVO","AFASTADO")</f>
        <v>ATIVO</v>
      </c>
      <c r="K2243" s="12">
        <v>1</v>
      </c>
    </row>
    <row r="2244" spans="1:11" x14ac:dyDescent="0.25">
      <c r="A2244" s="10">
        <v>42279</v>
      </c>
      <c r="B2244" s="9" t="s">
        <v>2706</v>
      </c>
      <c r="C2244" s="12" t="str">
        <f>IFERROR(VLOOKUP(TED[[#This Row],[CENTRO]],'CENTRO DE CUSTO'!B:E,4,FALSE)," ")</f>
        <v xml:space="preserve"> </v>
      </c>
      <c r="D2244" s="12">
        <v>296</v>
      </c>
      <c r="E2244" s="16">
        <v>296013</v>
      </c>
      <c r="F2244" s="10" t="s">
        <v>2761</v>
      </c>
      <c r="G2244" s="10">
        <v>220</v>
      </c>
      <c r="H2244" s="11">
        <v>45978</v>
      </c>
      <c r="I2244" s="10" t="s">
        <v>2809</v>
      </c>
      <c r="J2244" s="12" t="str">
        <f>IF(OR(TED[[#This Row],[SITUACAO]]=1,TED[[#This Row],[SITUACAO]]=9,TED[[#This Row],[SITUACAO]]=18),"ATIVO","AFASTADO")</f>
        <v>ATIVO</v>
      </c>
      <c r="K2244" s="12">
        <v>1</v>
      </c>
    </row>
    <row r="2245" spans="1:11" x14ac:dyDescent="0.25">
      <c r="A2245" s="10">
        <v>43225</v>
      </c>
      <c r="B2245" s="9" t="s">
        <v>2707</v>
      </c>
      <c r="C2245" s="12" t="str">
        <f>IFERROR(VLOOKUP(TED[[#This Row],[CENTRO]],'CENTRO DE CUSTO'!B:E,4,FALSE)," ")</f>
        <v xml:space="preserve"> </v>
      </c>
      <c r="D2245" s="12">
        <v>296</v>
      </c>
      <c r="E2245" s="16">
        <v>296004</v>
      </c>
      <c r="F2245" s="10" t="s">
        <v>2755</v>
      </c>
      <c r="G2245" s="10">
        <v>220</v>
      </c>
      <c r="H2245" s="11">
        <v>46034</v>
      </c>
      <c r="I2245" s="10" t="s">
        <v>2809</v>
      </c>
      <c r="J2245" s="12" t="str">
        <f>IF(OR(TED[[#This Row],[SITUACAO]]=1,TED[[#This Row],[SITUACAO]]=9,TED[[#This Row],[SITUACAO]]=18),"ATIVO","AFASTADO")</f>
        <v>ATIVO</v>
      </c>
      <c r="K2245" s="12">
        <v>1</v>
      </c>
    </row>
    <row r="2246" spans="1:11" x14ac:dyDescent="0.25">
      <c r="A2246" s="10">
        <v>42113</v>
      </c>
      <c r="B2246" s="9" t="s">
        <v>2708</v>
      </c>
      <c r="C2246" s="12" t="str">
        <f>IFERROR(VLOOKUP(TED[[#This Row],[CENTRO]],'CENTRO DE CUSTO'!B:E,4,FALSE)," ")</f>
        <v xml:space="preserve"> </v>
      </c>
      <c r="D2246" s="12">
        <v>296</v>
      </c>
      <c r="E2246" s="16">
        <v>296040</v>
      </c>
      <c r="F2246" s="10" t="s">
        <v>2775</v>
      </c>
      <c r="G2246" s="10">
        <v>220</v>
      </c>
      <c r="H2246" s="11">
        <v>45978</v>
      </c>
      <c r="I2246" s="10" t="s">
        <v>2809</v>
      </c>
      <c r="J2246" s="12" t="str">
        <f>IF(OR(TED[[#This Row],[SITUACAO]]=1,TED[[#This Row],[SITUACAO]]=9,TED[[#This Row],[SITUACAO]]=18),"ATIVO","AFASTADO")</f>
        <v>ATIVO</v>
      </c>
      <c r="K2246" s="12">
        <v>1</v>
      </c>
    </row>
    <row r="2247" spans="1:11" x14ac:dyDescent="0.25">
      <c r="A2247" s="10">
        <v>43098</v>
      </c>
      <c r="B2247" s="9" t="s">
        <v>2709</v>
      </c>
      <c r="C2247" s="12" t="str">
        <f>IFERROR(VLOOKUP(TED[[#This Row],[CENTRO]],'CENTRO DE CUSTO'!B:E,4,FALSE)," ")</f>
        <v xml:space="preserve"> </v>
      </c>
      <c r="D2247" s="12">
        <v>296</v>
      </c>
      <c r="E2247" s="16">
        <v>296013</v>
      </c>
      <c r="F2247" s="10" t="s">
        <v>2761</v>
      </c>
      <c r="G2247" s="10">
        <v>220</v>
      </c>
      <c r="H2247" s="11">
        <v>46007</v>
      </c>
      <c r="I2247" s="10" t="s">
        <v>2809</v>
      </c>
      <c r="J2247" s="12" t="str">
        <f>IF(OR(TED[[#This Row],[SITUACAO]]=1,TED[[#This Row],[SITUACAO]]=9,TED[[#This Row],[SITUACAO]]=18),"ATIVO","AFASTADO")</f>
        <v>ATIVO</v>
      </c>
      <c r="K2247" s="12">
        <v>1</v>
      </c>
    </row>
    <row r="2248" spans="1:11" x14ac:dyDescent="0.25">
      <c r="A2248" s="10">
        <v>42230</v>
      </c>
      <c r="B2248" s="9" t="s">
        <v>2710</v>
      </c>
      <c r="C2248" s="12" t="str">
        <f>IFERROR(VLOOKUP(TED[[#This Row],[CENTRO]],'CENTRO DE CUSTO'!B:E,4,FALSE)," ")</f>
        <v xml:space="preserve"> </v>
      </c>
      <c r="D2248" s="12">
        <v>296</v>
      </c>
      <c r="E2248" s="16">
        <v>296053</v>
      </c>
      <c r="F2248" s="10" t="s">
        <v>2750</v>
      </c>
      <c r="G2248" s="10">
        <v>220</v>
      </c>
      <c r="H2248" s="11">
        <v>45978</v>
      </c>
      <c r="I2248" s="10" t="s">
        <v>2809</v>
      </c>
      <c r="J2248" s="12" t="str">
        <f>IF(OR(TED[[#This Row],[SITUACAO]]=1,TED[[#This Row],[SITUACAO]]=9,TED[[#This Row],[SITUACAO]]=18),"ATIVO","AFASTADO")</f>
        <v>ATIVO</v>
      </c>
      <c r="K2248" s="12">
        <v>1</v>
      </c>
    </row>
    <row r="2249" spans="1:11" x14ac:dyDescent="0.25">
      <c r="A2249" s="10">
        <v>42126</v>
      </c>
      <c r="B2249" s="9" t="s">
        <v>2711</v>
      </c>
      <c r="C2249" s="12" t="str">
        <f>IFERROR(VLOOKUP(TED[[#This Row],[CENTRO]],'CENTRO DE CUSTO'!B:E,4,FALSE)," ")</f>
        <v xml:space="preserve"> </v>
      </c>
      <c r="D2249" s="12">
        <v>296</v>
      </c>
      <c r="E2249" s="16">
        <v>296012</v>
      </c>
      <c r="F2249" s="10" t="s">
        <v>2754</v>
      </c>
      <c r="G2249" s="10">
        <v>220</v>
      </c>
      <c r="H2249" s="11">
        <v>45978</v>
      </c>
      <c r="I2249" s="10" t="s">
        <v>2809</v>
      </c>
      <c r="J2249" s="12" t="str">
        <f>IF(OR(TED[[#This Row],[SITUACAO]]=1,TED[[#This Row],[SITUACAO]]=9,TED[[#This Row],[SITUACAO]]=18),"ATIVO","AFASTADO")</f>
        <v>ATIVO</v>
      </c>
      <c r="K2249" s="12">
        <v>1</v>
      </c>
    </row>
    <row r="2250" spans="1:11" x14ac:dyDescent="0.25">
      <c r="A2250" s="10">
        <v>42300</v>
      </c>
      <c r="B2250" s="9" t="s">
        <v>2712</v>
      </c>
      <c r="C2250" s="12" t="str">
        <f>IFERROR(VLOOKUP(TED[[#This Row],[CENTRO]],'CENTRO DE CUSTO'!B:E,4,FALSE)," ")</f>
        <v xml:space="preserve"> </v>
      </c>
      <c r="D2250" s="12">
        <v>296</v>
      </c>
      <c r="E2250" s="16">
        <v>296047</v>
      </c>
      <c r="F2250" s="10" t="s">
        <v>2756</v>
      </c>
      <c r="G2250" s="10">
        <v>220</v>
      </c>
      <c r="H2250" s="11">
        <v>45978</v>
      </c>
      <c r="I2250" s="10" t="s">
        <v>2809</v>
      </c>
      <c r="J2250" s="12" t="str">
        <f>IF(OR(TED[[#This Row],[SITUACAO]]=1,TED[[#This Row],[SITUACAO]]=9,TED[[#This Row],[SITUACAO]]=18),"ATIVO","AFASTADO")</f>
        <v>ATIVO</v>
      </c>
      <c r="K2250" s="12">
        <v>1</v>
      </c>
    </row>
    <row r="2251" spans="1:11" x14ac:dyDescent="0.25">
      <c r="A2251" s="10">
        <v>45312</v>
      </c>
      <c r="B2251" s="9" t="s">
        <v>2262</v>
      </c>
      <c r="C2251" s="12" t="str">
        <f>IFERROR(VLOOKUP(TED[[#This Row],[CENTRO]],'CENTRO DE CUSTO'!B:E,4,FALSE)," ")</f>
        <v>FERNANDO SANTOS</v>
      </c>
      <c r="D2251" s="12">
        <v>306</v>
      </c>
      <c r="E2251" s="16">
        <v>306001</v>
      </c>
      <c r="F2251" s="10" t="s">
        <v>2801</v>
      </c>
      <c r="G2251" s="10">
        <v>220</v>
      </c>
      <c r="H2251" s="11">
        <v>46143</v>
      </c>
      <c r="I2251" s="10" t="s">
        <v>2311</v>
      </c>
      <c r="J2251" s="12" t="str">
        <f>IF(OR(TED[[#This Row],[SITUACAO]]=1,TED[[#This Row],[SITUACAO]]=9,TED[[#This Row],[SITUACAO]]=18),"ATIVO","AFASTADO")</f>
        <v>ATIVO</v>
      </c>
      <c r="K2251" s="12">
        <v>1</v>
      </c>
    </row>
    <row r="2252" spans="1:11" x14ac:dyDescent="0.25">
      <c r="A2252" s="10">
        <v>45401</v>
      </c>
      <c r="B2252" s="9" t="s">
        <v>2270</v>
      </c>
      <c r="C2252" s="12" t="str">
        <f>IFERROR(VLOOKUP(TED[[#This Row],[CENTRO]],'CENTRO DE CUSTO'!B:E,4,FALSE)," ")</f>
        <v>FERNANDO SANTOS</v>
      </c>
      <c r="D2252" s="12">
        <v>306</v>
      </c>
      <c r="E2252" s="16">
        <v>306001</v>
      </c>
      <c r="F2252" s="10" t="s">
        <v>2801</v>
      </c>
      <c r="G2252" s="10">
        <v>220</v>
      </c>
      <c r="H2252" s="11">
        <v>46143</v>
      </c>
      <c r="I2252" s="10" t="s">
        <v>944</v>
      </c>
      <c r="J2252" s="12" t="str">
        <f>IF(OR(TED[[#This Row],[SITUACAO]]=1,TED[[#This Row],[SITUACAO]]=9,TED[[#This Row],[SITUACAO]]=18),"ATIVO","AFASTADO")</f>
        <v>ATIVO</v>
      </c>
      <c r="K2252" s="12">
        <v>1</v>
      </c>
    </row>
    <row r="2253" spans="1:11" x14ac:dyDescent="0.25">
      <c r="A2253" s="10">
        <v>45314</v>
      </c>
      <c r="B2253" s="9" t="s">
        <v>2261</v>
      </c>
      <c r="C2253" s="12" t="str">
        <f>IFERROR(VLOOKUP(TED[[#This Row],[CENTRO]],'CENTRO DE CUSTO'!B:E,4,FALSE)," ")</f>
        <v>FERNANDO SANTOS</v>
      </c>
      <c r="D2253" s="12">
        <v>306</v>
      </c>
      <c r="E2253" s="16">
        <v>306001</v>
      </c>
      <c r="F2253" s="10" t="s">
        <v>2801</v>
      </c>
      <c r="G2253" s="10">
        <v>220</v>
      </c>
      <c r="H2253" s="11">
        <v>46143</v>
      </c>
      <c r="I2253" s="10" t="s">
        <v>944</v>
      </c>
      <c r="J2253" s="12" t="str">
        <f>IF(OR(TED[[#This Row],[SITUACAO]]=1,TED[[#This Row],[SITUACAO]]=9,TED[[#This Row],[SITUACAO]]=18),"ATIVO","AFASTADO")</f>
        <v>ATIVO</v>
      </c>
      <c r="K2253" s="12">
        <v>1</v>
      </c>
    </row>
    <row r="2254" spans="1:11" x14ac:dyDescent="0.25">
      <c r="A2254" s="10">
        <v>45396</v>
      </c>
      <c r="B2254" s="9" t="s">
        <v>2273</v>
      </c>
      <c r="C2254" s="12" t="str">
        <f>IFERROR(VLOOKUP(TED[[#This Row],[CENTRO]],'CENTRO DE CUSTO'!B:E,4,FALSE)," ")</f>
        <v>FERNANDO SANTOS</v>
      </c>
      <c r="D2254" s="12">
        <v>306</v>
      </c>
      <c r="E2254" s="16">
        <v>306001</v>
      </c>
      <c r="F2254" s="10" t="s">
        <v>2801</v>
      </c>
      <c r="G2254" s="10">
        <v>220</v>
      </c>
      <c r="H2254" s="11">
        <v>46143</v>
      </c>
      <c r="I2254" s="10" t="s">
        <v>2312</v>
      </c>
      <c r="J2254" s="12" t="str">
        <f>IF(OR(TED[[#This Row],[SITUACAO]]=1,TED[[#This Row],[SITUACAO]]=9,TED[[#This Row],[SITUACAO]]=18),"ATIVO","AFASTADO")</f>
        <v>ATIVO</v>
      </c>
      <c r="K2254" s="12">
        <v>1</v>
      </c>
    </row>
    <row r="2255" spans="1:11" x14ac:dyDescent="0.25">
      <c r="A2255" s="10">
        <v>45445</v>
      </c>
      <c r="B2255" s="9" t="s">
        <v>2266</v>
      </c>
      <c r="C2255" s="12" t="str">
        <f>IFERROR(VLOOKUP(TED[[#This Row],[CENTRO]],'CENTRO DE CUSTO'!B:E,4,FALSE)," ")</f>
        <v>FERNANDO SANTOS</v>
      </c>
      <c r="D2255" s="12">
        <v>306</v>
      </c>
      <c r="E2255" s="16">
        <v>306001</v>
      </c>
      <c r="F2255" s="10" t="s">
        <v>2801</v>
      </c>
      <c r="G2255" s="10">
        <v>220</v>
      </c>
      <c r="H2255" s="11">
        <v>46143</v>
      </c>
      <c r="I2255" s="10" t="s">
        <v>2311</v>
      </c>
      <c r="J2255" s="12" t="str">
        <f>IF(OR(TED[[#This Row],[SITUACAO]]=1,TED[[#This Row],[SITUACAO]]=9,TED[[#This Row],[SITUACAO]]=18),"ATIVO","AFASTADO")</f>
        <v>ATIVO</v>
      </c>
      <c r="K2255" s="12">
        <v>1</v>
      </c>
    </row>
    <row r="2256" spans="1:11" x14ac:dyDescent="0.25">
      <c r="A2256" s="10">
        <v>45297</v>
      </c>
      <c r="B2256" s="9" t="s">
        <v>2304</v>
      </c>
      <c r="C2256" s="12" t="str">
        <f>IFERROR(VLOOKUP(TED[[#This Row],[CENTRO]],'CENTRO DE CUSTO'!B:E,4,FALSE)," ")</f>
        <v>CLEVERTON RODRIGO</v>
      </c>
      <c r="D2256" s="12">
        <v>306</v>
      </c>
      <c r="E2256" s="16">
        <v>306004</v>
      </c>
      <c r="F2256" s="10" t="s">
        <v>2802</v>
      </c>
      <c r="G2256" s="10">
        <v>220</v>
      </c>
      <c r="H2256" s="11">
        <v>46143</v>
      </c>
      <c r="I2256" s="10" t="s">
        <v>2313</v>
      </c>
      <c r="J2256" s="12" t="str">
        <f>IF(OR(TED[[#This Row],[SITUACAO]]=1,TED[[#This Row],[SITUACAO]]=9,TED[[#This Row],[SITUACAO]]=18),"ATIVO","AFASTADO")</f>
        <v>ATIVO</v>
      </c>
      <c r="K2256" s="12">
        <v>1</v>
      </c>
    </row>
    <row r="2257" spans="1:11" x14ac:dyDescent="0.25">
      <c r="A2257" s="10">
        <v>45305</v>
      </c>
      <c r="B2257" s="9" t="s">
        <v>2294</v>
      </c>
      <c r="C2257" s="12" t="str">
        <f>IFERROR(VLOOKUP(TED[[#This Row],[CENTRO]],'CENTRO DE CUSTO'!B:E,4,FALSE)," ")</f>
        <v>CLEVERTON RODRIGO</v>
      </c>
      <c r="D2257" s="12">
        <v>306</v>
      </c>
      <c r="E2257" s="16">
        <v>306004</v>
      </c>
      <c r="F2257" s="10" t="s">
        <v>2802</v>
      </c>
      <c r="G2257" s="10">
        <v>220</v>
      </c>
      <c r="H2257" s="11">
        <v>46143</v>
      </c>
      <c r="I2257" s="10" t="s">
        <v>944</v>
      </c>
      <c r="J2257" s="12" t="str">
        <f>IF(OR(TED[[#This Row],[SITUACAO]]=1,TED[[#This Row],[SITUACAO]]=9,TED[[#This Row],[SITUACAO]]=18),"ATIVO","AFASTADO")</f>
        <v>ATIVO</v>
      </c>
      <c r="K2257" s="12">
        <v>1</v>
      </c>
    </row>
    <row r="2258" spans="1:11" x14ac:dyDescent="0.25">
      <c r="A2258" s="10">
        <v>45405</v>
      </c>
      <c r="B2258" s="9" t="s">
        <v>2278</v>
      </c>
      <c r="C2258" s="12" t="str">
        <f>IFERROR(VLOOKUP(TED[[#This Row],[CENTRO]],'CENTRO DE CUSTO'!B:E,4,FALSE)," ")</f>
        <v>FERNANDO SANTOS</v>
      </c>
      <c r="D2258" s="12">
        <v>306</v>
      </c>
      <c r="E2258" s="16">
        <v>306003</v>
      </c>
      <c r="F2258" s="10" t="s">
        <v>2803</v>
      </c>
      <c r="G2258" s="10">
        <v>220</v>
      </c>
      <c r="H2258" s="11">
        <v>46143</v>
      </c>
      <c r="I2258" s="10" t="s">
        <v>944</v>
      </c>
      <c r="J2258" s="12" t="str">
        <f>IF(OR(TED[[#This Row],[SITUACAO]]=1,TED[[#This Row],[SITUACAO]]=9,TED[[#This Row],[SITUACAO]]=18),"ATIVO","AFASTADO")</f>
        <v>ATIVO</v>
      </c>
      <c r="K2258" s="12">
        <v>1</v>
      </c>
    </row>
    <row r="2259" spans="1:11" x14ac:dyDescent="0.25">
      <c r="A2259" s="10">
        <v>45301</v>
      </c>
      <c r="B2259" s="9" t="s">
        <v>2296</v>
      </c>
      <c r="C2259" s="12" t="str">
        <f>IFERROR(VLOOKUP(TED[[#This Row],[CENTRO]],'CENTRO DE CUSTO'!B:E,4,FALSE)," ")</f>
        <v>CLEVERTON RODRIGO</v>
      </c>
      <c r="D2259" s="12">
        <v>306</v>
      </c>
      <c r="E2259" s="16">
        <v>306004</v>
      </c>
      <c r="F2259" s="10" t="s">
        <v>2802</v>
      </c>
      <c r="G2259" s="10">
        <v>220</v>
      </c>
      <c r="H2259" s="11">
        <v>46143</v>
      </c>
      <c r="I2259" s="10" t="s">
        <v>944</v>
      </c>
      <c r="J2259" s="12" t="str">
        <f>IF(OR(TED[[#This Row],[SITUACAO]]=1,TED[[#This Row],[SITUACAO]]=9,TED[[#This Row],[SITUACAO]]=18),"ATIVO","AFASTADO")</f>
        <v>ATIVO</v>
      </c>
      <c r="K2259" s="12">
        <v>1</v>
      </c>
    </row>
    <row r="2260" spans="1:11" x14ac:dyDescent="0.25">
      <c r="A2260" s="10">
        <v>45310</v>
      </c>
      <c r="B2260" s="9" t="s">
        <v>2300</v>
      </c>
      <c r="C2260" s="12" t="str">
        <f>IFERROR(VLOOKUP(TED[[#This Row],[CENTRO]],'CENTRO DE CUSTO'!B:E,4,FALSE)," ")</f>
        <v>CLEVERTON RODRIGO</v>
      </c>
      <c r="D2260" s="12">
        <v>306</v>
      </c>
      <c r="E2260" s="16">
        <v>306004</v>
      </c>
      <c r="F2260" s="10" t="s">
        <v>2802</v>
      </c>
      <c r="G2260" s="10">
        <v>220</v>
      </c>
      <c r="H2260" s="11">
        <v>46143</v>
      </c>
      <c r="I2260" s="10" t="s">
        <v>2313</v>
      </c>
      <c r="J2260" s="12" t="str">
        <f>IF(OR(TED[[#This Row],[SITUACAO]]=1,TED[[#This Row],[SITUACAO]]=9,TED[[#This Row],[SITUACAO]]=18),"ATIVO","AFASTADO")</f>
        <v>ATIVO</v>
      </c>
      <c r="K2260" s="12">
        <v>1</v>
      </c>
    </row>
    <row r="2261" spans="1:11" x14ac:dyDescent="0.25">
      <c r="A2261" s="10">
        <v>45306</v>
      </c>
      <c r="B2261" s="9" t="s">
        <v>2302</v>
      </c>
      <c r="C2261" s="12" t="str">
        <f>IFERROR(VLOOKUP(TED[[#This Row],[CENTRO]],'CENTRO DE CUSTO'!B:E,4,FALSE)," ")</f>
        <v>CLEVERTON RODRIGO</v>
      </c>
      <c r="D2261" s="12">
        <v>306</v>
      </c>
      <c r="E2261" s="16">
        <v>306004</v>
      </c>
      <c r="F2261" s="10" t="s">
        <v>2802</v>
      </c>
      <c r="G2261" s="10">
        <v>220</v>
      </c>
      <c r="H2261" s="11">
        <v>46143</v>
      </c>
      <c r="I2261" s="10" t="s">
        <v>2313</v>
      </c>
      <c r="J2261" s="12" t="str">
        <f>IF(OR(TED[[#This Row],[SITUACAO]]=1,TED[[#This Row],[SITUACAO]]=9,TED[[#This Row],[SITUACAO]]=18),"ATIVO","AFASTADO")</f>
        <v>ATIVO</v>
      </c>
      <c r="K2261" s="12">
        <v>1</v>
      </c>
    </row>
    <row r="2262" spans="1:11" x14ac:dyDescent="0.25">
      <c r="A2262" s="10">
        <v>45292</v>
      </c>
      <c r="B2262" s="9" t="s">
        <v>2292</v>
      </c>
      <c r="C2262" s="12" t="str">
        <f>IFERROR(VLOOKUP(TED[[#This Row],[CENTRO]],'CENTRO DE CUSTO'!B:E,4,FALSE)," ")</f>
        <v>CLEVERTON RODRIGO</v>
      </c>
      <c r="D2262" s="12">
        <v>306</v>
      </c>
      <c r="E2262" s="16">
        <v>306004</v>
      </c>
      <c r="F2262" s="10" t="s">
        <v>2802</v>
      </c>
      <c r="G2262" s="10">
        <v>220</v>
      </c>
      <c r="H2262" s="11">
        <v>46143</v>
      </c>
      <c r="I2262" s="10" t="s">
        <v>944</v>
      </c>
      <c r="J2262" s="12" t="str">
        <f>IF(OR(TED[[#This Row],[SITUACAO]]=1,TED[[#This Row],[SITUACAO]]=9,TED[[#This Row],[SITUACAO]]=18),"ATIVO","AFASTADO")</f>
        <v>ATIVO</v>
      </c>
      <c r="K2262" s="12">
        <v>1</v>
      </c>
    </row>
    <row r="2263" spans="1:11" x14ac:dyDescent="0.25">
      <c r="A2263" s="10">
        <v>45384</v>
      </c>
      <c r="B2263" s="9" t="s">
        <v>2280</v>
      </c>
      <c r="C2263" s="12" t="str">
        <f>IFERROR(VLOOKUP(TED[[#This Row],[CENTRO]],'CENTRO DE CUSTO'!B:E,4,FALSE)," ")</f>
        <v>FERNANDO SANTOS</v>
      </c>
      <c r="D2263" s="12">
        <v>306</v>
      </c>
      <c r="E2263" s="16">
        <v>306003</v>
      </c>
      <c r="F2263" s="10" t="s">
        <v>2803</v>
      </c>
      <c r="G2263" s="10">
        <v>220</v>
      </c>
      <c r="H2263" s="11">
        <v>46143</v>
      </c>
      <c r="I2263" s="10" t="s">
        <v>944</v>
      </c>
      <c r="J2263" s="12" t="str">
        <f>IF(OR(TED[[#This Row],[SITUACAO]]=1,TED[[#This Row],[SITUACAO]]=9,TED[[#This Row],[SITUACAO]]=18),"ATIVO","AFASTADO")</f>
        <v>ATIVO</v>
      </c>
      <c r="K2263" s="12">
        <v>1</v>
      </c>
    </row>
    <row r="2264" spans="1:11" x14ac:dyDescent="0.25">
      <c r="A2264" s="10">
        <v>45447</v>
      </c>
      <c r="B2264" s="9" t="s">
        <v>2268</v>
      </c>
      <c r="C2264" s="12" t="str">
        <f>IFERROR(VLOOKUP(TED[[#This Row],[CENTRO]],'CENTRO DE CUSTO'!B:E,4,FALSE)," ")</f>
        <v>FERNANDO SANTOS</v>
      </c>
      <c r="D2264" s="12">
        <v>306</v>
      </c>
      <c r="E2264" s="16">
        <v>306001</v>
      </c>
      <c r="F2264" s="10" t="s">
        <v>2801</v>
      </c>
      <c r="G2264" s="10">
        <v>220</v>
      </c>
      <c r="H2264" s="11">
        <v>46143</v>
      </c>
      <c r="I2264" s="10" t="s">
        <v>2311</v>
      </c>
      <c r="J2264" s="12" t="str">
        <f>IF(OR(TED[[#This Row],[SITUACAO]]=1,TED[[#This Row],[SITUACAO]]=9,TED[[#This Row],[SITUACAO]]=18),"ATIVO","AFASTADO")</f>
        <v>ATIVO</v>
      </c>
      <c r="K2264" s="12">
        <v>1</v>
      </c>
    </row>
    <row r="2265" spans="1:11" x14ac:dyDescent="0.25">
      <c r="A2265" s="10">
        <v>45865</v>
      </c>
      <c r="B2265" s="9" t="s">
        <v>2285</v>
      </c>
      <c r="C2265" s="12" t="str">
        <f>IFERROR(VLOOKUP(TED[[#This Row],[CENTRO]],'CENTRO DE CUSTO'!B:E,4,FALSE)," ")</f>
        <v>FERNANDO SANTOS</v>
      </c>
      <c r="D2265" s="12">
        <v>306</v>
      </c>
      <c r="E2265" s="16">
        <v>306003</v>
      </c>
      <c r="F2265" s="10" t="s">
        <v>2803</v>
      </c>
      <c r="G2265" s="10">
        <v>220</v>
      </c>
      <c r="H2265" s="11">
        <v>46164</v>
      </c>
      <c r="I2265" s="10" t="s">
        <v>2313</v>
      </c>
      <c r="J2265" s="12" t="str">
        <f>IF(OR(TED[[#This Row],[SITUACAO]]=1,TED[[#This Row],[SITUACAO]]=9,TED[[#This Row],[SITUACAO]]=18),"ATIVO","AFASTADO")</f>
        <v>ATIVO</v>
      </c>
      <c r="K2265" s="12">
        <v>1</v>
      </c>
    </row>
    <row r="2266" spans="1:11" x14ac:dyDescent="0.25">
      <c r="A2266" s="10">
        <v>45328</v>
      </c>
      <c r="B2266" s="9" t="s">
        <v>2277</v>
      </c>
      <c r="C2266" s="12" t="str">
        <f>IFERROR(VLOOKUP(TED[[#This Row],[CENTRO]],'CENTRO DE CUSTO'!B:E,4,FALSE)," ")</f>
        <v>FERNANDO SANTOS</v>
      </c>
      <c r="D2266" s="12">
        <v>306</v>
      </c>
      <c r="E2266" s="16">
        <v>306003</v>
      </c>
      <c r="F2266" s="10" t="s">
        <v>2803</v>
      </c>
      <c r="G2266" s="10">
        <v>220</v>
      </c>
      <c r="H2266" s="11">
        <v>46143</v>
      </c>
      <c r="I2266" s="10" t="s">
        <v>944</v>
      </c>
      <c r="J2266" s="12" t="str">
        <f>IF(OR(TED[[#This Row],[SITUACAO]]=1,TED[[#This Row],[SITUACAO]]=9,TED[[#This Row],[SITUACAO]]=18),"ATIVO","AFASTADO")</f>
        <v>ATIVO</v>
      </c>
      <c r="K2266" s="12">
        <v>1</v>
      </c>
    </row>
    <row r="2267" spans="1:11" x14ac:dyDescent="0.25">
      <c r="A2267" s="10">
        <v>45403</v>
      </c>
      <c r="B2267" s="9" t="s">
        <v>2286</v>
      </c>
      <c r="C2267" s="12" t="str">
        <f>IFERROR(VLOOKUP(TED[[#This Row],[CENTRO]],'CENTRO DE CUSTO'!B:E,4,FALSE)," ")</f>
        <v>FERNANDO SANTOS</v>
      </c>
      <c r="D2267" s="12">
        <v>306</v>
      </c>
      <c r="E2267" s="16">
        <v>306003</v>
      </c>
      <c r="F2267" s="10" t="s">
        <v>2803</v>
      </c>
      <c r="G2267" s="10">
        <v>220</v>
      </c>
      <c r="H2267" s="11">
        <v>46143</v>
      </c>
      <c r="I2267" s="10" t="s">
        <v>2313</v>
      </c>
      <c r="J2267" s="12" t="str">
        <f>IF(OR(TED[[#This Row],[SITUACAO]]=1,TED[[#This Row],[SITUACAO]]=9,TED[[#This Row],[SITUACAO]]=18),"ATIVO","AFASTADO")</f>
        <v>ATIVO</v>
      </c>
      <c r="K2267" s="12">
        <v>1</v>
      </c>
    </row>
    <row r="2268" spans="1:11" x14ac:dyDescent="0.25">
      <c r="A2268" s="10">
        <v>45291</v>
      </c>
      <c r="B2268" s="9" t="s">
        <v>2293</v>
      </c>
      <c r="C2268" s="12" t="str">
        <f>IFERROR(VLOOKUP(TED[[#This Row],[CENTRO]],'CENTRO DE CUSTO'!B:E,4,FALSE)," ")</f>
        <v>CLEVERTON RODRIGO</v>
      </c>
      <c r="D2268" s="12">
        <v>306</v>
      </c>
      <c r="E2268" s="16">
        <v>306004</v>
      </c>
      <c r="F2268" s="10" t="s">
        <v>2802</v>
      </c>
      <c r="G2268" s="10">
        <v>220</v>
      </c>
      <c r="H2268" s="11">
        <v>46143</v>
      </c>
      <c r="I2268" s="10" t="s">
        <v>944</v>
      </c>
      <c r="J2268" s="12" t="str">
        <f>IF(OR(TED[[#This Row],[SITUACAO]]=1,TED[[#This Row],[SITUACAO]]=9,TED[[#This Row],[SITUACAO]]=18),"ATIVO","AFASTADO")</f>
        <v>ATIVO</v>
      </c>
      <c r="K2268" s="12">
        <v>1</v>
      </c>
    </row>
    <row r="2269" spans="1:11" x14ac:dyDescent="0.25">
      <c r="A2269" s="10">
        <v>45298</v>
      </c>
      <c r="B2269" s="9" t="s">
        <v>2264</v>
      </c>
      <c r="C2269" s="12" t="str">
        <f>IFERROR(VLOOKUP(TED[[#This Row],[CENTRO]],'CENTRO DE CUSTO'!B:E,4,FALSE)," ")</f>
        <v>FERNANDO SANTOS</v>
      </c>
      <c r="D2269" s="12">
        <v>306</v>
      </c>
      <c r="E2269" s="16">
        <v>306001</v>
      </c>
      <c r="F2269" s="10" t="s">
        <v>2801</v>
      </c>
      <c r="G2269" s="10">
        <v>220</v>
      </c>
      <c r="H2269" s="11">
        <v>46143</v>
      </c>
      <c r="I2269" s="10" t="s">
        <v>2311</v>
      </c>
      <c r="J2269" s="12" t="str">
        <f>IF(OR(TED[[#This Row],[SITUACAO]]=1,TED[[#This Row],[SITUACAO]]=9,TED[[#This Row],[SITUACAO]]=18),"ATIVO","AFASTADO")</f>
        <v>ATIVO</v>
      </c>
      <c r="K2269" s="12">
        <v>1</v>
      </c>
    </row>
    <row r="2270" spans="1:11" x14ac:dyDescent="0.25">
      <c r="A2270" s="10">
        <v>45295</v>
      </c>
      <c r="B2270" s="9" t="s">
        <v>2306</v>
      </c>
      <c r="C2270" s="12" t="str">
        <f>IFERROR(VLOOKUP(TED[[#This Row],[CENTRO]],'CENTRO DE CUSTO'!B:E,4,FALSE)," ")</f>
        <v>CLEVERTON RODRIGO</v>
      </c>
      <c r="D2270" s="12">
        <v>306</v>
      </c>
      <c r="E2270" s="16">
        <v>306004</v>
      </c>
      <c r="F2270" s="10" t="s">
        <v>2802</v>
      </c>
      <c r="G2270" s="10">
        <v>220</v>
      </c>
      <c r="H2270" s="11">
        <v>46143</v>
      </c>
      <c r="I2270" s="10" t="s">
        <v>2313</v>
      </c>
      <c r="J2270" s="12" t="str">
        <f>IF(OR(TED[[#This Row],[SITUACAO]]=1,TED[[#This Row],[SITUACAO]]=9,TED[[#This Row],[SITUACAO]]=18),"ATIVO","AFASTADO")</f>
        <v>ATIVO</v>
      </c>
      <c r="K2270" s="12">
        <v>1</v>
      </c>
    </row>
    <row r="2271" spans="1:11" x14ac:dyDescent="0.25">
      <c r="A2271" s="10">
        <v>45382</v>
      </c>
      <c r="B2271" s="9" t="s">
        <v>2274</v>
      </c>
      <c r="C2271" s="12" t="str">
        <f>IFERROR(VLOOKUP(TED[[#This Row],[CENTRO]],'CENTRO DE CUSTO'!B:E,4,FALSE)," ")</f>
        <v>FERNANDO SANTOS</v>
      </c>
      <c r="D2271" s="12">
        <v>306</v>
      </c>
      <c r="E2271" s="16">
        <v>306001</v>
      </c>
      <c r="F2271" s="10" t="s">
        <v>2801</v>
      </c>
      <c r="G2271" s="10">
        <v>220</v>
      </c>
      <c r="H2271" s="11">
        <v>46143</v>
      </c>
      <c r="I2271" s="10" t="s">
        <v>2312</v>
      </c>
      <c r="J2271" s="12" t="str">
        <f>IF(OR(TED[[#This Row],[SITUACAO]]=1,TED[[#This Row],[SITUACAO]]=9,TED[[#This Row],[SITUACAO]]=18),"ATIVO","AFASTADO")</f>
        <v>ATIVO</v>
      </c>
      <c r="K2271" s="12">
        <v>1</v>
      </c>
    </row>
    <row r="2272" spans="1:11" x14ac:dyDescent="0.25">
      <c r="A2272" s="10">
        <v>45329</v>
      </c>
      <c r="B2272" s="9" t="s">
        <v>2276</v>
      </c>
      <c r="C2272" s="12" t="str">
        <f>IFERROR(VLOOKUP(TED[[#This Row],[CENTRO]],'CENTRO DE CUSTO'!B:E,4,FALSE)," ")</f>
        <v>FERNANDO SANTOS</v>
      </c>
      <c r="D2272" s="12">
        <v>306</v>
      </c>
      <c r="E2272" s="16">
        <v>306003</v>
      </c>
      <c r="F2272" s="10" t="s">
        <v>2803</v>
      </c>
      <c r="G2272" s="10">
        <v>220</v>
      </c>
      <c r="H2272" s="11">
        <v>46143</v>
      </c>
      <c r="I2272" s="10" t="s">
        <v>944</v>
      </c>
      <c r="J2272" s="12" t="str">
        <f>IF(OR(TED[[#This Row],[SITUACAO]]=1,TED[[#This Row],[SITUACAO]]=9,TED[[#This Row],[SITUACAO]]=18),"ATIVO","AFASTADO")</f>
        <v>ATIVO</v>
      </c>
      <c r="K2272" s="12">
        <v>1</v>
      </c>
    </row>
    <row r="2273" spans="1:11" x14ac:dyDescent="0.25">
      <c r="A2273" s="10">
        <v>45399</v>
      </c>
      <c r="B2273" s="9" t="s">
        <v>2269</v>
      </c>
      <c r="C2273" s="12" t="str">
        <f>IFERROR(VLOOKUP(TED[[#This Row],[CENTRO]],'CENTRO DE CUSTO'!B:E,4,FALSE)," ")</f>
        <v>FERNANDO SANTOS</v>
      </c>
      <c r="D2273" s="12">
        <v>306</v>
      </c>
      <c r="E2273" s="16">
        <v>306001</v>
      </c>
      <c r="F2273" s="10" t="s">
        <v>2801</v>
      </c>
      <c r="G2273" s="10">
        <v>220</v>
      </c>
      <c r="H2273" s="11">
        <v>46143</v>
      </c>
      <c r="I2273" s="10" t="s">
        <v>944</v>
      </c>
      <c r="J2273" s="12" t="str">
        <f>IF(OR(TED[[#This Row],[SITUACAO]]=1,TED[[#This Row],[SITUACAO]]=9,TED[[#This Row],[SITUACAO]]=18),"ATIVO","AFASTADO")</f>
        <v>ATIVO</v>
      </c>
      <c r="K2273" s="12">
        <v>1</v>
      </c>
    </row>
    <row r="2274" spans="1:11" x14ac:dyDescent="0.25">
      <c r="A2274" s="10">
        <v>45299</v>
      </c>
      <c r="B2274" s="9" t="s">
        <v>2263</v>
      </c>
      <c r="C2274" s="12" t="str">
        <f>IFERROR(VLOOKUP(TED[[#This Row],[CENTRO]],'CENTRO DE CUSTO'!B:E,4,FALSE)," ")</f>
        <v>FERNANDO SANTOS</v>
      </c>
      <c r="D2274" s="12">
        <v>306</v>
      </c>
      <c r="E2274" s="16">
        <v>306001</v>
      </c>
      <c r="F2274" s="10" t="s">
        <v>2801</v>
      </c>
      <c r="G2274" s="10">
        <v>220</v>
      </c>
      <c r="H2274" s="11">
        <v>46143</v>
      </c>
      <c r="I2274" s="10" t="s">
        <v>2311</v>
      </c>
      <c r="J2274" s="12" t="str">
        <f>IF(OR(TED[[#This Row],[SITUACAO]]=1,TED[[#This Row],[SITUACAO]]=9,TED[[#This Row],[SITUACAO]]=18),"ATIVO","AFASTADO")</f>
        <v>ATIVO</v>
      </c>
      <c r="K2274" s="12">
        <v>1</v>
      </c>
    </row>
    <row r="2275" spans="1:11" x14ac:dyDescent="0.25">
      <c r="A2275" s="10">
        <v>45294</v>
      </c>
      <c r="B2275" s="9" t="s">
        <v>2297</v>
      </c>
      <c r="C2275" s="12" t="str">
        <f>IFERROR(VLOOKUP(TED[[#This Row],[CENTRO]],'CENTRO DE CUSTO'!B:E,4,FALSE)," ")</f>
        <v>CLEVERTON RODRIGO</v>
      </c>
      <c r="D2275" s="12">
        <v>306</v>
      </c>
      <c r="E2275" s="16">
        <v>306004</v>
      </c>
      <c r="F2275" s="10" t="s">
        <v>2802</v>
      </c>
      <c r="G2275" s="10">
        <v>220</v>
      </c>
      <c r="H2275" s="11">
        <v>46143</v>
      </c>
      <c r="I2275" s="10" t="s">
        <v>944</v>
      </c>
      <c r="J2275" s="12" t="str">
        <f>IF(OR(TED[[#This Row],[SITUACAO]]=1,TED[[#This Row],[SITUACAO]]=9,TED[[#This Row],[SITUACAO]]=18),"ATIVO","AFASTADO")</f>
        <v>ATIVO</v>
      </c>
      <c r="K2275" s="12">
        <v>1</v>
      </c>
    </row>
    <row r="2276" spans="1:11" x14ac:dyDescent="0.25">
      <c r="A2276" s="10">
        <v>45404</v>
      </c>
      <c r="B2276" s="9" t="s">
        <v>2287</v>
      </c>
      <c r="C2276" s="12" t="str">
        <f>IFERROR(VLOOKUP(TED[[#This Row],[CENTRO]],'CENTRO DE CUSTO'!B:E,4,FALSE)," ")</f>
        <v>FERNANDO SANTOS</v>
      </c>
      <c r="D2276" s="12">
        <v>306</v>
      </c>
      <c r="E2276" s="16">
        <v>306003</v>
      </c>
      <c r="F2276" s="10" t="s">
        <v>2803</v>
      </c>
      <c r="G2276" s="10">
        <v>220</v>
      </c>
      <c r="H2276" s="11">
        <v>46143</v>
      </c>
      <c r="I2276" s="10" t="s">
        <v>2313</v>
      </c>
      <c r="J2276" s="12" t="str">
        <f>IF(OR(TED[[#This Row],[SITUACAO]]=1,TED[[#This Row],[SITUACAO]]=9,TED[[#This Row],[SITUACAO]]=18),"ATIVO","AFASTADO")</f>
        <v>ATIVO</v>
      </c>
      <c r="K2276" s="12">
        <v>1</v>
      </c>
    </row>
    <row r="2277" spans="1:11" x14ac:dyDescent="0.25">
      <c r="A2277" s="10">
        <v>45448</v>
      </c>
      <c r="B2277" s="9" t="s">
        <v>2290</v>
      </c>
      <c r="C2277" s="12" t="str">
        <f>IFERROR(VLOOKUP(TED[[#This Row],[CENTRO]],'CENTRO DE CUSTO'!B:E,4,FALSE)," ")</f>
        <v>FERNANDO SANTOS</v>
      </c>
      <c r="D2277" s="12">
        <v>306</v>
      </c>
      <c r="E2277" s="16">
        <v>306003</v>
      </c>
      <c r="F2277" s="10" t="s">
        <v>2803</v>
      </c>
      <c r="G2277" s="10">
        <v>220</v>
      </c>
      <c r="H2277" s="11">
        <v>46143</v>
      </c>
      <c r="I2277" s="10" t="s">
        <v>2313</v>
      </c>
      <c r="J2277" s="12" t="str">
        <f>IF(OR(TED[[#This Row],[SITUACAO]]=1,TED[[#This Row],[SITUACAO]]=9,TED[[#This Row],[SITUACAO]]=18),"ATIVO","AFASTADO")</f>
        <v>ATIVO</v>
      </c>
      <c r="K2277" s="12">
        <v>1</v>
      </c>
    </row>
    <row r="2278" spans="1:11" x14ac:dyDescent="0.25">
      <c r="A2278" s="10">
        <v>45302</v>
      </c>
      <c r="B2278" s="9" t="s">
        <v>2303</v>
      </c>
      <c r="C2278" s="12" t="str">
        <f>IFERROR(VLOOKUP(TED[[#This Row],[CENTRO]],'CENTRO DE CUSTO'!B:E,4,FALSE)," ")</f>
        <v>CLEVERTON RODRIGO</v>
      </c>
      <c r="D2278" s="12">
        <v>306</v>
      </c>
      <c r="E2278" s="16">
        <v>306004</v>
      </c>
      <c r="F2278" s="10" t="s">
        <v>2802</v>
      </c>
      <c r="G2278" s="10">
        <v>220</v>
      </c>
      <c r="H2278" s="11">
        <v>46143</v>
      </c>
      <c r="I2278" s="10" t="s">
        <v>2313</v>
      </c>
      <c r="J2278" s="12" t="str">
        <f>IF(OR(TED[[#This Row],[SITUACAO]]=1,TED[[#This Row],[SITUACAO]]=9,TED[[#This Row],[SITUACAO]]=18),"ATIVO","AFASTADO")</f>
        <v>ATIVO</v>
      </c>
      <c r="K2278" s="12">
        <v>1</v>
      </c>
    </row>
    <row r="2279" spans="1:11" x14ac:dyDescent="0.25">
      <c r="A2279" s="10">
        <v>45309</v>
      </c>
      <c r="B2279" s="9" t="s">
        <v>2301</v>
      </c>
      <c r="C2279" s="12" t="str">
        <f>IFERROR(VLOOKUP(TED[[#This Row],[CENTRO]],'CENTRO DE CUSTO'!B:E,4,FALSE)," ")</f>
        <v>CLEVERTON RODRIGO</v>
      </c>
      <c r="D2279" s="12">
        <v>306</v>
      </c>
      <c r="E2279" s="16">
        <v>306004</v>
      </c>
      <c r="F2279" s="10" t="s">
        <v>2802</v>
      </c>
      <c r="G2279" s="10">
        <v>220</v>
      </c>
      <c r="H2279" s="11">
        <v>46143</v>
      </c>
      <c r="I2279" s="10" t="s">
        <v>2313</v>
      </c>
      <c r="J2279" s="12" t="str">
        <f>IF(OR(TED[[#This Row],[SITUACAO]]=1,TED[[#This Row],[SITUACAO]]=9,TED[[#This Row],[SITUACAO]]=18),"ATIVO","AFASTADO")</f>
        <v>ATIVO</v>
      </c>
      <c r="K2279" s="12">
        <v>1</v>
      </c>
    </row>
    <row r="2280" spans="1:11" x14ac:dyDescent="0.25">
      <c r="A2280" s="10">
        <v>45446</v>
      </c>
      <c r="B2280" s="9" t="s">
        <v>2267</v>
      </c>
      <c r="C2280" s="12" t="str">
        <f>IFERROR(VLOOKUP(TED[[#This Row],[CENTRO]],'CENTRO DE CUSTO'!B:E,4,FALSE)," ")</f>
        <v>FERNANDO SANTOS</v>
      </c>
      <c r="D2280" s="12">
        <v>306</v>
      </c>
      <c r="E2280" s="16">
        <v>306001</v>
      </c>
      <c r="F2280" s="10" t="s">
        <v>2801</v>
      </c>
      <c r="G2280" s="10">
        <v>220</v>
      </c>
      <c r="H2280" s="11">
        <v>46143</v>
      </c>
      <c r="I2280" s="10" t="s">
        <v>2311</v>
      </c>
      <c r="J2280" s="12" t="str">
        <f>IF(OR(TED[[#This Row],[SITUACAO]]=1,TED[[#This Row],[SITUACAO]]=9,TED[[#This Row],[SITUACAO]]=18),"ATIVO","AFASTADO")</f>
        <v>ATIVO</v>
      </c>
      <c r="K2280" s="12">
        <v>1</v>
      </c>
    </row>
    <row r="2281" spans="1:11" x14ac:dyDescent="0.25">
      <c r="A2281" s="10">
        <v>45407</v>
      </c>
      <c r="B2281" s="9" t="s">
        <v>2298</v>
      </c>
      <c r="C2281" s="12" t="str">
        <f>IFERROR(VLOOKUP(TED[[#This Row],[CENTRO]],'CENTRO DE CUSTO'!B:E,4,FALSE)," ")</f>
        <v>CLEVERTON RODRIGO</v>
      </c>
      <c r="D2281" s="12">
        <v>306</v>
      </c>
      <c r="E2281" s="16">
        <v>306004</v>
      </c>
      <c r="F2281" s="10" t="s">
        <v>2802</v>
      </c>
      <c r="G2281" s="10">
        <v>220</v>
      </c>
      <c r="H2281" s="11">
        <v>46143</v>
      </c>
      <c r="I2281" s="10" t="s">
        <v>944</v>
      </c>
      <c r="J2281" s="12" t="str">
        <f>IF(OR(TED[[#This Row],[SITUACAO]]=1,TED[[#This Row],[SITUACAO]]=9,TED[[#This Row],[SITUACAO]]=18),"ATIVO","AFASTADO")</f>
        <v>ATIVO</v>
      </c>
      <c r="K2281" s="12">
        <v>1</v>
      </c>
    </row>
    <row r="2282" spans="1:11" x14ac:dyDescent="0.25">
      <c r="A2282" s="10">
        <v>45293</v>
      </c>
      <c r="B2282" s="9" t="s">
        <v>2291</v>
      </c>
      <c r="C2282" s="12" t="str">
        <f>IFERROR(VLOOKUP(TED[[#This Row],[CENTRO]],'CENTRO DE CUSTO'!B:E,4,FALSE)," ")</f>
        <v>CLEVERTON RODRIGO</v>
      </c>
      <c r="D2282" s="12">
        <v>306</v>
      </c>
      <c r="E2282" s="16">
        <v>306004</v>
      </c>
      <c r="F2282" s="10" t="s">
        <v>2802</v>
      </c>
      <c r="G2282" s="10">
        <v>220</v>
      </c>
      <c r="H2282" s="11">
        <v>46143</v>
      </c>
      <c r="I2282" s="10" t="s">
        <v>944</v>
      </c>
      <c r="J2282" s="12" t="str">
        <f>IF(OR(TED[[#This Row],[SITUACAO]]=1,TED[[#This Row],[SITUACAO]]=9,TED[[#This Row],[SITUACAO]]=18),"ATIVO","AFASTADO")</f>
        <v>ATIVO</v>
      </c>
      <c r="K2282" s="12">
        <v>1</v>
      </c>
    </row>
    <row r="2283" spans="1:11" x14ac:dyDescent="0.25">
      <c r="A2283" s="10">
        <v>45321</v>
      </c>
      <c r="B2283" s="9" t="s">
        <v>2284</v>
      </c>
      <c r="C2283" s="12" t="str">
        <f>IFERROR(VLOOKUP(TED[[#This Row],[CENTRO]],'CENTRO DE CUSTO'!B:E,4,FALSE)," ")</f>
        <v>FERNANDO SANTOS</v>
      </c>
      <c r="D2283" s="12">
        <v>306</v>
      </c>
      <c r="E2283" s="16">
        <v>306003</v>
      </c>
      <c r="F2283" s="10" t="s">
        <v>2803</v>
      </c>
      <c r="G2283" s="10">
        <v>220</v>
      </c>
      <c r="H2283" s="11">
        <v>46143</v>
      </c>
      <c r="I2283" s="10" t="s">
        <v>2313</v>
      </c>
      <c r="J2283" s="12" t="str">
        <f>IF(OR(TED[[#This Row],[SITUACAO]]=1,TED[[#This Row],[SITUACAO]]=9,TED[[#This Row],[SITUACAO]]=18),"ATIVO","AFASTADO")</f>
        <v>ATIVO</v>
      </c>
      <c r="K2283" s="12">
        <v>1</v>
      </c>
    </row>
    <row r="2284" spans="1:11" x14ac:dyDescent="0.25">
      <c r="A2284" s="10">
        <v>45385</v>
      </c>
      <c r="B2284" s="9" t="s">
        <v>2279</v>
      </c>
      <c r="C2284" s="12" t="str">
        <f>IFERROR(VLOOKUP(TED[[#This Row],[CENTRO]],'CENTRO DE CUSTO'!B:E,4,FALSE)," ")</f>
        <v>FERNANDO SANTOS</v>
      </c>
      <c r="D2284" s="12">
        <v>306</v>
      </c>
      <c r="E2284" s="16">
        <v>306003</v>
      </c>
      <c r="F2284" s="10" t="s">
        <v>2803</v>
      </c>
      <c r="G2284" s="10">
        <v>220</v>
      </c>
      <c r="H2284" s="11">
        <v>46143</v>
      </c>
      <c r="I2284" s="10" t="s">
        <v>944</v>
      </c>
      <c r="J2284" s="12" t="str">
        <f>IF(OR(TED[[#This Row],[SITUACAO]]=1,TED[[#This Row],[SITUACAO]]=9,TED[[#This Row],[SITUACAO]]=18),"ATIVO","AFASTADO")</f>
        <v>ATIVO</v>
      </c>
      <c r="K2284" s="12">
        <v>1</v>
      </c>
    </row>
    <row r="2285" spans="1:11" x14ac:dyDescent="0.25">
      <c r="A2285" s="10">
        <v>45313</v>
      </c>
      <c r="B2285" s="9" t="s">
        <v>2271</v>
      </c>
      <c r="C2285" s="12" t="str">
        <f>IFERROR(VLOOKUP(TED[[#This Row],[CENTRO]],'CENTRO DE CUSTO'!B:E,4,FALSE)," ")</f>
        <v>FERNANDO SANTOS</v>
      </c>
      <c r="D2285" s="12">
        <v>306</v>
      </c>
      <c r="E2285" s="16">
        <v>306001</v>
      </c>
      <c r="F2285" s="10" t="s">
        <v>2801</v>
      </c>
      <c r="G2285" s="10">
        <v>220</v>
      </c>
      <c r="H2285" s="11">
        <v>46143</v>
      </c>
      <c r="I2285" s="10" t="s">
        <v>2312</v>
      </c>
      <c r="J2285" s="12" t="str">
        <f>IF(OR(TED[[#This Row],[SITUACAO]]=1,TED[[#This Row],[SITUACAO]]=9,TED[[#This Row],[SITUACAO]]=18),"ATIVO","AFASTADO")</f>
        <v>ATIVO</v>
      </c>
      <c r="K2285" s="12">
        <v>1</v>
      </c>
    </row>
    <row r="2286" spans="1:11" x14ac:dyDescent="0.25">
      <c r="A2286" s="10">
        <v>45397</v>
      </c>
      <c r="B2286" s="9" t="s">
        <v>2265</v>
      </c>
      <c r="C2286" s="12" t="str">
        <f>IFERROR(VLOOKUP(TED[[#This Row],[CENTRO]],'CENTRO DE CUSTO'!B:E,4,FALSE)," ")</f>
        <v>FERNANDO SANTOS</v>
      </c>
      <c r="D2286" s="12">
        <v>306</v>
      </c>
      <c r="E2286" s="16">
        <v>306001</v>
      </c>
      <c r="F2286" s="10" t="s">
        <v>2801</v>
      </c>
      <c r="G2286" s="10">
        <v>220</v>
      </c>
      <c r="H2286" s="11">
        <v>46143</v>
      </c>
      <c r="I2286" s="10" t="s">
        <v>2311</v>
      </c>
      <c r="J2286" s="12" t="str">
        <f>IF(OR(TED[[#This Row],[SITUACAO]]=1,TED[[#This Row],[SITUACAO]]=9,TED[[#This Row],[SITUACAO]]=18),"ATIVO","AFASTADO")</f>
        <v>ATIVO</v>
      </c>
      <c r="K2286" s="12">
        <v>1</v>
      </c>
    </row>
    <row r="2287" spans="1:11" x14ac:dyDescent="0.25">
      <c r="A2287" s="10">
        <v>45406</v>
      </c>
      <c r="B2287" s="9" t="s">
        <v>2288</v>
      </c>
      <c r="C2287" s="12" t="str">
        <f>IFERROR(VLOOKUP(TED[[#This Row],[CENTRO]],'CENTRO DE CUSTO'!B:E,4,FALSE)," ")</f>
        <v>FERNANDO SANTOS</v>
      </c>
      <c r="D2287" s="12">
        <v>306</v>
      </c>
      <c r="E2287" s="16">
        <v>306003</v>
      </c>
      <c r="F2287" s="10" t="s">
        <v>2803</v>
      </c>
      <c r="G2287" s="10">
        <v>220</v>
      </c>
      <c r="H2287" s="11">
        <v>46143</v>
      </c>
      <c r="I2287" s="10" t="s">
        <v>2313</v>
      </c>
      <c r="J2287" s="12" t="str">
        <f>IF(OR(TED[[#This Row],[SITUACAO]]=1,TED[[#This Row],[SITUACAO]]=9,TED[[#This Row],[SITUACAO]]=18),"ATIVO","AFASTADO")</f>
        <v>ATIVO</v>
      </c>
      <c r="K2287" s="12">
        <v>1</v>
      </c>
    </row>
    <row r="2288" spans="1:11" x14ac:dyDescent="0.25">
      <c r="A2288" s="10">
        <v>45383</v>
      </c>
      <c r="B2288" s="9" t="s">
        <v>2289</v>
      </c>
      <c r="C2288" s="12" t="str">
        <f>IFERROR(VLOOKUP(TED[[#This Row],[CENTRO]],'CENTRO DE CUSTO'!B:E,4,FALSE)," ")</f>
        <v>FERNANDO SANTOS</v>
      </c>
      <c r="D2288" s="12">
        <v>306</v>
      </c>
      <c r="E2288" s="16">
        <v>306003</v>
      </c>
      <c r="F2288" s="10" t="s">
        <v>2803</v>
      </c>
      <c r="G2288" s="10">
        <v>220</v>
      </c>
      <c r="H2288" s="11">
        <v>46143</v>
      </c>
      <c r="I2288" s="10" t="s">
        <v>2313</v>
      </c>
      <c r="J2288" s="12" t="str">
        <f>IF(OR(TED[[#This Row],[SITUACAO]]=1,TED[[#This Row],[SITUACAO]]=9,TED[[#This Row],[SITUACAO]]=18),"ATIVO","AFASTADO")</f>
        <v>ATIVO</v>
      </c>
      <c r="K2288" s="12">
        <v>1</v>
      </c>
    </row>
    <row r="2289" spans="1:11" x14ac:dyDescent="0.25">
      <c r="A2289" s="10">
        <v>45937</v>
      </c>
      <c r="B2289" s="9" t="s">
        <v>2713</v>
      </c>
      <c r="C2289" s="12" t="str">
        <f>IFERROR(VLOOKUP(TED[[#This Row],[CENTRO]],'CENTRO DE CUSTO'!B:E,4,FALSE)," ")</f>
        <v>FERNANDO SANTOS</v>
      </c>
      <c r="D2289" s="12">
        <v>306</v>
      </c>
      <c r="E2289" s="16">
        <v>306001</v>
      </c>
      <c r="F2289" s="10" t="s">
        <v>2801</v>
      </c>
      <c r="G2289" s="10">
        <v>220</v>
      </c>
      <c r="H2289" s="11">
        <v>46172</v>
      </c>
      <c r="I2289" s="10" t="s">
        <v>2311</v>
      </c>
      <c r="J2289" s="12" t="str">
        <f>IF(OR(TED[[#This Row],[SITUACAO]]=1,TED[[#This Row],[SITUACAO]]=9,TED[[#This Row],[SITUACAO]]=18),"ATIVO","AFASTADO")</f>
        <v>ATIVO</v>
      </c>
      <c r="K2289" s="12">
        <v>1</v>
      </c>
    </row>
    <row r="2290" spans="1:11" x14ac:dyDescent="0.25">
      <c r="A2290" s="10">
        <v>45300</v>
      </c>
      <c r="B2290" s="9" t="s">
        <v>2307</v>
      </c>
      <c r="C2290" s="12" t="str">
        <f>IFERROR(VLOOKUP(TED[[#This Row],[CENTRO]],'CENTRO DE CUSTO'!B:E,4,FALSE)," ")</f>
        <v>CLEVERTON RODRIGO</v>
      </c>
      <c r="D2290" s="12">
        <v>306</v>
      </c>
      <c r="E2290" s="16">
        <v>306004</v>
      </c>
      <c r="F2290" s="10" t="s">
        <v>2802</v>
      </c>
      <c r="G2290" s="10">
        <v>200</v>
      </c>
      <c r="H2290" s="11">
        <v>46146</v>
      </c>
      <c r="I2290" s="10" t="s">
        <v>610</v>
      </c>
      <c r="J2290" s="12" t="str">
        <f>IF(OR(TED[[#This Row],[SITUACAO]]=1,TED[[#This Row],[SITUACAO]]=9,TED[[#This Row],[SITUACAO]]=18),"ATIVO","AFASTADO")</f>
        <v>ATIVO</v>
      </c>
      <c r="K2290" s="12">
        <v>1</v>
      </c>
    </row>
    <row r="2291" spans="1:11" x14ac:dyDescent="0.25">
      <c r="A2291" s="10">
        <v>45402</v>
      </c>
      <c r="B2291" s="9" t="s">
        <v>2282</v>
      </c>
      <c r="C2291" s="12" t="str">
        <f>IFERROR(VLOOKUP(TED[[#This Row],[CENTRO]],'CENTRO DE CUSTO'!B:E,4,FALSE)," ")</f>
        <v>FERNANDO SANTOS</v>
      </c>
      <c r="D2291" s="12">
        <v>306</v>
      </c>
      <c r="E2291" s="16">
        <v>306003</v>
      </c>
      <c r="F2291" s="10" t="s">
        <v>2803</v>
      </c>
      <c r="G2291" s="10">
        <v>220</v>
      </c>
      <c r="H2291" s="11">
        <v>46143</v>
      </c>
      <c r="I2291" s="10" t="s">
        <v>944</v>
      </c>
      <c r="J2291" s="12" t="str">
        <f>IF(OR(TED[[#This Row],[SITUACAO]]=1,TED[[#This Row],[SITUACAO]]=9,TED[[#This Row],[SITUACAO]]=18),"ATIVO","AFASTADO")</f>
        <v>ATIVO</v>
      </c>
      <c r="K2291" s="12">
        <v>1</v>
      </c>
    </row>
    <row r="2292" spans="1:11" x14ac:dyDescent="0.25">
      <c r="A2292" s="10">
        <v>45311</v>
      </c>
      <c r="B2292" s="9" t="s">
        <v>2272</v>
      </c>
      <c r="C2292" s="12" t="str">
        <f>IFERROR(VLOOKUP(TED[[#This Row],[CENTRO]],'CENTRO DE CUSTO'!B:E,4,FALSE)," ")</f>
        <v>FERNANDO SANTOS</v>
      </c>
      <c r="D2292" s="12">
        <v>306</v>
      </c>
      <c r="E2292" s="16">
        <v>306001</v>
      </c>
      <c r="F2292" s="10" t="s">
        <v>2801</v>
      </c>
      <c r="G2292" s="10">
        <v>220</v>
      </c>
      <c r="H2292" s="11">
        <v>46143</v>
      </c>
      <c r="I2292" s="10" t="s">
        <v>2312</v>
      </c>
      <c r="J2292" s="12" t="str">
        <f>IF(OR(TED[[#This Row],[SITUACAO]]=1,TED[[#This Row],[SITUACAO]]=9,TED[[#This Row],[SITUACAO]]=18),"ATIVO","AFASTADO")</f>
        <v>ATIVO</v>
      </c>
      <c r="K2292" s="12">
        <v>1</v>
      </c>
    </row>
    <row r="2293" spans="1:11" x14ac:dyDescent="0.25">
      <c r="A2293" s="10">
        <v>45335</v>
      </c>
      <c r="B2293" s="9" t="s">
        <v>2275</v>
      </c>
      <c r="C2293" s="12" t="str">
        <f>IFERROR(VLOOKUP(TED[[#This Row],[CENTRO]],'CENTRO DE CUSTO'!B:E,4,FALSE)," ")</f>
        <v>FERNANDO SANTOS</v>
      </c>
      <c r="D2293" s="12">
        <v>306</v>
      </c>
      <c r="E2293" s="16">
        <v>306003</v>
      </c>
      <c r="F2293" s="10" t="s">
        <v>2803</v>
      </c>
      <c r="G2293" s="10">
        <v>220</v>
      </c>
      <c r="H2293" s="11">
        <v>46143</v>
      </c>
      <c r="I2293" s="10" t="s">
        <v>944</v>
      </c>
      <c r="J2293" s="12" t="str">
        <f>IF(OR(TED[[#This Row],[SITUACAO]]=1,TED[[#This Row],[SITUACAO]]=9,TED[[#This Row],[SITUACAO]]=18),"ATIVO","AFASTADO")</f>
        <v>ATIVO</v>
      </c>
      <c r="K2293" s="12">
        <v>1</v>
      </c>
    </row>
    <row r="2294" spans="1:11" x14ac:dyDescent="0.25">
      <c r="A2294" s="10">
        <v>45400</v>
      </c>
      <c r="B2294" s="9" t="s">
        <v>2281</v>
      </c>
      <c r="C2294" s="12" t="str">
        <f>IFERROR(VLOOKUP(TED[[#This Row],[CENTRO]],'CENTRO DE CUSTO'!B:E,4,FALSE)," ")</f>
        <v>FERNANDO SANTOS</v>
      </c>
      <c r="D2294" s="12">
        <v>306</v>
      </c>
      <c r="E2294" s="16">
        <v>306003</v>
      </c>
      <c r="F2294" s="10" t="s">
        <v>2803</v>
      </c>
      <c r="G2294" s="10">
        <v>220</v>
      </c>
      <c r="H2294" s="11">
        <v>46143</v>
      </c>
      <c r="I2294" s="10" t="s">
        <v>944</v>
      </c>
      <c r="J2294" s="12" t="str">
        <f>IF(OR(TED[[#This Row],[SITUACAO]]=1,TED[[#This Row],[SITUACAO]]=9,TED[[#This Row],[SITUACAO]]=18),"ATIVO","AFASTADO")</f>
        <v>ATIVO</v>
      </c>
      <c r="K2294" s="12">
        <v>1</v>
      </c>
    </row>
    <row r="2295" spans="1:11" x14ac:dyDescent="0.25">
      <c r="A2295" s="10">
        <v>45967</v>
      </c>
      <c r="B2295" s="9" t="s">
        <v>2714</v>
      </c>
      <c r="C2295" s="12" t="str">
        <f>IFERROR(VLOOKUP(TED[[#This Row],[CENTRO]],'CENTRO DE CUSTO'!B:E,4,FALSE)," ")</f>
        <v>FERNANDO SANTOS</v>
      </c>
      <c r="D2295" s="12">
        <v>306</v>
      </c>
      <c r="E2295" s="16">
        <v>306001</v>
      </c>
      <c r="F2295" s="10" t="s">
        <v>2801</v>
      </c>
      <c r="G2295" s="10">
        <v>220</v>
      </c>
      <c r="H2295" s="11">
        <v>46174</v>
      </c>
      <c r="I2295" s="10" t="s">
        <v>944</v>
      </c>
      <c r="J2295" s="12" t="str">
        <f>IF(OR(TED[[#This Row],[SITUACAO]]=1,TED[[#This Row],[SITUACAO]]=9,TED[[#This Row],[SITUACAO]]=18),"ATIVO","AFASTADO")</f>
        <v>ATIVO</v>
      </c>
      <c r="K2295" s="12">
        <v>1</v>
      </c>
    </row>
    <row r="2296" spans="1:11" x14ac:dyDescent="0.25">
      <c r="A2296" s="10">
        <v>45304</v>
      </c>
      <c r="B2296" s="9" t="s">
        <v>2295</v>
      </c>
      <c r="C2296" s="12" t="str">
        <f>IFERROR(VLOOKUP(TED[[#This Row],[CENTRO]],'CENTRO DE CUSTO'!B:E,4,FALSE)," ")</f>
        <v>CLEVERTON RODRIGO</v>
      </c>
      <c r="D2296" s="12">
        <v>306</v>
      </c>
      <c r="E2296" s="16">
        <v>306004</v>
      </c>
      <c r="F2296" s="10" t="s">
        <v>2802</v>
      </c>
      <c r="G2296" s="10">
        <v>220</v>
      </c>
      <c r="H2296" s="11">
        <v>46143</v>
      </c>
      <c r="I2296" s="10" t="s">
        <v>944</v>
      </c>
      <c r="J2296" s="12" t="str">
        <f>IF(OR(TED[[#This Row],[SITUACAO]]=1,TED[[#This Row],[SITUACAO]]=9,TED[[#This Row],[SITUACAO]]=18),"ATIVO","AFASTADO")</f>
        <v>ATIVO</v>
      </c>
      <c r="K2296" s="12">
        <v>1</v>
      </c>
    </row>
    <row r="2297" spans="1:11" x14ac:dyDescent="0.25">
      <c r="A2297" s="10">
        <v>45296</v>
      </c>
      <c r="B2297" s="9" t="s">
        <v>2305</v>
      </c>
      <c r="C2297" s="12" t="str">
        <f>IFERROR(VLOOKUP(TED[[#This Row],[CENTRO]],'CENTRO DE CUSTO'!B:E,4,FALSE)," ")</f>
        <v>CLEVERTON RODRIGO</v>
      </c>
      <c r="D2297" s="12">
        <v>306</v>
      </c>
      <c r="E2297" s="16">
        <v>306004</v>
      </c>
      <c r="F2297" s="10" t="s">
        <v>2802</v>
      </c>
      <c r="G2297" s="10">
        <v>220</v>
      </c>
      <c r="H2297" s="11">
        <v>46143</v>
      </c>
      <c r="I2297" s="10" t="s">
        <v>2313</v>
      </c>
      <c r="J2297" s="12" t="str">
        <f>IF(OR(TED[[#This Row],[SITUACAO]]=1,TED[[#This Row],[SITUACAO]]=9,TED[[#This Row],[SITUACAO]]=18),"ATIVO","AFASTADO")</f>
        <v>ATIVO</v>
      </c>
      <c r="K2297" s="12">
        <v>1</v>
      </c>
    </row>
    <row r="2298" spans="1:11" x14ac:dyDescent="0.25">
      <c r="A2298" s="10">
        <v>45324</v>
      </c>
      <c r="B2298" s="9" t="s">
        <v>2283</v>
      </c>
      <c r="C2298" s="12" t="str">
        <f>IFERROR(VLOOKUP(TED[[#This Row],[CENTRO]],'CENTRO DE CUSTO'!B:E,4,FALSE)," ")</f>
        <v>FERNANDO SANTOS</v>
      </c>
      <c r="D2298" s="12">
        <v>306</v>
      </c>
      <c r="E2298" s="16">
        <v>306003</v>
      </c>
      <c r="F2298" s="10" t="s">
        <v>2803</v>
      </c>
      <c r="G2298" s="10">
        <v>220</v>
      </c>
      <c r="H2298" s="11">
        <v>46143</v>
      </c>
      <c r="I2298" s="10" t="s">
        <v>2313</v>
      </c>
      <c r="J2298" s="12" t="str">
        <f>IF(OR(TED[[#This Row],[SITUACAO]]=1,TED[[#This Row],[SITUACAO]]=9,TED[[#This Row],[SITUACAO]]=18),"ATIVO","AFASTADO")</f>
        <v>ATIVO</v>
      </c>
      <c r="K2298" s="12">
        <v>1</v>
      </c>
    </row>
    <row r="2299" spans="1:11" x14ac:dyDescent="0.25">
      <c r="A2299" s="10">
        <v>45290</v>
      </c>
      <c r="B2299" s="9" t="s">
        <v>2299</v>
      </c>
      <c r="C2299" s="12" t="str">
        <f>IFERROR(VLOOKUP(TED[[#This Row],[CENTRO]],'CENTRO DE CUSTO'!B:E,4,FALSE)," ")</f>
        <v>CLEVERTON RODRIGO</v>
      </c>
      <c r="D2299" s="12">
        <v>306</v>
      </c>
      <c r="E2299" s="16">
        <v>306004</v>
      </c>
      <c r="F2299" s="10" t="s">
        <v>2802</v>
      </c>
      <c r="G2299" s="10">
        <v>220</v>
      </c>
      <c r="H2299" s="11">
        <v>46143</v>
      </c>
      <c r="I2299" s="10" t="s">
        <v>2313</v>
      </c>
      <c r="J2299" s="12" t="str">
        <f>IF(OR(TED[[#This Row],[SITUACAO]]=1,TED[[#This Row],[SITUACAO]]=9,TED[[#This Row],[SITUACAO]]=18),"ATIVO","AFASTADO")</f>
        <v>ATIVO</v>
      </c>
      <c r="K2299" s="12">
        <v>1</v>
      </c>
    </row>
    <row r="2300" spans="1:11" x14ac:dyDescent="0.25">
      <c r="A2300" s="10">
        <v>45416</v>
      </c>
      <c r="B2300" s="9" t="s">
        <v>2309</v>
      </c>
      <c r="C2300" s="12" t="str">
        <f>IFERROR(VLOOKUP(TED[[#This Row],[CENTRO]],'CENTRO DE CUSTO'!B:E,4,FALSE)," ")</f>
        <v>FERNANDO SANTOS</v>
      </c>
      <c r="D2300" s="12">
        <v>308</v>
      </c>
      <c r="E2300" s="16">
        <v>308005</v>
      </c>
      <c r="F2300" s="10" t="s">
        <v>2206</v>
      </c>
      <c r="G2300" s="10">
        <v>220</v>
      </c>
      <c r="H2300" s="11">
        <v>46143</v>
      </c>
      <c r="I2300" s="10" t="s">
        <v>2315</v>
      </c>
      <c r="J2300" s="12" t="str">
        <f>IF(OR(TED[[#This Row],[SITUACAO]]=1,TED[[#This Row],[SITUACAO]]=9,TED[[#This Row],[SITUACAO]]=18),"ATIVO","AFASTADO")</f>
        <v>ATIVO</v>
      </c>
      <c r="K2300" s="12">
        <v>1</v>
      </c>
    </row>
    <row r="2301" spans="1:11" x14ac:dyDescent="0.25">
      <c r="A2301" s="10">
        <v>45444</v>
      </c>
      <c r="B2301" s="9" t="s">
        <v>2308</v>
      </c>
      <c r="C2301" s="12" t="str">
        <f>IFERROR(VLOOKUP(TED[[#This Row],[CENTRO]],'CENTRO DE CUSTO'!B:E,4,FALSE)," ")</f>
        <v>FERNANDO SANTOS</v>
      </c>
      <c r="D2301" s="12">
        <v>308</v>
      </c>
      <c r="E2301" s="16">
        <v>308005</v>
      </c>
      <c r="F2301" s="10" t="s">
        <v>2206</v>
      </c>
      <c r="G2301" s="10">
        <v>200</v>
      </c>
      <c r="H2301" s="11">
        <v>46146</v>
      </c>
      <c r="I2301" s="10" t="s">
        <v>2314</v>
      </c>
      <c r="J2301" s="12" t="str">
        <f>IF(OR(TED[[#This Row],[SITUACAO]]=1,TED[[#This Row],[SITUACAO]]=9,TED[[#This Row],[SITUACAO]]=18),"ATIVO","AFASTADO")</f>
        <v>ATIVO</v>
      </c>
      <c r="K2301" s="12">
        <v>1</v>
      </c>
    </row>
    <row r="2302" spans="1:11" x14ac:dyDescent="0.25">
      <c r="A2302" s="10">
        <v>45415</v>
      </c>
      <c r="B2302" s="9" t="s">
        <v>2310</v>
      </c>
      <c r="C2302" s="12" t="str">
        <f>IFERROR(VLOOKUP(TED[[#This Row],[CENTRO]],'CENTRO DE CUSTO'!B:E,4,FALSE)," ")</f>
        <v>FERNANDO SANTOS</v>
      </c>
      <c r="D2302" s="12">
        <v>308</v>
      </c>
      <c r="E2302" s="16">
        <v>308005</v>
      </c>
      <c r="F2302" s="10" t="s">
        <v>2206</v>
      </c>
      <c r="G2302" s="10">
        <v>220</v>
      </c>
      <c r="H2302" s="11">
        <v>46143</v>
      </c>
      <c r="I2302" s="10" t="s">
        <v>2315</v>
      </c>
      <c r="J2302" s="12" t="str">
        <f>IF(OR(TED[[#This Row],[SITUACAO]]=1,TED[[#This Row],[SITUACAO]]=9,TED[[#This Row],[SITUACAO]]=18),"ATIVO","AFASTADO")</f>
        <v>ATIVO</v>
      </c>
      <c r="K2302" s="12">
        <v>1</v>
      </c>
    </row>
    <row r="2303" spans="1:11" x14ac:dyDescent="0.25">
      <c r="A2303" s="10">
        <v>45810</v>
      </c>
      <c r="B2303" s="9" t="s">
        <v>2715</v>
      </c>
      <c r="C2303" s="12" t="str">
        <f>IFERROR(VLOOKUP(TED[[#This Row],[CENTRO]],'CENTRO DE CUSTO'!B:E,4,FALSE)," ")</f>
        <v xml:space="preserve"> </v>
      </c>
      <c r="D2303" s="12">
        <v>312</v>
      </c>
      <c r="E2303" s="16">
        <v>312025</v>
      </c>
      <c r="F2303" s="10" t="s">
        <v>2804</v>
      </c>
      <c r="G2303" s="10">
        <v>220</v>
      </c>
      <c r="H2303" s="11">
        <v>46167</v>
      </c>
      <c r="I2303" s="10" t="s">
        <v>944</v>
      </c>
      <c r="J2303" s="12" t="str">
        <f>IF(OR(TED[[#This Row],[SITUACAO]]=1,TED[[#This Row],[SITUACAO]]=9,TED[[#This Row],[SITUACAO]]=18),"ATIVO","AFASTADO")</f>
        <v>ATIVO</v>
      </c>
      <c r="K2303" s="12">
        <v>1</v>
      </c>
    </row>
    <row r="2304" spans="1:11" x14ac:dyDescent="0.25">
      <c r="A2304" s="10">
        <v>45783</v>
      </c>
      <c r="B2304" s="9" t="s">
        <v>2716</v>
      </c>
      <c r="C2304" s="12" t="str">
        <f>IFERROR(VLOOKUP(TED[[#This Row],[CENTRO]],'CENTRO DE CUSTO'!B:E,4,FALSE)," ")</f>
        <v xml:space="preserve"> </v>
      </c>
      <c r="D2304" s="12">
        <v>312</v>
      </c>
      <c r="E2304" s="16">
        <v>312025</v>
      </c>
      <c r="F2304" s="10" t="s">
        <v>2804</v>
      </c>
      <c r="G2304" s="10">
        <v>220</v>
      </c>
      <c r="H2304" s="11">
        <v>46167</v>
      </c>
      <c r="I2304" s="10" t="s">
        <v>948</v>
      </c>
      <c r="J2304" s="12" t="str">
        <f>IF(OR(TED[[#This Row],[SITUACAO]]=1,TED[[#This Row],[SITUACAO]]=9,TED[[#This Row],[SITUACAO]]=18),"ATIVO","AFASTADO")</f>
        <v>ATIVO</v>
      </c>
      <c r="K2304" s="12">
        <v>1</v>
      </c>
    </row>
    <row r="2305" spans="1:11" x14ac:dyDescent="0.25">
      <c r="A2305" s="10">
        <v>45784</v>
      </c>
      <c r="B2305" s="9" t="s">
        <v>2717</v>
      </c>
      <c r="C2305" s="12" t="str">
        <f>IFERROR(VLOOKUP(TED[[#This Row],[CENTRO]],'CENTRO DE CUSTO'!B:E,4,FALSE)," ")</f>
        <v xml:space="preserve"> </v>
      </c>
      <c r="D2305" s="12">
        <v>312</v>
      </c>
      <c r="E2305" s="16">
        <v>312025</v>
      </c>
      <c r="F2305" s="10" t="s">
        <v>2804</v>
      </c>
      <c r="G2305" s="10">
        <v>220</v>
      </c>
      <c r="H2305" s="11">
        <v>46167</v>
      </c>
      <c r="I2305" s="10" t="s">
        <v>21</v>
      </c>
      <c r="J2305" s="12" t="str">
        <f>IF(OR(TED[[#This Row],[SITUACAO]]=1,TED[[#This Row],[SITUACAO]]=9,TED[[#This Row],[SITUACAO]]=18),"ATIVO","AFASTADO")</f>
        <v>ATIVO</v>
      </c>
      <c r="K2305" s="12">
        <v>1</v>
      </c>
    </row>
    <row r="2306" spans="1:11" x14ac:dyDescent="0.25">
      <c r="A2306" s="10">
        <v>45835</v>
      </c>
      <c r="B2306" s="9" t="s">
        <v>2718</v>
      </c>
      <c r="C2306" s="12" t="str">
        <f>IFERROR(VLOOKUP(TED[[#This Row],[CENTRO]],'CENTRO DE CUSTO'!B:E,4,FALSE)," ")</f>
        <v xml:space="preserve"> </v>
      </c>
      <c r="D2306" s="12">
        <v>312</v>
      </c>
      <c r="E2306" s="16">
        <v>312020</v>
      </c>
      <c r="F2306" s="10" t="s">
        <v>2805</v>
      </c>
      <c r="G2306" s="10">
        <v>220</v>
      </c>
      <c r="H2306" s="11">
        <v>46167</v>
      </c>
      <c r="I2306" s="10" t="s">
        <v>948</v>
      </c>
      <c r="J2306" s="12" t="str">
        <f>IF(OR(TED[[#This Row],[SITUACAO]]=1,TED[[#This Row],[SITUACAO]]=9,TED[[#This Row],[SITUACAO]]=18),"ATIVO","AFASTADO")</f>
        <v>ATIVO</v>
      </c>
      <c r="K2306" s="12">
        <v>1</v>
      </c>
    </row>
    <row r="2307" spans="1:11" x14ac:dyDescent="0.25">
      <c r="A2307" s="10">
        <v>45785</v>
      </c>
      <c r="B2307" s="9" t="s">
        <v>2719</v>
      </c>
      <c r="C2307" s="12" t="str">
        <f>IFERROR(VLOOKUP(TED[[#This Row],[CENTRO]],'CENTRO DE CUSTO'!B:E,4,FALSE)," ")</f>
        <v xml:space="preserve"> </v>
      </c>
      <c r="D2307" s="12">
        <v>312</v>
      </c>
      <c r="E2307" s="16">
        <v>312020</v>
      </c>
      <c r="F2307" s="10" t="s">
        <v>2805</v>
      </c>
      <c r="G2307" s="10">
        <v>220</v>
      </c>
      <c r="H2307" s="11">
        <v>46167</v>
      </c>
      <c r="I2307" s="10" t="s">
        <v>944</v>
      </c>
      <c r="J2307" s="12" t="str">
        <f>IF(OR(TED[[#This Row],[SITUACAO]]=1,TED[[#This Row],[SITUACAO]]=9,TED[[#This Row],[SITUACAO]]=18),"ATIVO","AFASTADO")</f>
        <v>ATIVO</v>
      </c>
      <c r="K2307" s="12">
        <v>1</v>
      </c>
    </row>
  </sheetData>
  <phoneticPr fontId="4" type="noConversion"/>
  <pageMargins left="0.39" right="0.28999999999999998" top="0.32" bottom="0.28999999999999998" header="0.31496062000000002" footer="0.31496062000000002"/>
  <pageSetup paperSize="9" scale="3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CENTRO DE CUSTO</vt:lpstr>
      <vt:lpstr>TED</vt:lpstr>
      <vt:lpstr>TED!Area_de_impressao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Oeste</dc:creator>
  <cp:lastModifiedBy>Guilherme</cp:lastModifiedBy>
  <cp:lastPrinted>2026-03-11T11:35:02Z</cp:lastPrinted>
  <dcterms:created xsi:type="dcterms:W3CDTF">2026-01-07T19:06:12Z</dcterms:created>
  <dcterms:modified xsi:type="dcterms:W3CDTF">2026-06-30T12:31:02Z</dcterms:modified>
</cp:coreProperties>
</file>